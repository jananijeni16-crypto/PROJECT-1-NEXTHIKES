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6.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7.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8.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9.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0.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tables/table9.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tables/table10.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slicers/slicer1.xml" ContentType="application/vnd.ms-excel.slicer+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https://d.docs.live.net/cc1235f74fe46004/Documents/"/>
    </mc:Choice>
  </mc:AlternateContent>
  <xr:revisionPtr revIDLastSave="2751" documentId="8_{100EA6A5-3A80-4F50-B908-58683D4707D4}" xr6:coauthVersionLast="47" xr6:coauthVersionMax="47" xr10:uidLastSave="{AD215CF3-8411-4CA7-AB47-731BACED4879}"/>
  <bookViews>
    <workbookView xWindow="-108" yWindow="-108" windowWidth="23256" windowHeight="13896" firstSheet="19" activeTab="22" xr2:uid="{9D379222-2C44-4A8B-AB13-7F85C8ED4219}"/>
  </bookViews>
  <sheets>
    <sheet name="Dataset_1" sheetId="2" r:id="rId1"/>
    <sheet name="Cleaned_dataset_1" sheetId="10" r:id="rId2"/>
    <sheet name="Dataset_2" sheetId="9" r:id="rId3"/>
    <sheet name="Cleaned_dataset_2" sheetId="12" r:id="rId4"/>
    <sheet name="Dataset_3" sheetId="4" r:id="rId5"/>
    <sheet name="Cleaned_dataset_3" sheetId="13" r:id="rId6"/>
    <sheet name="Dataset_A(D1+D2)" sheetId="16" r:id="rId7"/>
    <sheet name="Final_DataSet " sheetId="18" r:id="rId8"/>
    <sheet name="PivotTables" sheetId="20" r:id="rId9"/>
    <sheet name="Pearson Correlation Heatmap" sheetId="24" r:id="rId10"/>
    <sheet name="Operational Risk Heatmap" sheetId="35" r:id="rId11"/>
    <sheet name="Hourly Demand vs. Weather Condi" sheetId="25" r:id="rId12"/>
    <sheet name="Hourly Demand vs. Day Type" sheetId="29" r:id="rId13"/>
    <sheet name="Hourly Profile by User Segment" sheetId="30" r:id="rId14"/>
    <sheet name="Weather Category Breakdown &amp; Us" sheetId="31" r:id="rId15"/>
    <sheet name="Windspeed Binned Boxplot" sheetId="32" r:id="rId16"/>
    <sheet name="Demand Frequency Distribution" sheetId="33" r:id="rId17"/>
    <sheet name="Time Category vs Day Type" sheetId="34" r:id="rId18"/>
    <sheet name="Daily Time Series Demand Trend " sheetId="36" r:id="rId19"/>
    <sheet name="Forecasting_Analysis" sheetId="21" r:id="rId20"/>
    <sheet name="Anomaly_Analysis" sheetId="39" r:id="rId21"/>
    <sheet name="Descriptive Statistics" sheetId="38" r:id="rId22"/>
    <sheet name="Dashboard" sheetId="19" r:id="rId23"/>
  </sheets>
  <definedNames>
    <definedName name="_xlchart.v1.0" hidden="1">Anomaly_Analysis!$A$2:$A$46</definedName>
    <definedName name="_xlchart.v1.1" hidden="1">Anomaly_Analysis!$D$1</definedName>
    <definedName name="_xlchart.v1.2" hidden="1">Anomaly_Analysis!$D$2:$D$46</definedName>
    <definedName name="_xlchart.v1.3" hidden="1">Anomaly_Analysis!$E$1</definedName>
    <definedName name="_xlchart.v1.4" hidden="1">Anomaly_Analysis!$E$2:$E$46</definedName>
    <definedName name="_xlchart.v1.5" hidden="1">Anomaly_Analysis!$A$2:$A$46</definedName>
    <definedName name="_xlchart.v1.6" hidden="1">Anomaly_Analysis!$D$1</definedName>
    <definedName name="_xlchart.v1.7" hidden="1">Anomaly_Analysis!$D$2:$D$46</definedName>
    <definedName name="_xlchart.v1.8" hidden="1">Anomaly_Analysis!$E$1</definedName>
    <definedName name="_xlchart.v1.9" hidden="1">Anomaly_Analysis!$E$2:$E$46</definedName>
    <definedName name="ExternalData_1" localSheetId="1" hidden="1">'Cleaned_dataset_1'!$A$1:$G$611</definedName>
    <definedName name="ExternalData_1" localSheetId="3" hidden="1">'Cleaned_dataset_2'!$A$1:$G$611</definedName>
    <definedName name="ExternalData_1" localSheetId="5" hidden="1">'Cleaned_dataset_3'!$A$1:$M$391</definedName>
    <definedName name="ExternalData_1" localSheetId="0" hidden="1">Dataset_1!$A$1:$J$611</definedName>
    <definedName name="ExternalData_1" localSheetId="2" hidden="1">Dataset_2!$A$1:$H$611</definedName>
    <definedName name="ExternalData_1" localSheetId="4" hidden="1">Dataset_3!$A$1:$P$391</definedName>
    <definedName name="ExternalData_1" localSheetId="7" hidden="1">'Final_DataSet '!$A$1:$P$1001</definedName>
    <definedName name="ExternalData_2" localSheetId="6" hidden="1">'Dataset_A(D1+D2)'!$A$1:$M$611</definedName>
    <definedName name="Slicer_Date">#N/A</definedName>
    <definedName name="Slicer_Holiday">#N/A</definedName>
    <definedName name="Slicer_Hour">#N/A</definedName>
    <definedName name="Slicer_Temp">#N/A</definedName>
    <definedName name="Slicer_Weather">#N/A</definedName>
    <definedName name="Slicer_Weekday">#N/A</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1" i="18" l="1"/>
  <c r="S32" i="18"/>
  <c r="S33" i="18"/>
  <c r="S34" i="18"/>
  <c r="I2" i="39"/>
  <c r="I3" i="39"/>
  <c r="J6" i="12"/>
  <c r="C48" i="21"/>
  <c r="C49" i="21"/>
  <c r="C50" i="21"/>
  <c r="C51" i="21"/>
  <c r="C52" i="21"/>
  <c r="C53" i="21"/>
  <c r="C54" i="21"/>
  <c r="C55" i="21"/>
  <c r="C56" i="21"/>
  <c r="C57" i="21"/>
  <c r="C58" i="21"/>
  <c r="C59" i="21"/>
  <c r="S25" i="18"/>
  <c r="S22" i="18"/>
  <c r="R28" i="18"/>
  <c r="R25" i="18"/>
  <c r="R22" i="18"/>
  <c r="S19" i="18"/>
  <c r="R19" i="18"/>
  <c r="T15" i="18"/>
  <c r="S15" i="18"/>
  <c r="R15" i="18"/>
  <c r="T12" i="18"/>
  <c r="S12" i="18"/>
  <c r="R12" i="18"/>
  <c r="T9" i="18"/>
  <c r="T6" i="18"/>
  <c r="S9" i="18"/>
  <c r="S6" i="18"/>
  <c r="R9" i="18"/>
  <c r="R6" i="18"/>
  <c r="K8" i="12"/>
  <c r="K6" i="12"/>
  <c r="J8" i="12"/>
  <c r="L3" i="39" l="1"/>
  <c r="L2" i="39"/>
  <c r="D48" i="21"/>
  <c r="E48" i="21"/>
  <c r="D49" i="21"/>
  <c r="E49" i="21"/>
  <c r="D50" i="21"/>
  <c r="E50" i="21"/>
  <c r="D51" i="21"/>
  <c r="E51" i="21"/>
  <c r="E52" i="21"/>
  <c r="D52" i="21"/>
  <c r="D53" i="21"/>
  <c r="E53" i="21"/>
  <c r="E54" i="21"/>
  <c r="D54" i="21"/>
  <c r="D55" i="21"/>
  <c r="E55" i="21"/>
  <c r="D56" i="21"/>
  <c r="E56" i="21"/>
  <c r="E57" i="21"/>
  <c r="D57" i="21"/>
  <c r="E58" i="21"/>
  <c r="D58" i="21"/>
  <c r="E59" i="21"/>
  <c r="D59" i="21"/>
  <c r="C32" i="39" l="1"/>
  <c r="C35" i="39"/>
  <c r="C43" i="39"/>
  <c r="C3" i="39"/>
  <c r="C4" i="39"/>
  <c r="C5" i="39"/>
  <c r="C6" i="39"/>
  <c r="C7" i="39"/>
  <c r="C8" i="39"/>
  <c r="C9" i="39"/>
  <c r="C10" i="39"/>
  <c r="C11" i="39"/>
  <c r="C12" i="39"/>
  <c r="C13" i="39"/>
  <c r="C14" i="39"/>
  <c r="C15" i="39"/>
  <c r="C16" i="39"/>
  <c r="C17" i="39"/>
  <c r="C18" i="39"/>
  <c r="C19" i="39"/>
  <c r="C20" i="39"/>
  <c r="C21" i="39"/>
  <c r="C22" i="39"/>
  <c r="C23" i="39"/>
  <c r="C24" i="39"/>
  <c r="C25" i="39"/>
  <c r="C26" i="39"/>
  <c r="C30" i="39"/>
  <c r="C33" i="39"/>
  <c r="C2" i="39"/>
  <c r="C27" i="39"/>
  <c r="C36" i="39"/>
  <c r="C41" i="39"/>
  <c r="C45" i="39"/>
  <c r="C28" i="39"/>
  <c r="C34" i="39"/>
  <c r="C37" i="39"/>
  <c r="C40" i="39"/>
  <c r="C42" i="39"/>
  <c r="C31" i="39"/>
  <c r="C39" i="39"/>
  <c r="C44" i="39"/>
  <c r="C29" i="39"/>
  <c r="C38" i="39"/>
  <c r="C46" i="39"/>
  <c r="E32" i="39" l="1"/>
  <c r="D32" i="39"/>
  <c r="E35" i="39"/>
  <c r="D35" i="39"/>
  <c r="E43" i="39"/>
  <c r="D43" i="39"/>
  <c r="D3" i="39"/>
  <c r="E3" i="39"/>
  <c r="D4" i="39"/>
  <c r="E4" i="39"/>
  <c r="D5" i="39"/>
  <c r="E5" i="39"/>
  <c r="D6" i="39"/>
  <c r="E6" i="39"/>
  <c r="D7" i="39"/>
  <c r="E7" i="39"/>
  <c r="D8" i="39"/>
  <c r="E8" i="39"/>
  <c r="D9" i="39"/>
  <c r="E9" i="39"/>
  <c r="D10" i="39"/>
  <c r="E10" i="39"/>
  <c r="D11" i="39"/>
  <c r="E11" i="39"/>
  <c r="D12" i="39"/>
  <c r="E12" i="39"/>
  <c r="D13" i="39"/>
  <c r="E13" i="39"/>
  <c r="E14" i="39"/>
  <c r="D14" i="39"/>
  <c r="E15" i="39"/>
  <c r="D15" i="39"/>
  <c r="D16" i="39"/>
  <c r="E16" i="39"/>
  <c r="D17" i="39"/>
  <c r="E17" i="39"/>
  <c r="D18" i="39"/>
  <c r="E18" i="39"/>
  <c r="D19" i="39"/>
  <c r="E19" i="39"/>
  <c r="D20" i="39"/>
  <c r="E20" i="39"/>
  <c r="D21" i="39"/>
  <c r="E21" i="39"/>
  <c r="D22" i="39"/>
  <c r="E22" i="39"/>
  <c r="D23" i="39"/>
  <c r="E23" i="39"/>
  <c r="D24" i="39"/>
  <c r="E24" i="39"/>
  <c r="D25" i="39"/>
  <c r="E25" i="39"/>
  <c r="D26" i="39"/>
  <c r="E26" i="39"/>
  <c r="D30" i="39"/>
  <c r="E30" i="39"/>
  <c r="D33" i="39"/>
  <c r="E33" i="39"/>
  <c r="D2" i="39"/>
  <c r="E2" i="39"/>
  <c r="D27" i="39"/>
  <c r="E27" i="39"/>
  <c r="D36" i="39"/>
  <c r="E36" i="39"/>
  <c r="D41" i="39"/>
  <c r="E41" i="39"/>
  <c r="D45" i="39"/>
  <c r="E45" i="39"/>
  <c r="E28" i="39"/>
  <c r="D28" i="39"/>
  <c r="E34" i="39"/>
  <c r="D34" i="39"/>
  <c r="E37" i="39"/>
  <c r="D37" i="39"/>
  <c r="E40" i="39"/>
  <c r="D40" i="39"/>
  <c r="E42" i="39"/>
  <c r="D42" i="39"/>
  <c r="E31" i="39"/>
  <c r="D31" i="39"/>
  <c r="E39" i="39"/>
  <c r="D39" i="39"/>
  <c r="E44" i="39"/>
  <c r="D44" i="39"/>
  <c r="E29" i="39"/>
  <c r="D29" i="39"/>
  <c r="E38" i="39"/>
  <c r="D38" i="39"/>
  <c r="E46" i="39"/>
  <c r="D46" i="3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388C4E-E706-43B9-9475-4BE2E8BCC4E7}" keepAlive="1" name="Query - Cleaned_dataset_1" description="Connection to the 'Cleaned_dataset_1' query in the workbook." type="5" refreshedVersion="8" background="1" saveData="1">
    <dbPr connection="Provider=Microsoft.Mashup.OleDb.1;Data Source=$Workbook$;Location=Cleaned_dataset_1;Extended Properties=&quot;&quot;" command="SELECT * FROM [Cleaned_dataset_1]"/>
  </connection>
  <connection id="2" xr16:uid="{960CBDB2-AC26-4D32-8970-779EBA6C95E7}" keepAlive="1" name="Query - Cleaned_dataset_2" description="Connection to the 'Cleaned_dataset_2' query in the workbook." type="5" refreshedVersion="8" background="1" saveData="1">
    <dbPr connection="Provider=Microsoft.Mashup.OleDb.1;Data Source=$Workbook$;Location=Cleaned_dataset_2;Extended Properties=&quot;&quot;" command="SELECT * FROM [Cleaned_dataset_2]"/>
  </connection>
  <connection id="3" xr16:uid="{C9A64845-04C8-4643-A5C5-6B9E38379A8C}" keepAlive="1" name="Query - Cleaned_dataset_3" description="Connection to the 'Cleaned_dataset_3' query in the workbook." type="5" refreshedVersion="8" background="1" saveData="1">
    <dbPr connection="Provider=Microsoft.Mashup.OleDb.1;Data Source=$Workbook$;Location=Cleaned_dataset_3;Extended Properties=&quot;&quot;" command="SELECT * FROM [Cleaned_dataset_3]"/>
  </connection>
  <connection id="4" xr16:uid="{2B846A12-E601-4EDB-9D7B-CFEFD961963B}" keepAlive="1" name="Query - dataset_1" description="Connection to the 'dataset_1' query in the workbook." type="5" refreshedVersion="8" background="1" saveData="1">
    <dbPr connection="Provider=Microsoft.Mashup.OleDb.1;Data Source=$Workbook$;Location=dataset_1;Extended Properties=&quot;&quot;" command="SELECT * FROM [dataset_1]"/>
  </connection>
  <connection id="5" xr16:uid="{685533E6-11CC-4C48-8227-037BD9AC4502}" keepAlive="1" name="Query - dataset_2" description="Connection to the 'dataset_2' query in the workbook." type="5" refreshedVersion="8" background="1" saveData="1">
    <dbPr connection="Provider=Microsoft.Mashup.OleDb.1;Data Source=$Workbook$;Location=dataset_2;Extended Properties=&quot;&quot;" command="SELECT * FROM [dataset_2]"/>
  </connection>
  <connection id="6" xr16:uid="{4796097F-CC1D-44F4-9A22-7FDCC5B035BA}" keepAlive="1" name="Query - dataset_3" description="Connection to the 'dataset_3' query in the workbook." type="5" refreshedVersion="8" background="1" saveData="1">
    <dbPr connection="Provider=Microsoft.Mashup.OleDb.1;Data Source=$Workbook$;Location=dataset_3;Extended Properties=&quot;&quot;" command="SELECT * FROM [dataset_3]"/>
  </connection>
  <connection id="7" xr16:uid="{B3B55735-5152-47A0-BF70-7793DE9F9B72}" keepAlive="1" name="Query - Dataset_A(1+2)" description="Connection to the 'Dataset_A(1+2)' query in the workbook." type="5" refreshedVersion="8" background="1" saveData="1">
    <dbPr connection="Provider=Microsoft.Mashup.OleDb.1;Data Source=$Workbook$;Location=Dataset_A(1+2);Extended Properties=&quot;&quot;" command="SELECT * FROM [Dataset_A(1+2)]"/>
  </connection>
  <connection id="8" xr16:uid="{C5DB2886-008A-4ED7-BDA9-1BB93E9F37FD}" keepAlive="1" name="Query - Final_DataSet" description="Connection to the 'Final_DataSet' query in the workbook." type="5" refreshedVersion="8" background="1" saveData="1">
    <dbPr connection="Provider=Microsoft.Mashup.OleDb.1;Data Source=$Workbook$;Location=Final_DataSet;Extended Properties=&quot;&quot;" command="SELECT * FROM [Final_DataSet]"/>
  </connection>
</connections>
</file>

<file path=xl/sharedStrings.xml><?xml version="1.0" encoding="utf-8"?>
<sst xmlns="http://schemas.openxmlformats.org/spreadsheetml/2006/main" count="8658" uniqueCount="171">
  <si>
    <t>instant</t>
  </si>
  <si>
    <t>dteday</t>
  </si>
  <si>
    <t>season</t>
  </si>
  <si>
    <t>yr</t>
  </si>
  <si>
    <t>mnth</t>
  </si>
  <si>
    <t>hr</t>
  </si>
  <si>
    <t>holiday</t>
  </si>
  <si>
    <t>weekday</t>
  </si>
  <si>
    <t>weathersit</t>
  </si>
  <si>
    <t>temp</t>
  </si>
  <si>
    <t>atemp</t>
  </si>
  <si>
    <t>hum</t>
  </si>
  <si>
    <t>windspeed</t>
  </si>
  <si>
    <t>casual</t>
  </si>
  <si>
    <t>registered</t>
  </si>
  <si>
    <t>cnt</t>
  </si>
  <si>
    <t>Date</t>
  </si>
  <si>
    <t>Holiday</t>
  </si>
  <si>
    <t>Weekday</t>
  </si>
  <si>
    <t>Weathersit</t>
  </si>
  <si>
    <t>Temp</t>
  </si>
  <si>
    <t>Humidity</t>
  </si>
  <si>
    <t>Windspeed</t>
  </si>
  <si>
    <t>Sunday</t>
  </si>
  <si>
    <t>Monday</t>
  </si>
  <si>
    <t>Tuesday</t>
  </si>
  <si>
    <t>Wednesday</t>
  </si>
  <si>
    <t>Thursday</t>
  </si>
  <si>
    <t>Friday</t>
  </si>
  <si>
    <t>Saturday</t>
  </si>
  <si>
    <t>Normal</t>
  </si>
  <si>
    <t>Yellow Alert</t>
  </si>
  <si>
    <t>Orange Alert</t>
  </si>
  <si>
    <t>Red Alert</t>
  </si>
  <si>
    <t>Assumed_Temp</t>
  </si>
  <si>
    <t>Registered_Customers</t>
  </si>
  <si>
    <t>Casual_Customers</t>
  </si>
  <si>
    <t>Total Casual Customers</t>
  </si>
  <si>
    <t>Total Registered Customers</t>
  </si>
  <si>
    <t>Avg.Casual Customers</t>
  </si>
  <si>
    <t>Avg.Registered Customers</t>
  </si>
  <si>
    <t>Hour</t>
  </si>
  <si>
    <t>Total_Count</t>
  </si>
  <si>
    <t>Total Count</t>
  </si>
  <si>
    <t>Avg.Count</t>
  </si>
  <si>
    <t>Min.Casual Customers</t>
  </si>
  <si>
    <t>Min.Registered Customers</t>
  </si>
  <si>
    <t>Min.Count</t>
  </si>
  <si>
    <t>Max.Casual Customers</t>
  </si>
  <si>
    <t>Max.Registered Customers</t>
  </si>
  <si>
    <t>Max.Count</t>
  </si>
  <si>
    <t>Total Hours</t>
  </si>
  <si>
    <t>Count  Function</t>
  </si>
  <si>
    <t>Avg.Hours</t>
  </si>
  <si>
    <t>VLOOKUP Function</t>
  </si>
  <si>
    <t>Min.Hours</t>
  </si>
  <si>
    <t>HLOOKUP Function</t>
  </si>
  <si>
    <t>Max.Hours</t>
  </si>
  <si>
    <t>BASIC FUNCTIONS</t>
  </si>
  <si>
    <t>Sum of Total Demand</t>
  </si>
  <si>
    <t>Sum of Registered Rides</t>
  </si>
  <si>
    <t>Sum of Casual Rides</t>
  </si>
  <si>
    <t>Avg Hourly Demand</t>
  </si>
  <si>
    <t>Peak Hourly Demand</t>
  </si>
  <si>
    <t>Avg Temperature Index</t>
  </si>
  <si>
    <t>Grand Total</t>
  </si>
  <si>
    <t>Alert Hours Count</t>
  </si>
  <si>
    <t>Average Riders</t>
  </si>
  <si>
    <t>Total Casual</t>
  </si>
  <si>
    <t>Total Registered</t>
  </si>
  <si>
    <t>Total Weekly Rides</t>
  </si>
  <si>
    <t>Avg Rides per Weather</t>
  </si>
  <si>
    <t>Casual Rides</t>
  </si>
  <si>
    <t>Registered Rides</t>
  </si>
  <si>
    <t>Avg Ride Volume</t>
  </si>
  <si>
    <t>FALSE</t>
  </si>
  <si>
    <t>TRUE</t>
  </si>
  <si>
    <t xml:space="preserve">Avg Hourly Demand </t>
  </si>
  <si>
    <t>Daily Total Demand</t>
  </si>
  <si>
    <t>Forecast(Total_Count)</t>
  </si>
  <si>
    <t>Lower Confidence Bound(Total_Count)</t>
  </si>
  <si>
    <t>Upper Confidence Bound(Total_Count)</t>
  </si>
  <si>
    <t>Day_type</t>
  </si>
  <si>
    <t>Time_category</t>
  </si>
  <si>
    <t>Weekend</t>
  </si>
  <si>
    <t>Off-Peak</t>
  </si>
  <si>
    <t>Morning Peak</t>
  </si>
  <si>
    <t>Evening Peak</t>
  </si>
  <si>
    <t>Unnamed: 0</t>
  </si>
  <si>
    <t>Weather_Label</t>
  </si>
  <si>
    <t>Clear/Few Clouds</t>
  </si>
  <si>
    <t>Mist/Cloudy</t>
  </si>
  <si>
    <t>Light Rain/Snow</t>
  </si>
  <si>
    <t>Heavy Rain/Fog</t>
  </si>
  <si>
    <t>Pearson Correlation Heatmap</t>
  </si>
  <si>
    <t>Visualize linear dependencies across weather and demand features.</t>
  </si>
  <si>
    <t>Row Labels</t>
  </si>
  <si>
    <t>Column Labels</t>
  </si>
  <si>
    <t>Average of Total_Count</t>
  </si>
  <si>
    <t>Heatmap — Hourly Demand vs. Weather Condition</t>
  </si>
  <si>
    <t>Identify  high - risk / peak demand hours across weather labels.</t>
  </si>
  <si>
    <t>Highlight commuter peak hours vs. weekend leisure curves.</t>
  </si>
  <si>
    <t>Heatmap — Hourly Demand vs. Day Type</t>
  </si>
  <si>
    <t>(All)</t>
  </si>
  <si>
    <t>Avg of Casual Riders</t>
  </si>
  <si>
    <t>Avg of Registered Riders</t>
  </si>
  <si>
    <t>Contrast Registered vs Casual demand across 24 hours.</t>
  </si>
  <si>
    <t>Avg of Casual_Customers</t>
  </si>
  <si>
    <t>Avg of Registered_Customers</t>
  </si>
  <si>
    <t>Weather Category Breakdown &amp; User Composition</t>
  </si>
  <si>
    <t>This bar chart shows the total demand and user breakdown by weather</t>
  </si>
  <si>
    <t>0-0.12</t>
  </si>
  <si>
    <t>0.12-0.24</t>
  </si>
  <si>
    <t>0.24-0.36</t>
  </si>
  <si>
    <t>0.36-0.48</t>
  </si>
  <si>
    <t>0.48-0.6</t>
  </si>
  <si>
    <t>Avg of Total_Count</t>
  </si>
  <si>
    <t>View demand spread and outliers across wind speeds.</t>
  </si>
  <si>
    <t>Sum of Total_Count</t>
  </si>
  <si>
    <t>Count of Total_Count</t>
  </si>
  <si>
    <t>0-19</t>
  </si>
  <si>
    <t>20-39</t>
  </si>
  <si>
    <t>40-59</t>
  </si>
  <si>
    <t>60-79</t>
  </si>
  <si>
    <t>80-99</t>
  </si>
  <si>
    <t>100-119</t>
  </si>
  <si>
    <t>120-139</t>
  </si>
  <si>
    <t>140-159</t>
  </si>
  <si>
    <t>160-179</t>
  </si>
  <si>
    <t>180-199</t>
  </si>
  <si>
    <t>200-219</t>
  </si>
  <si>
    <t>220-239</t>
  </si>
  <si>
    <t>240-260</t>
  </si>
  <si>
    <t>Analyze skewness and volume spread across user types.</t>
  </si>
  <si>
    <t>Avg of of Total_Count</t>
  </si>
  <si>
    <t>Decision matrix for revenue potential vs risk periods.</t>
  </si>
  <si>
    <t>Operational Risk Heatmap (Weather vs. Time Category)</t>
  </si>
  <si>
    <t>Jan</t>
  </si>
  <si>
    <t>Feb</t>
  </si>
  <si>
    <t>Trace daily volume trends and smooth out noise</t>
  </si>
  <si>
    <t>Mean</t>
  </si>
  <si>
    <t>Standard Error</t>
  </si>
  <si>
    <t>Median</t>
  </si>
  <si>
    <t>Mode</t>
  </si>
  <si>
    <t>Standard Deviation</t>
  </si>
  <si>
    <t>Sample Variance</t>
  </si>
  <si>
    <t>Kurtosis</t>
  </si>
  <si>
    <t>Skewness</t>
  </si>
  <si>
    <t>Range</t>
  </si>
  <si>
    <t>Minimum</t>
  </si>
  <si>
    <t>Maximum</t>
  </si>
  <si>
    <t>Sum</t>
  </si>
  <si>
    <t>Count</t>
  </si>
  <si>
    <t>Descriptive Statistics</t>
  </si>
  <si>
    <t>Correlation Analysis</t>
  </si>
  <si>
    <t>Forecast Analysis Summary</t>
  </si>
  <si>
    <t xml:space="preserve"> FORECASTING</t>
  </si>
  <si>
    <t>Anomaly Status</t>
  </si>
  <si>
    <t>Normal Demand</t>
  </si>
  <si>
    <t>Anomaly Demand</t>
  </si>
  <si>
    <t>Average Demand</t>
  </si>
  <si>
    <t>Total Anomalies</t>
  </si>
  <si>
    <t>Lower Threshold</t>
  </si>
  <si>
    <t>Upper Threshold</t>
  </si>
  <si>
    <t>Total_Demand</t>
  </si>
  <si>
    <r>
      <rPr>
        <b/>
        <u/>
        <sz val="11"/>
        <color theme="1"/>
        <rFont val="Aptos Narrow"/>
        <family val="2"/>
        <scheme val="minor"/>
      </rPr>
      <t>Forecast Analysis</t>
    </r>
    <r>
      <rPr>
        <sz val="11"/>
        <color theme="1"/>
        <rFont val="Aptos Narrow"/>
        <family val="2"/>
        <scheme val="minor"/>
      </rPr>
      <t xml:space="preserve">: Historical user records were analyzed to estimate </t>
    </r>
    <r>
      <rPr>
        <b/>
        <sz val="11"/>
        <color theme="1"/>
        <rFont val="Aptos Narrow"/>
        <family val="2"/>
        <scheme val="minor"/>
      </rPr>
      <t>future daily demand</t>
    </r>
    <r>
      <rPr>
        <sz val="11"/>
        <color theme="1"/>
        <rFont val="Aptos Narrow"/>
        <family val="2"/>
        <scheme val="minor"/>
      </rPr>
      <t xml:space="preserve"> based on </t>
    </r>
    <r>
      <rPr>
        <b/>
        <sz val="11"/>
        <color theme="1"/>
        <rFont val="Aptos Narrow"/>
        <family val="2"/>
        <scheme val="minor"/>
      </rPr>
      <t>time-series patterns</t>
    </r>
    <r>
      <rPr>
        <sz val="11"/>
        <color theme="1"/>
        <rFont val="Aptos Narrow"/>
        <family val="2"/>
        <scheme val="minor"/>
      </rPr>
      <t>. The chart displays the historical trend alongside a forecasted trajectory, bounded by a</t>
    </r>
    <r>
      <rPr>
        <b/>
        <sz val="11"/>
        <color theme="1"/>
        <rFont val="Aptos Narrow"/>
        <family val="2"/>
        <scheme val="minor"/>
      </rPr>
      <t xml:space="preserve"> 95% confidence interval</t>
    </r>
    <r>
      <rPr>
        <sz val="11"/>
        <color theme="1"/>
        <rFont val="Aptos Narrow"/>
        <family val="2"/>
        <scheme val="minor"/>
      </rPr>
      <t xml:space="preserve"> (lower and upper confidence bounds) to </t>
    </r>
    <r>
      <rPr>
        <b/>
        <sz val="11"/>
        <color theme="1"/>
        <rFont val="Aptos Narrow"/>
        <family val="2"/>
        <scheme val="minor"/>
      </rPr>
      <t>project</t>
    </r>
    <r>
      <rPr>
        <sz val="11"/>
        <color theme="1"/>
        <rFont val="Aptos Narrow"/>
        <family val="2"/>
        <scheme val="minor"/>
      </rPr>
      <t xml:space="preserve"> expected </t>
    </r>
    <r>
      <rPr>
        <b/>
        <sz val="11"/>
        <color theme="1"/>
        <rFont val="Aptos Narrow"/>
        <family val="2"/>
        <scheme val="minor"/>
      </rPr>
      <t>future demand</t>
    </r>
    <r>
      <rPr>
        <sz val="11"/>
        <color theme="1"/>
        <rFont val="Aptos Narrow"/>
        <family val="2"/>
        <scheme val="minor"/>
      </rPr>
      <t xml:space="preserve"> and </t>
    </r>
    <r>
      <rPr>
        <b/>
        <sz val="11"/>
        <color theme="1"/>
        <rFont val="Aptos Narrow"/>
        <family val="2"/>
        <scheme val="minor"/>
      </rPr>
      <t>support operational planning.</t>
    </r>
  </si>
  <si>
    <r>
      <rPr>
        <b/>
        <u/>
        <sz val="11"/>
        <color theme="1"/>
        <rFont val="Aptos Narrow"/>
        <family val="2"/>
        <scheme val="minor"/>
      </rPr>
      <t>Anomaly Analysis Summary</t>
    </r>
    <r>
      <rPr>
        <sz val="11"/>
        <color theme="1"/>
        <rFont val="Aptos Narrow"/>
        <family val="2"/>
        <scheme val="minor"/>
      </rPr>
      <t xml:space="preserve">: Daily total demand was analyzed using </t>
    </r>
    <r>
      <rPr>
        <b/>
        <sz val="11"/>
        <color theme="1"/>
        <rFont val="Aptos Narrow"/>
        <family val="2"/>
        <scheme val="minor"/>
      </rPr>
      <t>statistical thresholds</t>
    </r>
    <r>
      <rPr>
        <sz val="11"/>
        <color theme="1"/>
        <rFont val="Aptos Narrow"/>
        <family val="2"/>
        <scheme val="minor"/>
      </rPr>
      <t xml:space="preserve"> based on the </t>
    </r>
    <r>
      <rPr>
        <b/>
        <sz val="11"/>
        <color theme="1"/>
        <rFont val="Aptos Narrow"/>
        <family val="2"/>
        <scheme val="minor"/>
      </rPr>
      <t>mean</t>
    </r>
    <r>
      <rPr>
        <sz val="11"/>
        <color theme="1"/>
        <rFont val="Aptos Narrow"/>
        <family val="2"/>
        <scheme val="minor"/>
      </rPr>
      <t xml:space="preserve"> and </t>
    </r>
    <r>
      <rPr>
        <b/>
        <sz val="11"/>
        <color theme="1"/>
        <rFont val="Aptos Narrow"/>
        <family val="2"/>
        <scheme val="minor"/>
      </rPr>
      <t>standard deviation</t>
    </r>
    <r>
      <rPr>
        <sz val="11"/>
        <color theme="1"/>
        <rFont val="Aptos Narrow"/>
        <family val="2"/>
        <scheme val="minor"/>
      </rPr>
      <t xml:space="preserve">. A record was classified as an </t>
    </r>
    <r>
      <rPr>
        <b/>
        <sz val="11"/>
        <color theme="1"/>
        <rFont val="Aptos Narrow"/>
        <family val="2"/>
        <scheme val="minor"/>
      </rPr>
      <t>anomaly</t>
    </r>
    <r>
      <rPr>
        <sz val="11"/>
        <color theme="1"/>
        <rFont val="Aptos Narrow"/>
        <family val="2"/>
        <scheme val="minor"/>
      </rPr>
      <t xml:space="preserve"> when its </t>
    </r>
    <r>
      <rPr>
        <b/>
        <sz val="11"/>
        <color theme="1"/>
        <rFont val="Aptos Narrow"/>
        <family val="2"/>
        <scheme val="minor"/>
      </rPr>
      <t>demand</t>
    </r>
    <r>
      <rPr>
        <sz val="11"/>
        <color theme="1"/>
        <rFont val="Aptos Narrow"/>
        <family val="2"/>
        <scheme val="minor"/>
      </rPr>
      <t xml:space="preserve"> differed from the </t>
    </r>
    <r>
      <rPr>
        <b/>
        <sz val="11"/>
        <color theme="1"/>
        <rFont val="Aptos Narrow"/>
        <family val="2"/>
        <scheme val="minor"/>
      </rPr>
      <t>average by more than two standard deviations</t>
    </r>
    <r>
      <rPr>
        <sz val="11"/>
        <color theme="1"/>
        <rFont val="Aptos Narrow"/>
        <family val="2"/>
        <scheme val="minor"/>
      </rPr>
      <t xml:space="preserve">, helping to identify unusually </t>
    </r>
    <r>
      <rPr>
        <b/>
        <sz val="11"/>
        <color theme="1"/>
        <rFont val="Aptos Narrow"/>
        <family val="2"/>
        <scheme val="minor"/>
      </rPr>
      <t>high or low demand periods and irregular patterns.</t>
    </r>
  </si>
  <si>
    <t>Left Function</t>
  </si>
  <si>
    <t>Right Function</t>
  </si>
  <si>
    <t>LEN Function</t>
  </si>
  <si>
    <t>Data Type(IF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</si>
</sst>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0.000"/>
    <numFmt numFmtId="165" formatCode="_ * #,##0.000_ ;_ * \-#,##0.000_ ;_ * &quot;-&quot;??_ ;_ @_ "/>
    <numFmt numFmtId="166" formatCode="0.00000"/>
    <numFmt numFmtId="167" formatCode="0.0"/>
  </numFmts>
  <fonts count="11" x14ac:knownFonts="1">
    <font>
      <sz val="11"/>
      <color theme="1"/>
      <name val="Aptos Narrow"/>
      <family val="2"/>
      <scheme val="minor"/>
    </font>
    <font>
      <sz val="11"/>
      <color theme="1"/>
      <name val="Aptos Narrow"/>
      <family val="2"/>
      <scheme val="minor"/>
    </font>
    <font>
      <b/>
      <sz val="11"/>
      <color theme="0"/>
      <name val="Aptos Narrow"/>
      <family val="2"/>
      <scheme val="minor"/>
    </font>
    <font>
      <sz val="8"/>
      <name val="Aptos Narrow"/>
      <family val="2"/>
      <scheme val="minor"/>
    </font>
    <font>
      <b/>
      <sz val="10"/>
      <color theme="1"/>
      <name val="Aptos Narrow"/>
      <family val="2"/>
      <scheme val="minor"/>
    </font>
    <font>
      <b/>
      <sz val="12"/>
      <color theme="1"/>
      <name val="Aptos Narrow"/>
      <family val="2"/>
      <scheme val="minor"/>
    </font>
    <font>
      <b/>
      <sz val="11"/>
      <color theme="1"/>
      <name val="Aptos Narrow"/>
      <family val="2"/>
      <scheme val="minor"/>
    </font>
    <font>
      <b/>
      <i/>
      <sz val="11"/>
      <color theme="1"/>
      <name val="Aptos Narrow"/>
      <family val="2"/>
      <scheme val="minor"/>
    </font>
    <font>
      <sz val="12"/>
      <color theme="1"/>
      <name val="Aptos Narrow"/>
      <family val="2"/>
      <scheme val="minor"/>
    </font>
    <font>
      <i/>
      <sz val="11"/>
      <color theme="1"/>
      <name val="Aptos Narrow"/>
      <family val="2"/>
      <scheme val="minor"/>
    </font>
    <font>
      <b/>
      <u/>
      <sz val="11"/>
      <color theme="1"/>
      <name val="Aptos Narrow"/>
      <family val="2"/>
      <scheme val="minor"/>
    </font>
  </fonts>
  <fills count="13">
    <fill>
      <patternFill patternType="none"/>
    </fill>
    <fill>
      <patternFill patternType="gray125"/>
    </fill>
    <fill>
      <patternFill patternType="solid">
        <fgColor theme="8"/>
        <bgColor theme="8"/>
      </patternFill>
    </fill>
    <fill>
      <patternFill patternType="solid">
        <fgColor rgb="FFFFFF00"/>
        <bgColor indexed="64"/>
      </patternFill>
    </fill>
    <fill>
      <patternFill patternType="solid">
        <fgColor theme="5"/>
        <bgColor indexed="64"/>
      </patternFill>
    </fill>
    <fill>
      <patternFill patternType="solid">
        <fgColor theme="5"/>
        <bgColor theme="5"/>
      </patternFill>
    </fill>
    <fill>
      <patternFill patternType="solid">
        <fgColor theme="0"/>
        <bgColor theme="0" tint="-0.14999847407452621"/>
      </patternFill>
    </fill>
    <fill>
      <patternFill patternType="solid">
        <fgColor theme="0"/>
        <bgColor indexed="64"/>
      </patternFill>
    </fill>
    <fill>
      <patternFill patternType="solid">
        <fgColor theme="0"/>
        <bgColor theme="4" tint="0.79998168889431442"/>
      </patternFill>
    </fill>
    <fill>
      <patternFill patternType="solid">
        <fgColor theme="0" tint="-0.14999847407452621"/>
        <bgColor theme="0" tint="-0.14999847407452621"/>
      </patternFill>
    </fill>
    <fill>
      <patternFill patternType="solid">
        <fgColor theme="4" tint="0.79998168889431442"/>
        <bgColor theme="4" tint="0.79998168889431442"/>
      </patternFill>
    </fill>
    <fill>
      <patternFill patternType="solid">
        <fgColor rgb="FFF4F6F9"/>
        <bgColor indexed="64"/>
      </patternFill>
    </fill>
    <fill>
      <patternFill patternType="solid">
        <fgColor rgb="FF00CED1"/>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theme="5"/>
      </left>
      <right style="thin">
        <color theme="5"/>
      </right>
      <top style="thin">
        <color theme="5"/>
      </top>
      <bottom style="thin">
        <color theme="5"/>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right/>
      <top style="thin">
        <color theme="4" tint="0.39997558519241921"/>
      </top>
      <bottom/>
      <diagonal/>
    </border>
    <border>
      <left/>
      <right/>
      <top/>
      <bottom style="thin">
        <color theme="4" tint="0.39997558519241921"/>
      </bottom>
      <diagonal/>
    </border>
  </borders>
  <cellStyleXfs count="2">
    <xf numFmtId="0" fontId="0" fillId="0" borderId="0"/>
    <xf numFmtId="43" fontId="1" fillId="0" borderId="0" applyFont="0" applyFill="0" applyBorder="0" applyAlignment="0" applyProtection="0"/>
  </cellStyleXfs>
  <cellXfs count="42">
    <xf numFmtId="0" fontId="0" fillId="0" borderId="0" xfId="0"/>
    <xf numFmtId="14" fontId="0" fillId="0" borderId="0" xfId="0" applyNumberFormat="1"/>
    <xf numFmtId="0" fontId="0" fillId="0" borderId="0" xfId="0" applyAlignment="1">
      <alignment horizontal="center" vertical="center"/>
    </xf>
    <xf numFmtId="14" fontId="0" fillId="0" borderId="0" xfId="0" applyNumberFormat="1" applyAlignment="1">
      <alignment horizontal="center" vertical="center"/>
    </xf>
    <xf numFmtId="0" fontId="2" fillId="2" borderId="1" xfId="0" applyFont="1" applyFill="1" applyBorder="1"/>
    <xf numFmtId="0" fontId="0" fillId="0" borderId="1" xfId="0" applyBorder="1"/>
    <xf numFmtId="164" fontId="0" fillId="0" borderId="1" xfId="0" applyNumberFormat="1" applyBorder="1"/>
    <xf numFmtId="165" fontId="0" fillId="0" borderId="1" xfId="1" applyNumberFormat="1" applyFont="1" applyBorder="1"/>
    <xf numFmtId="0" fontId="0" fillId="0" borderId="0" xfId="0" pivotButton="1"/>
    <xf numFmtId="2" fontId="0" fillId="0" borderId="0" xfId="0" applyNumberFormat="1"/>
    <xf numFmtId="4" fontId="0" fillId="0" borderId="0" xfId="0" applyNumberFormat="1"/>
    <xf numFmtId="0" fontId="7" fillId="0" borderId="1" xfId="0" applyFont="1" applyBorder="1" applyAlignment="1">
      <alignment horizontal="center"/>
    </xf>
    <xf numFmtId="0" fontId="6" fillId="0" borderId="1" xfId="0" applyFont="1" applyBorder="1"/>
    <xf numFmtId="0" fontId="0" fillId="0" borderId="0" xfId="0" applyAlignment="1">
      <alignment horizontal="left"/>
    </xf>
    <xf numFmtId="0" fontId="8" fillId="0" borderId="0" xfId="0" applyFont="1"/>
    <xf numFmtId="0" fontId="9" fillId="0" borderId="1" xfId="0" applyFont="1" applyBorder="1" applyAlignment="1">
      <alignment horizontal="center"/>
    </xf>
    <xf numFmtId="166" fontId="0" fillId="0" borderId="0" xfId="0" applyNumberFormat="1"/>
    <xf numFmtId="0" fontId="2" fillId="5" borderId="0" xfId="0" applyFont="1" applyFill="1"/>
    <xf numFmtId="14" fontId="0" fillId="6" borderId="4" xfId="0" applyNumberFormat="1" applyFill="1" applyBorder="1"/>
    <xf numFmtId="14" fontId="0" fillId="7" borderId="4" xfId="0" applyNumberFormat="1" applyFill="1" applyBorder="1"/>
    <xf numFmtId="14" fontId="6" fillId="8" borderId="4" xfId="0" applyNumberFormat="1" applyFont="1" applyFill="1" applyBorder="1"/>
    <xf numFmtId="0" fontId="0" fillId="0" borderId="3" xfId="0" applyBorder="1"/>
    <xf numFmtId="0" fontId="0" fillId="3" borderId="3" xfId="0" applyFill="1" applyBorder="1"/>
    <xf numFmtId="0" fontId="0" fillId="0" borderId="5" xfId="0" applyBorder="1"/>
    <xf numFmtId="2" fontId="0" fillId="0" borderId="5" xfId="0" applyNumberFormat="1" applyBorder="1"/>
    <xf numFmtId="0" fontId="6" fillId="0" borderId="5" xfId="0" applyFont="1" applyBorder="1"/>
    <xf numFmtId="0" fontId="0" fillId="9" borderId="0" xfId="0" applyFill="1"/>
    <xf numFmtId="0" fontId="6" fillId="10" borderId="6" xfId="0" applyFont="1" applyFill="1" applyBorder="1"/>
    <xf numFmtId="0" fontId="6" fillId="10" borderId="7" xfId="0" applyFont="1" applyFill="1" applyBorder="1"/>
    <xf numFmtId="0" fontId="0" fillId="11" borderId="0" xfId="0" applyFill="1"/>
    <xf numFmtId="167" fontId="0" fillId="0" borderId="0" xfId="0" applyNumberFormat="1"/>
    <xf numFmtId="0" fontId="6" fillId="3" borderId="1" xfId="0" applyFont="1" applyFill="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xf>
    <xf numFmtId="0" fontId="4" fillId="12" borderId="1" xfId="0" applyFont="1" applyFill="1" applyBorder="1" applyAlignment="1">
      <alignment horizontal="center" vertical="center"/>
    </xf>
    <xf numFmtId="0" fontId="6" fillId="7" borderId="1" xfId="0" applyFont="1" applyFill="1" applyBorder="1" applyAlignment="1">
      <alignment horizontal="center" vertical="center"/>
    </xf>
    <xf numFmtId="0" fontId="5" fillId="3" borderId="0" xfId="0" applyFont="1" applyFill="1" applyAlignment="1">
      <alignment horizontal="center" vertical="center"/>
    </xf>
    <xf numFmtId="0" fontId="5" fillId="4" borderId="0" xfId="0" applyFont="1" applyFill="1"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0" fillId="0" borderId="0" xfId="0" applyAlignment="1">
      <alignment horizontal="center" vertical="center" wrapText="1"/>
    </xf>
    <xf numFmtId="0" fontId="5" fillId="3" borderId="2" xfId="0" applyFont="1" applyFill="1" applyBorder="1" applyAlignment="1">
      <alignment horizontal="center" vertical="center"/>
    </xf>
  </cellXfs>
  <cellStyles count="2">
    <cellStyle name="Comma" xfId="1" builtinId="3"/>
    <cellStyle name="Normal" xfId="0" builtinId="0"/>
  </cellStyles>
  <dxfs count="84">
    <dxf>
      <border diagonalUp="0" diagonalDown="0">
        <left style="thin">
          <color theme="5"/>
        </left>
        <right style="thin">
          <color theme="5"/>
        </right>
        <top style="thin">
          <color theme="5"/>
        </top>
        <bottom style="thin">
          <color theme="5"/>
        </bottom>
        <vertical style="thin">
          <color theme="5"/>
        </vertical>
        <horizontal style="thin">
          <color theme="5"/>
        </horizontal>
      </border>
    </dxf>
    <dxf>
      <border diagonalUp="0" diagonalDown="0">
        <left style="thin">
          <color theme="5"/>
        </left>
        <right style="thin">
          <color theme="5"/>
        </right>
        <top style="thin">
          <color theme="5"/>
        </top>
        <bottom style="thin">
          <color theme="5"/>
        </bottom>
        <vertical style="thin">
          <color theme="5"/>
        </vertical>
        <horizontal style="thin">
          <color theme="5"/>
        </horizontal>
      </border>
    </dxf>
    <dxf>
      <border diagonalUp="0" diagonalDown="0">
        <left style="thin">
          <color theme="5"/>
        </left>
        <right style="thin">
          <color theme="5"/>
        </right>
        <top style="thin">
          <color theme="5"/>
        </top>
        <bottom style="thin">
          <color theme="5"/>
        </bottom>
        <vertical style="thin">
          <color theme="5"/>
        </vertical>
        <horizontal style="thin">
          <color theme="5"/>
        </horizontal>
      </border>
    </dxf>
    <dxf>
      <border diagonalUp="0" diagonalDown="0">
        <left style="thin">
          <color theme="5"/>
        </left>
        <right style="thin">
          <color theme="5"/>
        </right>
        <top style="thin">
          <color theme="5"/>
        </top>
        <bottom style="thin">
          <color theme="5"/>
        </bottom>
        <vertical style="thin">
          <color theme="5"/>
        </vertical>
        <horizontal style="thin">
          <color theme="5"/>
        </horizontal>
      </border>
    </dxf>
    <dxf>
      <border outline="0">
        <top style="thin">
          <color theme="5"/>
        </top>
      </border>
    </dxf>
    <dxf>
      <font>
        <b/>
        <i val="0"/>
        <strike val="0"/>
        <condense val="0"/>
        <extend val="0"/>
        <outline val="0"/>
        <shadow val="0"/>
        <u val="none"/>
        <vertAlign val="baseline"/>
        <sz val="11"/>
        <color theme="0"/>
        <name val="Aptos Narrow"/>
        <family val="2"/>
        <scheme val="minor"/>
      </font>
      <fill>
        <patternFill patternType="solid">
          <fgColor theme="5"/>
          <bgColor theme="5"/>
        </patternFill>
      </fill>
    </dxf>
    <dxf>
      <numFmt numFmtId="2" formatCode="0.00"/>
    </dxf>
    <dxf>
      <numFmt numFmtId="2" formatCode="0.00"/>
    </dxf>
    <dxf>
      <numFmt numFmtId="19" formatCode="dd/mm/yyyy"/>
    </dxf>
    <dxf>
      <numFmt numFmtId="19" formatCode="dd/mm/yyyy"/>
    </dxf>
    <dxf>
      <font>
        <color rgb="FF006100"/>
      </font>
      <fill>
        <patternFill>
          <bgColor rgb="FFC6EFCE"/>
        </patternFill>
      </fill>
    </dxf>
    <dxf>
      <font>
        <color rgb="FF9C5700"/>
      </font>
      <fill>
        <patternFill>
          <bgColor rgb="FFFFEB9C"/>
        </patternFill>
      </fill>
    </dxf>
    <dxf>
      <fill>
        <patternFill>
          <bgColor theme="5" tint="0.39994506668294322"/>
        </patternFill>
      </fill>
    </dxf>
    <dxf>
      <fill>
        <patternFill>
          <bgColor rgb="FFFF0000"/>
        </patternFill>
      </fill>
    </dxf>
    <dxf>
      <numFmt numFmtId="19" formatCode="dd/mm/yyyy"/>
    </dxf>
    <dxf>
      <font>
        <color rgb="FF006100"/>
      </font>
      <fill>
        <patternFill>
          <bgColor rgb="FFC6EFCE"/>
        </patternFill>
      </fill>
    </dxf>
    <dxf>
      <font>
        <color rgb="FF9C5700"/>
      </font>
      <fill>
        <patternFill>
          <bgColor rgb="FFFFEB9C"/>
        </patternFill>
      </fill>
    </dxf>
    <dxf>
      <fill>
        <patternFill>
          <bgColor theme="5" tint="0.39994506668294322"/>
        </patternFill>
      </fill>
    </dxf>
    <dxf>
      <fill>
        <patternFill>
          <bgColor rgb="FFFF0000"/>
        </patternFill>
      </fill>
    </dxf>
    <dxf>
      <numFmt numFmtId="0" formatCode="General"/>
    </dxf>
    <dxf>
      <numFmt numFmtId="0" formatCode="General"/>
    </dxf>
    <dxf>
      <numFmt numFmtId="19" formatCode="dd/mm/yyyy"/>
    </dxf>
    <dxf>
      <font>
        <color rgb="FF006100"/>
      </font>
      <fill>
        <patternFill>
          <bgColor rgb="FFC6EFCE"/>
        </patternFill>
      </fill>
    </dxf>
    <dxf>
      <font>
        <color rgb="FF9C5700"/>
      </font>
      <fill>
        <patternFill>
          <bgColor rgb="FFFFEB9C"/>
        </patternFill>
      </fill>
    </dxf>
    <dxf>
      <fill>
        <patternFill>
          <bgColor theme="5" tint="0.3999450666829432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dxf>
    <dxf>
      <fill>
        <patternFill>
          <bgColor theme="5" tint="0.39994506668294322"/>
        </patternFill>
      </fill>
    </dxf>
    <dxf>
      <fill>
        <patternFill>
          <bgColor rgb="FFFF0000"/>
        </patternFill>
      </fill>
    </dxf>
    <dxf>
      <fill>
        <patternFill>
          <bgColor rgb="FFFFC7CE"/>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dxf>
  </dxfs>
  <tableStyles count="0" defaultTableStyle="TableStyleMedium2" defaultPivotStyle="PivotStyleLight16"/>
  <colors>
    <mruColors>
      <color rgb="FFA91791"/>
      <color rgb="FFF96167"/>
      <color rgb="FF00CED1"/>
      <color rgb="FFFCB6B9"/>
      <color rgb="FFF9E795"/>
      <color rgb="FF1BB7B0"/>
      <color rgb="FF735DA5"/>
      <color rgb="FFC4DFE6"/>
      <color rgb="FFF98866"/>
      <color rgb="FFA7BE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onnections" Target="connection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theme" Target="theme/theme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3.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2.xml"/><Relationship Id="rId30" Type="http://schemas.microsoft.com/office/2007/relationships/slicerCache" Target="slicerCaches/slicerCache5.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1.xlsm]Hourly Profile by User Segment!PivotTable3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0">
                <a:solidFill>
                  <a:schemeClr val="tx1"/>
                </a:solidFill>
              </a:rPr>
              <a:t>Hourly</a:t>
            </a:r>
            <a:r>
              <a:rPr lang="en-IN" sz="1100" b="0" baseline="0">
                <a:solidFill>
                  <a:schemeClr val="tx1"/>
                </a:solidFill>
              </a:rPr>
              <a:t> Profile by User Segment(Weekday vs Weekend Line Chart</a:t>
            </a:r>
            <a:endParaRPr lang="en-IN" sz="1100" b="0">
              <a:solidFill>
                <a:schemeClr val="tx1"/>
              </a:solidFill>
            </a:endParaRPr>
          </a:p>
        </c:rich>
      </c:tx>
      <c:overlay val="0"/>
      <c:spPr>
        <a:solidFill>
          <a:srgbClr val="FFFF0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'Hourly Profile by User Segment'!$B$3</c:f>
              <c:strCache>
                <c:ptCount val="1"/>
                <c:pt idx="0">
                  <c:v>Avg of Casual Riders</c:v>
                </c:pt>
              </c:strCache>
            </c:strRef>
          </c:tx>
          <c:spPr>
            <a:solidFill>
              <a:schemeClr val="accent1"/>
            </a:solidFill>
            <a:ln>
              <a:noFill/>
            </a:ln>
            <a:effectLst/>
          </c:spPr>
          <c:invertIfNegative val="0"/>
          <c:cat>
            <c:strRef>
              <c:f>'Hourly Profile by User Segment'!$A$4:$A$28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Profile by User Segment'!$B$4:$B$28</c:f>
              <c:numCache>
                <c:formatCode>General</c:formatCode>
                <c:ptCount val="24"/>
                <c:pt idx="0">
                  <c:v>1.7209302325581395</c:v>
                </c:pt>
                <c:pt idx="1">
                  <c:v>1.1162790697674418</c:v>
                </c:pt>
                <c:pt idx="2">
                  <c:v>0.80487804878048785</c:v>
                </c:pt>
                <c:pt idx="3">
                  <c:v>1.096774193548387</c:v>
                </c:pt>
                <c:pt idx="4">
                  <c:v>0.21875</c:v>
                </c:pt>
                <c:pt idx="5">
                  <c:v>7.6923076923076927E-2</c:v>
                </c:pt>
                <c:pt idx="6">
                  <c:v>0.5</c:v>
                </c:pt>
                <c:pt idx="7">
                  <c:v>1.4883720930232558</c:v>
                </c:pt>
                <c:pt idx="8">
                  <c:v>3.0238095238095237</c:v>
                </c:pt>
                <c:pt idx="9">
                  <c:v>4.0952380952380949</c:v>
                </c:pt>
                <c:pt idx="10">
                  <c:v>5.1428571428571432</c:v>
                </c:pt>
                <c:pt idx="11">
                  <c:v>8.7380952380952372</c:v>
                </c:pt>
                <c:pt idx="12">
                  <c:v>11.209302325581396</c:v>
                </c:pt>
                <c:pt idx="13">
                  <c:v>11.930232558139535</c:v>
                </c:pt>
                <c:pt idx="14">
                  <c:v>10.837209302325581</c:v>
                </c:pt>
                <c:pt idx="15">
                  <c:v>12.465116279069768</c:v>
                </c:pt>
                <c:pt idx="16">
                  <c:v>11.204545454545455</c:v>
                </c:pt>
                <c:pt idx="17">
                  <c:v>8.9772727272727266</c:v>
                </c:pt>
                <c:pt idx="18">
                  <c:v>5.1627906976744189</c:v>
                </c:pt>
                <c:pt idx="19">
                  <c:v>4.3488372093023253</c:v>
                </c:pt>
                <c:pt idx="20">
                  <c:v>3.2558139534883721</c:v>
                </c:pt>
                <c:pt idx="21">
                  <c:v>2.7209302325581395</c:v>
                </c:pt>
                <c:pt idx="22">
                  <c:v>2.3953488372093021</c:v>
                </c:pt>
                <c:pt idx="23">
                  <c:v>2.3488372093023258</c:v>
                </c:pt>
              </c:numCache>
            </c:numRef>
          </c:val>
          <c:extLst>
            <c:ext xmlns:c16="http://schemas.microsoft.com/office/drawing/2014/chart" uri="{C3380CC4-5D6E-409C-BE32-E72D297353CC}">
              <c16:uniqueId val="{00000000-9563-4CE0-804E-DC8C3F69757C}"/>
            </c:ext>
          </c:extLst>
        </c:ser>
        <c:ser>
          <c:idx val="1"/>
          <c:order val="1"/>
          <c:tx>
            <c:strRef>
              <c:f>'Hourly Profile by User Segment'!$C$3</c:f>
              <c:strCache>
                <c:ptCount val="1"/>
                <c:pt idx="0">
                  <c:v>Avg of Registered Riders</c:v>
                </c:pt>
              </c:strCache>
            </c:strRef>
          </c:tx>
          <c:spPr>
            <a:solidFill>
              <a:schemeClr val="accent2"/>
            </a:solidFill>
            <a:ln>
              <a:noFill/>
            </a:ln>
            <a:effectLst/>
          </c:spPr>
          <c:invertIfNegative val="0"/>
          <c:cat>
            <c:strRef>
              <c:f>'Hourly Profile by User Segment'!$A$4:$A$28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Profile by User Segment'!$C$4:$C$28</c:f>
              <c:numCache>
                <c:formatCode>General</c:formatCode>
                <c:ptCount val="24"/>
                <c:pt idx="0">
                  <c:v>14.627906976744185</c:v>
                </c:pt>
                <c:pt idx="1">
                  <c:v>9.5813953488372086</c:v>
                </c:pt>
                <c:pt idx="2">
                  <c:v>6.3658536585365857</c:v>
                </c:pt>
                <c:pt idx="3">
                  <c:v>3.774193548387097</c:v>
                </c:pt>
                <c:pt idx="4">
                  <c:v>1.9375</c:v>
                </c:pt>
                <c:pt idx="5">
                  <c:v>4.1282051282051286</c:v>
                </c:pt>
                <c:pt idx="6">
                  <c:v>19.071428571428573</c:v>
                </c:pt>
                <c:pt idx="7">
                  <c:v>52.906976744186046</c:v>
                </c:pt>
                <c:pt idx="8">
                  <c:v>125.26190476190476</c:v>
                </c:pt>
                <c:pt idx="9">
                  <c:v>83.333333333333329</c:v>
                </c:pt>
                <c:pt idx="10">
                  <c:v>48.5</c:v>
                </c:pt>
                <c:pt idx="11">
                  <c:v>50.642857142857146</c:v>
                </c:pt>
                <c:pt idx="12">
                  <c:v>65.139534883720927</c:v>
                </c:pt>
                <c:pt idx="13">
                  <c:v>66.581395348837205</c:v>
                </c:pt>
                <c:pt idx="14">
                  <c:v>63.581395348837212</c:v>
                </c:pt>
                <c:pt idx="15">
                  <c:v>65.488372093023258</c:v>
                </c:pt>
                <c:pt idx="16">
                  <c:v>78.068181818181813</c:v>
                </c:pt>
                <c:pt idx="17">
                  <c:v>131.22727272727272</c:v>
                </c:pt>
                <c:pt idx="18">
                  <c:v>117.69767441860465</c:v>
                </c:pt>
                <c:pt idx="19">
                  <c:v>80.79069767441861</c:v>
                </c:pt>
                <c:pt idx="20">
                  <c:v>58.511627906976742</c:v>
                </c:pt>
                <c:pt idx="21">
                  <c:v>43.697674418604649</c:v>
                </c:pt>
                <c:pt idx="22">
                  <c:v>32.674418604651166</c:v>
                </c:pt>
                <c:pt idx="23">
                  <c:v>22.837209302325583</c:v>
                </c:pt>
              </c:numCache>
            </c:numRef>
          </c:val>
          <c:extLst>
            <c:ext xmlns:c16="http://schemas.microsoft.com/office/drawing/2014/chart" uri="{C3380CC4-5D6E-409C-BE32-E72D297353CC}">
              <c16:uniqueId val="{00000001-9563-4CE0-804E-DC8C3F69757C}"/>
            </c:ext>
          </c:extLst>
        </c:ser>
        <c:dLbls>
          <c:showLegendKey val="0"/>
          <c:showVal val="0"/>
          <c:showCatName val="0"/>
          <c:showSerName val="0"/>
          <c:showPercent val="0"/>
          <c:showBubbleSize val="0"/>
        </c:dLbls>
        <c:gapWidth val="219"/>
        <c:overlap val="100"/>
        <c:axId val="73073280"/>
        <c:axId val="1689756783"/>
      </c:barChart>
      <c:catAx>
        <c:axId val="7307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9756783"/>
        <c:crosses val="autoZero"/>
        <c:auto val="1"/>
        <c:lblAlgn val="ctr"/>
        <c:lblOffset val="100"/>
        <c:noMultiLvlLbl val="0"/>
      </c:catAx>
      <c:valAx>
        <c:axId val="1689756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73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1.xlsm]Weather Category Breakdown &amp; Us!PivotTable4</c:name>
    <c:fmtId val="0"/>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0">
                <a:solidFill>
                  <a:schemeClr val="tx1"/>
                </a:solidFill>
              </a:rPr>
              <a:t>Weather</a:t>
            </a:r>
            <a:r>
              <a:rPr lang="en-IN" b="0" baseline="0">
                <a:solidFill>
                  <a:schemeClr val="tx1"/>
                </a:solidFill>
              </a:rPr>
              <a:t> Category Breakdown &amp; User Composition</a:t>
            </a:r>
            <a:endParaRPr lang="en-IN" b="0">
              <a:solidFill>
                <a:schemeClr val="tx1"/>
              </a:solidFill>
            </a:endParaRPr>
          </a:p>
        </c:rich>
      </c:tx>
      <c:layout>
        <c:manualLayout>
          <c:xMode val="edge"/>
          <c:yMode val="edge"/>
          <c:x val="0.15561187664041992"/>
          <c:y val="0.11934966462525518"/>
        </c:manualLayout>
      </c:layout>
      <c:overlay val="0"/>
      <c:spPr>
        <a:solidFill>
          <a:srgbClr val="FFFF00"/>
        </a:solid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'Weather Category Breakdown &amp; Us'!$B$3</c:f>
              <c:strCache>
                <c:ptCount val="1"/>
                <c:pt idx="0">
                  <c:v>Avg of Casual_Customers</c:v>
                </c:pt>
              </c:strCache>
            </c:strRef>
          </c:tx>
          <c:spPr>
            <a:solidFill>
              <a:schemeClr val="accent1"/>
            </a:solidFill>
            <a:ln>
              <a:noFill/>
            </a:ln>
            <a:effectLst/>
          </c:spPr>
          <c:invertIfNegative val="0"/>
          <c:cat>
            <c:strRef>
              <c:f>'Weather Category Breakdown &amp; Us'!$A$4:$A$8</c:f>
              <c:strCache>
                <c:ptCount val="4"/>
                <c:pt idx="0">
                  <c:v>Clear/Few Clouds</c:v>
                </c:pt>
                <c:pt idx="1">
                  <c:v>Heavy Rain/Fog</c:v>
                </c:pt>
                <c:pt idx="2">
                  <c:v>Light Rain/Snow</c:v>
                </c:pt>
                <c:pt idx="3">
                  <c:v>Mist/Cloudy</c:v>
                </c:pt>
              </c:strCache>
            </c:strRef>
          </c:cat>
          <c:val>
            <c:numRef>
              <c:f>'Weather Category Breakdown &amp; Us'!$B$4:$B$8</c:f>
              <c:numCache>
                <c:formatCode>General</c:formatCode>
                <c:ptCount val="4"/>
                <c:pt idx="0">
                  <c:v>5.2986798679867988</c:v>
                </c:pt>
                <c:pt idx="1">
                  <c:v>1</c:v>
                </c:pt>
                <c:pt idx="2">
                  <c:v>2.0357142857142856</c:v>
                </c:pt>
                <c:pt idx="3">
                  <c:v>4.9773462783171523</c:v>
                </c:pt>
              </c:numCache>
            </c:numRef>
          </c:val>
          <c:extLst>
            <c:ext xmlns:c16="http://schemas.microsoft.com/office/drawing/2014/chart" uri="{C3380CC4-5D6E-409C-BE32-E72D297353CC}">
              <c16:uniqueId val="{00000000-63ED-4E13-BC17-E767F8D4615D}"/>
            </c:ext>
          </c:extLst>
        </c:ser>
        <c:ser>
          <c:idx val="1"/>
          <c:order val="1"/>
          <c:tx>
            <c:strRef>
              <c:f>'Weather Category Breakdown &amp; Us'!$C$3</c:f>
              <c:strCache>
                <c:ptCount val="1"/>
                <c:pt idx="0">
                  <c:v>Avg of Registered_Customers</c:v>
                </c:pt>
              </c:strCache>
            </c:strRef>
          </c:tx>
          <c:spPr>
            <a:solidFill>
              <a:schemeClr val="accent2"/>
            </a:solidFill>
            <a:ln>
              <a:noFill/>
            </a:ln>
            <a:effectLst/>
          </c:spPr>
          <c:invertIfNegative val="0"/>
          <c:cat>
            <c:strRef>
              <c:f>'Weather Category Breakdown &amp; Us'!$A$4:$A$8</c:f>
              <c:strCache>
                <c:ptCount val="4"/>
                <c:pt idx="0">
                  <c:v>Clear/Few Clouds</c:v>
                </c:pt>
                <c:pt idx="1">
                  <c:v>Heavy Rain/Fog</c:v>
                </c:pt>
                <c:pt idx="2">
                  <c:v>Light Rain/Snow</c:v>
                </c:pt>
                <c:pt idx="3">
                  <c:v>Mist/Cloudy</c:v>
                </c:pt>
              </c:strCache>
            </c:strRef>
          </c:cat>
          <c:val>
            <c:numRef>
              <c:f>'Weather Category Breakdown &amp; Us'!$C$4:$C$8</c:f>
              <c:numCache>
                <c:formatCode>General</c:formatCode>
                <c:ptCount val="4"/>
                <c:pt idx="0">
                  <c:v>56.372937293729372</c:v>
                </c:pt>
                <c:pt idx="1">
                  <c:v>35</c:v>
                </c:pt>
                <c:pt idx="2">
                  <c:v>31.166666666666668</c:v>
                </c:pt>
                <c:pt idx="3">
                  <c:v>53.618122977346282</c:v>
                </c:pt>
              </c:numCache>
            </c:numRef>
          </c:val>
          <c:extLst>
            <c:ext xmlns:c16="http://schemas.microsoft.com/office/drawing/2014/chart" uri="{C3380CC4-5D6E-409C-BE32-E72D297353CC}">
              <c16:uniqueId val="{00000001-63ED-4E13-BC17-E767F8D4615D}"/>
            </c:ext>
          </c:extLst>
        </c:ser>
        <c:dLbls>
          <c:showLegendKey val="0"/>
          <c:showVal val="0"/>
          <c:showCatName val="0"/>
          <c:showSerName val="0"/>
          <c:showPercent val="0"/>
          <c:showBubbleSize val="0"/>
        </c:dLbls>
        <c:gapWidth val="182"/>
        <c:overlap val="100"/>
        <c:axId val="1074872240"/>
        <c:axId val="1084468912"/>
      </c:barChart>
      <c:catAx>
        <c:axId val="10748722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468912"/>
        <c:crosses val="autoZero"/>
        <c:auto val="1"/>
        <c:lblAlgn val="ctr"/>
        <c:lblOffset val="100"/>
        <c:noMultiLvlLbl val="0"/>
      </c:catAx>
      <c:valAx>
        <c:axId val="1084468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872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1.xlsm]Windspeed Binned Boxplot!PivotTable5</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200">
                <a:solidFill>
                  <a:schemeClr val="tx1"/>
                </a:solidFill>
              </a:rPr>
              <a:t>Windspeed Binned Boxplot</a:t>
            </a:r>
          </a:p>
        </c:rich>
      </c:tx>
      <c:layout>
        <c:manualLayout>
          <c:xMode val="edge"/>
          <c:yMode val="edge"/>
          <c:x val="0.2780601288475304"/>
          <c:y val="3.0869587530608953E-2"/>
        </c:manualLayout>
      </c:layout>
      <c:overlay val="0"/>
      <c:spPr>
        <a:solidFill>
          <a:srgbClr val="FFFF00"/>
        </a:solid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'Windspeed Binned Boxplot'!$B$3</c:f>
              <c:strCache>
                <c:ptCount val="1"/>
                <c:pt idx="0">
                  <c:v>Total</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'Windspeed Binned Boxplot'!$A$4:$A$9</c:f>
              <c:strCache>
                <c:ptCount val="5"/>
                <c:pt idx="0">
                  <c:v>0-0.12</c:v>
                </c:pt>
                <c:pt idx="1">
                  <c:v>0.12-0.24</c:v>
                </c:pt>
                <c:pt idx="2">
                  <c:v>0.24-0.36</c:v>
                </c:pt>
                <c:pt idx="3">
                  <c:v>0.36-0.48</c:v>
                </c:pt>
                <c:pt idx="4">
                  <c:v>0.48-0.6</c:v>
                </c:pt>
              </c:strCache>
            </c:strRef>
          </c:cat>
          <c:val>
            <c:numRef>
              <c:f>'Windspeed Binned Boxplot'!$B$4:$B$9</c:f>
              <c:numCache>
                <c:formatCode>General</c:formatCode>
                <c:ptCount val="5"/>
                <c:pt idx="0">
                  <c:v>53.586885245901641</c:v>
                </c:pt>
                <c:pt idx="1">
                  <c:v>55.638483965014579</c:v>
                </c:pt>
                <c:pt idx="2">
                  <c:v>62.797665369649806</c:v>
                </c:pt>
                <c:pt idx="3">
                  <c:v>63.108108108108105</c:v>
                </c:pt>
                <c:pt idx="4">
                  <c:v>98.428571428571431</c:v>
                </c:pt>
              </c:numCache>
            </c:numRef>
          </c:val>
          <c:extLst>
            <c:ext xmlns:c16="http://schemas.microsoft.com/office/drawing/2014/chart" uri="{C3380CC4-5D6E-409C-BE32-E72D297353CC}">
              <c16:uniqueId val="{00000000-0EEC-47DC-9F3A-A00AAB8B412E}"/>
            </c:ext>
          </c:extLst>
        </c:ser>
        <c:dLbls>
          <c:dLblPos val="outEnd"/>
          <c:showLegendKey val="0"/>
          <c:showVal val="1"/>
          <c:showCatName val="0"/>
          <c:showSerName val="0"/>
          <c:showPercent val="0"/>
          <c:showBubbleSize val="0"/>
        </c:dLbls>
        <c:gapWidth val="444"/>
        <c:overlap val="-90"/>
        <c:axId val="1103188432"/>
        <c:axId val="1689870543"/>
      </c:barChart>
      <c:catAx>
        <c:axId val="11031884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689870543"/>
        <c:crosses val="autoZero"/>
        <c:auto val="1"/>
        <c:lblAlgn val="ctr"/>
        <c:lblOffset val="100"/>
        <c:noMultiLvlLbl val="0"/>
      </c:catAx>
      <c:valAx>
        <c:axId val="1689870543"/>
        <c:scaling>
          <c:orientation val="minMax"/>
        </c:scaling>
        <c:delete val="1"/>
        <c:axPos val="l"/>
        <c:numFmt formatCode="General" sourceLinked="1"/>
        <c:majorTickMark val="none"/>
        <c:minorTickMark val="none"/>
        <c:tickLblPos val="nextTo"/>
        <c:crossAx val="1103188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1.xlsm]Demand Frequency Distribution!PivotTable1</c:name>
    <c:fmtId val="0"/>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200" b="1">
                <a:solidFill>
                  <a:schemeClr val="tx1"/>
                </a:solidFill>
              </a:rPr>
              <a:t>Demand</a:t>
            </a:r>
            <a:r>
              <a:rPr lang="en-IN" sz="1200" b="1" baseline="0">
                <a:solidFill>
                  <a:schemeClr val="tx1"/>
                </a:solidFill>
              </a:rPr>
              <a:t> Frequency Distribution</a:t>
            </a:r>
            <a:endParaRPr lang="en-IN" sz="1200" b="1">
              <a:solidFill>
                <a:schemeClr val="tx1"/>
              </a:solidFill>
            </a:endParaRPr>
          </a:p>
        </c:rich>
      </c:tx>
      <c:layout>
        <c:manualLayout>
          <c:xMode val="edge"/>
          <c:yMode val="edge"/>
          <c:x val="0.3313888888888889"/>
          <c:y val="4.5275590551181105E-2"/>
        </c:manualLayout>
      </c:layout>
      <c:overlay val="0"/>
      <c:spPr>
        <a:solidFill>
          <a:srgbClr val="FFFF00"/>
        </a:solid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0"/>
              <c:y val="-2.7289297171186933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'Demand Frequency Distribution'!$B$3</c:f>
              <c:strCache>
                <c:ptCount val="1"/>
                <c:pt idx="0">
                  <c:v>Total</c:v>
                </c:pt>
              </c:strCache>
            </c:strRef>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2-3D73-43AE-8D59-CD31C6508147}"/>
              </c:ext>
            </c:extLst>
          </c:dPt>
          <c:dLbls>
            <c:dLbl>
              <c:idx val="0"/>
              <c:layout>
                <c:manualLayout>
                  <c:x val="0"/>
                  <c:y val="-2.72892971711869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D73-43AE-8D59-CD31C6508147}"/>
                </c:ext>
              </c:extLst>
            </c:dLbl>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'Demand Frequency Distribution'!$A$4:$A$17</c:f>
              <c:strCache>
                <c:ptCount val="13"/>
                <c:pt idx="0">
                  <c:v>0-19</c:v>
                </c:pt>
                <c:pt idx="1">
                  <c:v>20-39</c:v>
                </c:pt>
                <c:pt idx="2">
                  <c:v>40-59</c:v>
                </c:pt>
                <c:pt idx="3">
                  <c:v>60-79</c:v>
                </c:pt>
                <c:pt idx="4">
                  <c:v>80-99</c:v>
                </c:pt>
                <c:pt idx="5">
                  <c:v>100-119</c:v>
                </c:pt>
                <c:pt idx="6">
                  <c:v>120-139</c:v>
                </c:pt>
                <c:pt idx="7">
                  <c:v>140-159</c:v>
                </c:pt>
                <c:pt idx="8">
                  <c:v>160-179</c:v>
                </c:pt>
                <c:pt idx="9">
                  <c:v>180-199</c:v>
                </c:pt>
                <c:pt idx="10">
                  <c:v>200-219</c:v>
                </c:pt>
                <c:pt idx="11">
                  <c:v>220-239</c:v>
                </c:pt>
                <c:pt idx="12">
                  <c:v>240-260</c:v>
                </c:pt>
              </c:strCache>
            </c:strRef>
          </c:cat>
          <c:val>
            <c:numRef>
              <c:f>'Demand Frequency Distribution'!$B$4:$B$17</c:f>
              <c:numCache>
                <c:formatCode>General</c:formatCode>
                <c:ptCount val="13"/>
                <c:pt idx="0">
                  <c:v>271</c:v>
                </c:pt>
                <c:pt idx="1">
                  <c:v>158</c:v>
                </c:pt>
                <c:pt idx="2">
                  <c:v>161</c:v>
                </c:pt>
                <c:pt idx="3">
                  <c:v>141</c:v>
                </c:pt>
                <c:pt idx="4">
                  <c:v>97</c:v>
                </c:pt>
                <c:pt idx="5">
                  <c:v>51</c:v>
                </c:pt>
                <c:pt idx="6">
                  <c:v>36</c:v>
                </c:pt>
                <c:pt idx="7">
                  <c:v>24</c:v>
                </c:pt>
                <c:pt idx="8">
                  <c:v>27</c:v>
                </c:pt>
                <c:pt idx="9">
                  <c:v>16</c:v>
                </c:pt>
                <c:pt idx="10">
                  <c:v>11</c:v>
                </c:pt>
                <c:pt idx="11">
                  <c:v>5</c:v>
                </c:pt>
                <c:pt idx="12">
                  <c:v>2</c:v>
                </c:pt>
              </c:numCache>
            </c:numRef>
          </c:val>
          <c:extLst>
            <c:ext xmlns:c16="http://schemas.microsoft.com/office/drawing/2014/chart" uri="{C3380CC4-5D6E-409C-BE32-E72D297353CC}">
              <c16:uniqueId val="{00000000-3D73-43AE-8D59-CD31C6508147}"/>
            </c:ext>
          </c:extLst>
        </c:ser>
        <c:dLbls>
          <c:showLegendKey val="0"/>
          <c:showVal val="1"/>
          <c:showCatName val="0"/>
          <c:showSerName val="0"/>
          <c:showPercent val="0"/>
          <c:showBubbleSize val="0"/>
        </c:dLbls>
        <c:gapWidth val="150"/>
        <c:shape val="box"/>
        <c:axId val="1963119727"/>
        <c:axId val="14746672"/>
        <c:axId val="1825535551"/>
      </c:bar3DChart>
      <c:catAx>
        <c:axId val="19631197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6672"/>
        <c:crosses val="autoZero"/>
        <c:auto val="1"/>
        <c:lblAlgn val="ctr"/>
        <c:lblOffset val="100"/>
        <c:noMultiLvlLbl val="0"/>
      </c:catAx>
      <c:valAx>
        <c:axId val="1474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3119727"/>
        <c:crosses val="autoZero"/>
        <c:crossBetween val="between"/>
      </c:valAx>
      <c:serAx>
        <c:axId val="1825535551"/>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667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1.xlsm]Time Category vs Day Type!PivotTable2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Time</a:t>
            </a:r>
            <a:r>
              <a:rPr lang="en-US" b="1" baseline="0">
                <a:solidFill>
                  <a:schemeClr val="tx1"/>
                </a:solidFill>
              </a:rPr>
              <a:t> Category vs Day Type</a:t>
            </a:r>
            <a:endParaRPr lang="en-US" b="1">
              <a:solidFill>
                <a:schemeClr val="tx1"/>
              </a:solidFill>
            </a:endParaRPr>
          </a:p>
        </c:rich>
      </c:tx>
      <c:layout>
        <c:manualLayout>
          <c:xMode val="edge"/>
          <c:yMode val="edge"/>
          <c:x val="0.32015239880094915"/>
          <c:y val="2.9386768786541475E-2"/>
        </c:manualLayout>
      </c:layout>
      <c:overlay val="0"/>
      <c:spPr>
        <a:solidFill>
          <a:srgbClr val="FFFF0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'Time Category vs Day Type'!$B$3:$B$4</c:f>
              <c:strCache>
                <c:ptCount val="1"/>
                <c:pt idx="0">
                  <c:v>Weekday</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07C-480E-8E5C-6E0A62A79AE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07C-480E-8E5C-6E0A62A79AE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07C-480E-8E5C-6E0A62A79AEA}"/>
              </c:ext>
            </c:extLst>
          </c:dPt>
          <c:cat>
            <c:strRef>
              <c:f>'Time Category vs Day Type'!$A$5:$A$8</c:f>
              <c:strCache>
                <c:ptCount val="3"/>
                <c:pt idx="0">
                  <c:v>Evening Peak</c:v>
                </c:pt>
                <c:pt idx="1">
                  <c:v>Morning Peak</c:v>
                </c:pt>
                <c:pt idx="2">
                  <c:v>Off-Peak</c:v>
                </c:pt>
              </c:strCache>
            </c:strRef>
          </c:cat>
          <c:val>
            <c:numRef>
              <c:f>'Time Category vs Day Type'!$B$5:$B$8</c:f>
              <c:numCache>
                <c:formatCode>General</c:formatCode>
                <c:ptCount val="3"/>
                <c:pt idx="0">
                  <c:v>139.89772727272728</c:v>
                </c:pt>
                <c:pt idx="1">
                  <c:v>125.18823529411765</c:v>
                </c:pt>
                <c:pt idx="2">
                  <c:v>39.201207243460765</c:v>
                </c:pt>
              </c:numCache>
            </c:numRef>
          </c:val>
          <c:extLst>
            <c:ext xmlns:c16="http://schemas.microsoft.com/office/drawing/2014/chart" uri="{C3380CC4-5D6E-409C-BE32-E72D297353CC}">
              <c16:uniqueId val="{00000000-3680-43DD-BA7F-E25E33E1C476}"/>
            </c:ext>
          </c:extLst>
        </c:ser>
        <c:ser>
          <c:idx val="1"/>
          <c:order val="1"/>
          <c:tx>
            <c:strRef>
              <c:f>'Time Category vs Day Type'!$C$3:$C$4</c:f>
              <c:strCache>
                <c:ptCount val="1"/>
                <c:pt idx="0">
                  <c:v>Weekend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7-507C-480E-8E5C-6E0A62A79AE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507C-480E-8E5C-6E0A62A79AE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B-507C-480E-8E5C-6E0A62A79AEA}"/>
              </c:ext>
            </c:extLst>
          </c:dPt>
          <c:cat>
            <c:strRef>
              <c:f>'Time Category vs Day Type'!$A$5:$A$8</c:f>
              <c:strCache>
                <c:ptCount val="3"/>
                <c:pt idx="0">
                  <c:v>Evening Peak</c:v>
                </c:pt>
                <c:pt idx="1">
                  <c:v>Morning Peak</c:v>
                </c:pt>
                <c:pt idx="2">
                  <c:v>Off-Peak</c:v>
                </c:pt>
              </c:strCache>
            </c:strRef>
          </c:cat>
          <c:val>
            <c:numRef>
              <c:f>'Time Category vs Day Type'!$C$5:$C$8</c:f>
              <c:numCache>
                <c:formatCode>General</c:formatCode>
                <c:ptCount val="3"/>
                <c:pt idx="0">
                  <c:v>66.714285714285708</c:v>
                </c:pt>
                <c:pt idx="1">
                  <c:v>18.047619047619047</c:v>
                </c:pt>
                <c:pt idx="2">
                  <c:v>50.036585365853661</c:v>
                </c:pt>
              </c:numCache>
            </c:numRef>
          </c:val>
          <c:extLst>
            <c:ext xmlns:c16="http://schemas.microsoft.com/office/drawing/2014/chart" uri="{C3380CC4-5D6E-409C-BE32-E72D297353CC}">
              <c16:uniqueId val="{00000001-3680-43DD-BA7F-E25E33E1C476}"/>
            </c:ext>
          </c:extLst>
        </c:ser>
        <c:dLbls>
          <c:showLegendKey val="0"/>
          <c:showVal val="0"/>
          <c:showCatName val="0"/>
          <c:showSerName val="0"/>
          <c:showPercent val="0"/>
          <c:showBubbleSize val="0"/>
          <c:showLeaderLines val="1"/>
        </c:dLbls>
      </c:pie3DChart>
      <c:spPr>
        <a:noFill/>
        <a:ln>
          <a:noFill/>
        </a:ln>
        <a:effectLst/>
      </c:spPr>
    </c:plotArea>
    <c:legend>
      <c:legendPos val="r"/>
      <c:overlay val="0"/>
      <c:spPr>
        <a:solidFill>
          <a:srgbClr val="FFFF00"/>
        </a:solid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1.xlsm]Daily Time Series Demand Trend !PivotTable4</c:name>
    <c:fmtId val="2"/>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solidFill>
                  <a:schemeClr val="tx1"/>
                </a:solidFill>
              </a:rPr>
              <a:t>Daily Time Series Demand Trend</a:t>
            </a:r>
            <a:r>
              <a:rPr lang="en-US" sz="1100" b="1" baseline="0">
                <a:solidFill>
                  <a:schemeClr val="tx1"/>
                </a:solidFill>
              </a:rPr>
              <a:t>  </a:t>
            </a:r>
            <a:endParaRPr lang="en-US" sz="1100" b="1">
              <a:solidFill>
                <a:schemeClr val="tx1"/>
              </a:solidFill>
            </a:endParaRPr>
          </a:p>
        </c:rich>
      </c:tx>
      <c:layout>
        <c:manualLayout>
          <c:xMode val="edge"/>
          <c:yMode val="edge"/>
          <c:x val="0.31597216342580836"/>
          <c:y val="0.11918413110982487"/>
        </c:manualLayout>
      </c:layout>
      <c:overlay val="0"/>
      <c:spPr>
        <a:solidFill>
          <a:srgbClr val="FFFF00"/>
        </a:solid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'Daily Time Series Demand Trend '!$B$3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'Daily Time Series Demand Trend '!$A$4:$A$6</c:f>
              <c:strCache>
                <c:ptCount val="2"/>
                <c:pt idx="0">
                  <c:v>Jan</c:v>
                </c:pt>
                <c:pt idx="1">
                  <c:v>Feb</c:v>
                </c:pt>
              </c:strCache>
            </c:strRef>
          </c:cat>
          <c:val>
            <c:numRef>
              <c:f>'Daily Time Series Demand Trend '!$B$4:$B$6</c:f>
              <c:numCache>
                <c:formatCode>General</c:formatCode>
                <c:ptCount val="2"/>
                <c:pt idx="0">
                  <c:v>38189</c:v>
                </c:pt>
                <c:pt idx="1">
                  <c:v>20115</c:v>
                </c:pt>
              </c:numCache>
            </c:numRef>
          </c:val>
          <c:extLst>
            <c:ext xmlns:c16="http://schemas.microsoft.com/office/drawing/2014/chart" uri="{C3380CC4-5D6E-409C-BE32-E72D297353CC}">
              <c16:uniqueId val="{00000000-F4B2-4AF3-A165-563FDC8CC53F}"/>
            </c:ext>
          </c:extLst>
        </c:ser>
        <c:dLbls>
          <c:showLegendKey val="0"/>
          <c:showVal val="1"/>
          <c:showCatName val="0"/>
          <c:showSerName val="0"/>
          <c:showPercent val="0"/>
          <c:showBubbleSize val="0"/>
        </c:dLbls>
        <c:gapWidth val="150"/>
        <c:shape val="box"/>
        <c:axId val="54728432"/>
        <c:axId val="144000720"/>
        <c:axId val="0"/>
      </c:bar3DChart>
      <c:catAx>
        <c:axId val="547284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000720"/>
        <c:crosses val="autoZero"/>
        <c:auto val="1"/>
        <c:lblAlgn val="ctr"/>
        <c:lblOffset val="100"/>
        <c:noMultiLvlLbl val="0"/>
      </c:catAx>
      <c:valAx>
        <c:axId val="144000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28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rPr>
              <a:t>Historical</a:t>
            </a:r>
            <a:r>
              <a:rPr lang="en-IN" b="1" baseline="0">
                <a:solidFill>
                  <a:schemeClr val="tx1"/>
                </a:solidFill>
              </a:rPr>
              <a:t> &amp; Forecasted Total User Demand</a:t>
            </a:r>
            <a:endParaRPr lang="en-IN" b="1">
              <a:solidFill>
                <a:schemeClr val="tx1"/>
              </a:solidFill>
            </a:endParaRPr>
          </a:p>
        </c:rich>
      </c:tx>
      <c:layout>
        <c:manualLayout>
          <c:xMode val="edge"/>
          <c:yMode val="edge"/>
          <c:x val="0.29292342804975463"/>
          <c:y val="1.548586914440573E-2"/>
        </c:manualLayout>
      </c:layout>
      <c:overlay val="0"/>
      <c:spPr>
        <a:solidFill>
          <a:srgbClr val="FFFF00"/>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IN"/>
        </a:p>
      </c:txPr>
    </c:title>
    <c:autoTitleDeleted val="0"/>
    <c:plotArea>
      <c:layout/>
      <c:lineChart>
        <c:grouping val="standard"/>
        <c:varyColors val="0"/>
        <c:ser>
          <c:idx val="0"/>
          <c:order val="0"/>
          <c:tx>
            <c:strRef>
              <c:f>Forecasting_Analysis!$B$2</c:f>
              <c:strCache>
                <c:ptCount val="1"/>
                <c:pt idx="0">
                  <c:v>Total_Count</c:v>
                </c:pt>
              </c:strCache>
            </c:strRef>
          </c:tx>
          <c:spPr>
            <a:ln w="28575" cap="rnd">
              <a:solidFill>
                <a:schemeClr val="accent1"/>
              </a:solidFill>
              <a:round/>
            </a:ln>
            <a:effectLst/>
          </c:spPr>
          <c:marker>
            <c:symbol val="triangle"/>
            <c:size val="7"/>
            <c:spPr>
              <a:solidFill>
                <a:schemeClr val="accent1"/>
              </a:solidFill>
              <a:ln w="9525">
                <a:solidFill>
                  <a:schemeClr val="accent1"/>
                </a:solidFill>
              </a:ln>
              <a:effectLst/>
            </c:spPr>
          </c:marker>
          <c:val>
            <c:numRef>
              <c:f>Forecasting_Analysis!$B$3:$B$59</c:f>
              <c:numCache>
                <c:formatCode>0.00000</c:formatCode>
                <c:ptCount val="57"/>
                <c:pt idx="0">
                  <c:v>41.041666666666664</c:v>
                </c:pt>
                <c:pt idx="1">
                  <c:v>34.826086956521742</c:v>
                </c:pt>
                <c:pt idx="2">
                  <c:v>61.31818181818182</c:v>
                </c:pt>
                <c:pt idx="3">
                  <c:v>67.913043478260875</c:v>
                </c:pt>
                <c:pt idx="4">
                  <c:v>69.565217391304344</c:v>
                </c:pt>
                <c:pt idx="5">
                  <c:v>69.826086956521735</c:v>
                </c:pt>
                <c:pt idx="6">
                  <c:v>65.652173913043484</c:v>
                </c:pt>
                <c:pt idx="7">
                  <c:v>39.958333333333336</c:v>
                </c:pt>
                <c:pt idx="8">
                  <c:v>34.25</c:v>
                </c:pt>
                <c:pt idx="9">
                  <c:v>55.041666666666664</c:v>
                </c:pt>
                <c:pt idx="10">
                  <c:v>57.409090909090907</c:v>
                </c:pt>
                <c:pt idx="11">
                  <c:v>52.81818181818182</c:v>
                </c:pt>
                <c:pt idx="12">
                  <c:v>58.583333333333336</c:v>
                </c:pt>
                <c:pt idx="13">
                  <c:v>61.782608695652172</c:v>
                </c:pt>
                <c:pt idx="14">
                  <c:v>52</c:v>
                </c:pt>
                <c:pt idx="15">
                  <c:v>50.166666666666664</c:v>
                </c:pt>
                <c:pt idx="16">
                  <c:v>41.666666666666664</c:v>
                </c:pt>
                <c:pt idx="17">
                  <c:v>56.916666666666664</c:v>
                </c:pt>
                <c:pt idx="18">
                  <c:v>71.739130434782609</c:v>
                </c:pt>
                <c:pt idx="19">
                  <c:v>80.291666666666671</c:v>
                </c:pt>
                <c:pt idx="20">
                  <c:v>64.291666666666671</c:v>
                </c:pt>
                <c:pt idx="21">
                  <c:v>42.652173913043477</c:v>
                </c:pt>
                <c:pt idx="22">
                  <c:v>42.869565217391305</c:v>
                </c:pt>
                <c:pt idx="23">
                  <c:v>61.565217391304351</c:v>
                </c:pt>
                <c:pt idx="24">
                  <c:v>86.304347826086953</c:v>
                </c:pt>
                <c:pt idx="25">
                  <c:v>31.625</c:v>
                </c:pt>
                <c:pt idx="26">
                  <c:v>53.875</c:v>
                </c:pt>
                <c:pt idx="27">
                  <c:v>50.739130434782609</c:v>
                </c:pt>
                <c:pt idx="28">
                  <c:v>47.739130434782609</c:v>
                </c:pt>
                <c:pt idx="29">
                  <c:v>47.652173913043477</c:v>
                </c:pt>
                <c:pt idx="30">
                  <c:v>62.541666666666664</c:v>
                </c:pt>
                <c:pt idx="31">
                  <c:v>59.130434782608695</c:v>
                </c:pt>
                <c:pt idx="32">
                  <c:v>63.583333333333336</c:v>
                </c:pt>
                <c:pt idx="33">
                  <c:v>67.391304347826093</c:v>
                </c:pt>
                <c:pt idx="34">
                  <c:v>74.260869565217391</c:v>
                </c:pt>
                <c:pt idx="35">
                  <c:v>41.875</c:v>
                </c:pt>
                <c:pt idx="36">
                  <c:v>67.625</c:v>
                </c:pt>
                <c:pt idx="37">
                  <c:v>71.333333333333329</c:v>
                </c:pt>
                <c:pt idx="38">
                  <c:v>63.75</c:v>
                </c:pt>
                <c:pt idx="39">
                  <c:v>69.782608695652172</c:v>
                </c:pt>
                <c:pt idx="40">
                  <c:v>66.869565217391298</c:v>
                </c:pt>
                <c:pt idx="41">
                  <c:v>79.36363636363636</c:v>
                </c:pt>
                <c:pt idx="42">
                  <c:v>61.333333333333336</c:v>
                </c:pt>
                <c:pt idx="43">
                  <c:v>69.086956521739125</c:v>
                </c:pt>
                <c:pt idx="44">
                  <c:v>18.875</c:v>
                </c:pt>
              </c:numCache>
            </c:numRef>
          </c:val>
          <c:smooth val="0"/>
          <c:extLst>
            <c:ext xmlns:c16="http://schemas.microsoft.com/office/drawing/2014/chart" uri="{C3380CC4-5D6E-409C-BE32-E72D297353CC}">
              <c16:uniqueId val="{00000000-20D2-4385-B408-6214C08E1F37}"/>
            </c:ext>
          </c:extLst>
        </c:ser>
        <c:ser>
          <c:idx val="1"/>
          <c:order val="1"/>
          <c:tx>
            <c:strRef>
              <c:f>Forecasting_Analysis!$C$2</c:f>
              <c:strCache>
                <c:ptCount val="1"/>
                <c:pt idx="0">
                  <c:v>Forecast(Total_Count)</c:v>
                </c:pt>
              </c:strCache>
            </c:strRef>
          </c:tx>
          <c:spPr>
            <a:ln w="25400" cap="rnd">
              <a:solidFill>
                <a:srgbClr val="C00000"/>
              </a:solidFill>
              <a:round/>
            </a:ln>
            <a:effectLst/>
          </c:spPr>
          <c:marker>
            <c:symbol val="square"/>
            <c:size val="5"/>
            <c:spPr>
              <a:solidFill>
                <a:srgbClr val="C00000"/>
              </a:solidFill>
              <a:ln w="9525">
                <a:solidFill>
                  <a:srgbClr val="C00000"/>
                </a:solidFill>
              </a:ln>
              <a:effectLst/>
            </c:spPr>
          </c:marker>
          <c:cat>
            <c:numRef>
              <c:f>Forecasting_Analysis!$A$3:$A$59</c:f>
              <c:numCache>
                <c:formatCode>m/d/yyyy</c:formatCode>
                <c:ptCount val="57"/>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numCache>
            </c:numRef>
          </c:cat>
          <c:val>
            <c:numRef>
              <c:f>Forecasting_Analysis!$C$3:$C$59</c:f>
              <c:numCache>
                <c:formatCode>General</c:formatCode>
                <c:ptCount val="57"/>
                <c:pt idx="44">
                  <c:v>18.875</c:v>
                </c:pt>
                <c:pt idx="45">
                  <c:v>61.270134143024279</c:v>
                </c:pt>
                <c:pt idx="46">
                  <c:v>61.525827765725516</c:v>
                </c:pt>
                <c:pt idx="47">
                  <c:v>61.781521388426746</c:v>
                </c:pt>
                <c:pt idx="48">
                  <c:v>62.037215011127984</c:v>
                </c:pt>
                <c:pt idx="49">
                  <c:v>62.292908633829221</c:v>
                </c:pt>
                <c:pt idx="50">
                  <c:v>62.548602256530458</c:v>
                </c:pt>
                <c:pt idx="51">
                  <c:v>62.804295879231688</c:v>
                </c:pt>
                <c:pt idx="52">
                  <c:v>63.059989501932925</c:v>
                </c:pt>
                <c:pt idx="53">
                  <c:v>63.315683124634162</c:v>
                </c:pt>
                <c:pt idx="54">
                  <c:v>63.5713767473354</c:v>
                </c:pt>
                <c:pt idx="55">
                  <c:v>63.827070370036637</c:v>
                </c:pt>
                <c:pt idx="56">
                  <c:v>64.082763992737867</c:v>
                </c:pt>
              </c:numCache>
            </c:numRef>
          </c:val>
          <c:smooth val="0"/>
          <c:extLst>
            <c:ext xmlns:c16="http://schemas.microsoft.com/office/drawing/2014/chart" uri="{C3380CC4-5D6E-409C-BE32-E72D297353CC}">
              <c16:uniqueId val="{00000001-20D2-4385-B408-6214C08E1F37}"/>
            </c:ext>
          </c:extLst>
        </c:ser>
        <c:ser>
          <c:idx val="2"/>
          <c:order val="2"/>
          <c:tx>
            <c:strRef>
              <c:f>Forecasting_Analysis!$D$2</c:f>
              <c:strCache>
                <c:ptCount val="1"/>
                <c:pt idx="0">
                  <c:v>Lower Confidence Bound(Total_Count)</c:v>
                </c:pt>
              </c:strCache>
            </c:strRef>
          </c:tx>
          <c:spPr>
            <a:ln w="12700" cap="rnd">
              <a:solidFill>
                <a:srgbClr val="FFC000"/>
              </a:solidFill>
              <a:prstDash val="solid"/>
              <a:round/>
            </a:ln>
            <a:effectLst/>
          </c:spPr>
          <c:marker>
            <c:symbol val="diamond"/>
            <c:size val="6"/>
            <c:spPr>
              <a:solidFill>
                <a:srgbClr val="FFC000"/>
              </a:solidFill>
              <a:ln w="9525">
                <a:solidFill>
                  <a:srgbClr val="FFC000"/>
                </a:solidFill>
              </a:ln>
              <a:effectLst/>
            </c:spPr>
          </c:marker>
          <c:cat>
            <c:numRef>
              <c:f>Forecasting_Analysis!$A$3:$A$59</c:f>
              <c:numCache>
                <c:formatCode>m/d/yyyy</c:formatCode>
                <c:ptCount val="57"/>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numCache>
            </c:numRef>
          </c:cat>
          <c:val>
            <c:numRef>
              <c:f>Forecasting_Analysis!$D$3:$D$59</c:f>
              <c:numCache>
                <c:formatCode>General</c:formatCode>
                <c:ptCount val="57"/>
                <c:pt idx="44" formatCode="0.00">
                  <c:v>18.875</c:v>
                </c:pt>
                <c:pt idx="45" formatCode="0.00">
                  <c:v>31.858655883675784</c:v>
                </c:pt>
                <c:pt idx="46" formatCode="0.00">
                  <c:v>31.878109408718345</c:v>
                </c:pt>
                <c:pt idx="47" formatCode="0.00">
                  <c:v>31.895739851191895</c:v>
                </c:pt>
                <c:pt idx="48" formatCode="0.00">
                  <c:v>31.911561716718598</c:v>
                </c:pt>
                <c:pt idx="49" formatCode="0.00">
                  <c:v>31.925589377473688</c:v>
                </c:pt>
                <c:pt idx="50" formatCode="0.00">
                  <c:v>31.937837068955986</c:v>
                </c:pt>
                <c:pt idx="51" formatCode="0.00">
                  <c:v>31.948318887095059</c:v>
                </c:pt>
                <c:pt idx="52" formatCode="0.00">
                  <c:v>31.95704878567814</c:v>
                </c:pt>
                <c:pt idx="53" formatCode="0.00">
                  <c:v>31.964040574080091</c:v>
                </c:pt>
                <c:pt idx="54" formatCode="0.00">
                  <c:v>31.969307915280588</c:v>
                </c:pt>
                <c:pt idx="55" formatCode="0.00">
                  <c:v>31.972864324152855</c:v>
                </c:pt>
                <c:pt idx="56" formatCode="0.00">
                  <c:v>31.974723166009028</c:v>
                </c:pt>
              </c:numCache>
            </c:numRef>
          </c:val>
          <c:smooth val="0"/>
          <c:extLst>
            <c:ext xmlns:c16="http://schemas.microsoft.com/office/drawing/2014/chart" uri="{C3380CC4-5D6E-409C-BE32-E72D297353CC}">
              <c16:uniqueId val="{00000002-20D2-4385-B408-6214C08E1F37}"/>
            </c:ext>
          </c:extLst>
        </c:ser>
        <c:ser>
          <c:idx val="3"/>
          <c:order val="3"/>
          <c:tx>
            <c:strRef>
              <c:f>Forecasting_Analysis!$E$2</c:f>
              <c:strCache>
                <c:ptCount val="1"/>
                <c:pt idx="0">
                  <c:v>Upper Confidence Bound(Total_Count)</c:v>
                </c:pt>
              </c:strCache>
            </c:strRef>
          </c:tx>
          <c:spPr>
            <a:ln w="12700" cap="rnd">
              <a:solidFill>
                <a:schemeClr val="accent6"/>
              </a:solidFill>
              <a:prstDash val="solid"/>
              <a:round/>
            </a:ln>
            <a:effectLst/>
          </c:spPr>
          <c:marker>
            <c:symbol val="star"/>
            <c:size val="5"/>
            <c:spPr>
              <a:noFill/>
              <a:ln w="9525">
                <a:solidFill>
                  <a:schemeClr val="accent6"/>
                </a:solidFill>
              </a:ln>
              <a:effectLst/>
            </c:spPr>
          </c:marker>
          <c:cat>
            <c:numRef>
              <c:f>Forecasting_Analysis!$A$3:$A$59</c:f>
              <c:numCache>
                <c:formatCode>m/d/yyyy</c:formatCode>
                <c:ptCount val="57"/>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numCache>
            </c:numRef>
          </c:cat>
          <c:val>
            <c:numRef>
              <c:f>Forecasting_Analysis!$E$3:$E$59</c:f>
              <c:numCache>
                <c:formatCode>General</c:formatCode>
                <c:ptCount val="57"/>
                <c:pt idx="44" formatCode="0.00">
                  <c:v>18.875</c:v>
                </c:pt>
                <c:pt idx="45" formatCode="0.00">
                  <c:v>90.681612402372778</c:v>
                </c:pt>
                <c:pt idx="46" formatCode="0.00">
                  <c:v>91.173546122732688</c:v>
                </c:pt>
                <c:pt idx="47" formatCode="0.00">
                  <c:v>91.667302925661602</c:v>
                </c:pt>
                <c:pt idx="48" formatCode="0.00">
                  <c:v>92.162868305537373</c:v>
                </c:pt>
                <c:pt idx="49" formatCode="0.00">
                  <c:v>92.660227890184757</c:v>
                </c:pt>
                <c:pt idx="50" formatCode="0.00">
                  <c:v>93.15936744410493</c:v>
                </c:pt>
                <c:pt idx="51" formatCode="0.00">
                  <c:v>93.660272871368321</c:v>
                </c:pt>
                <c:pt idx="52" formatCode="0.00">
                  <c:v>94.162930218187711</c:v>
                </c:pt>
                <c:pt idx="53" formatCode="0.00">
                  <c:v>94.667325675188238</c:v>
                </c:pt>
                <c:pt idx="54" formatCode="0.00">
                  <c:v>95.173445579390204</c:v>
                </c:pt>
                <c:pt idx="55" formatCode="0.00">
                  <c:v>95.681276415920422</c:v>
                </c:pt>
                <c:pt idx="56" formatCode="0.00">
                  <c:v>96.190804819466706</c:v>
                </c:pt>
              </c:numCache>
            </c:numRef>
          </c:val>
          <c:smooth val="0"/>
          <c:extLst>
            <c:ext xmlns:c16="http://schemas.microsoft.com/office/drawing/2014/chart" uri="{C3380CC4-5D6E-409C-BE32-E72D297353CC}">
              <c16:uniqueId val="{00000003-20D2-4385-B408-6214C08E1F37}"/>
            </c:ext>
          </c:extLst>
        </c:ser>
        <c:dLbls>
          <c:showLegendKey val="0"/>
          <c:showVal val="0"/>
          <c:showCatName val="0"/>
          <c:showSerName val="0"/>
          <c:showPercent val="0"/>
          <c:showBubbleSize val="0"/>
        </c:dLbls>
        <c:marker val="1"/>
        <c:smooth val="0"/>
        <c:axId val="450540496"/>
        <c:axId val="108464016"/>
      </c:lineChart>
      <c:catAx>
        <c:axId val="450540496"/>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solidFill>
                <a:latin typeface="+mn-lt"/>
                <a:ea typeface="+mn-ea"/>
                <a:cs typeface="+mn-cs"/>
              </a:defRPr>
            </a:pPr>
            <a:endParaRPr lang="en-US"/>
          </a:p>
        </c:txPr>
        <c:crossAx val="108464016"/>
        <c:crosses val="autoZero"/>
        <c:auto val="1"/>
        <c:lblAlgn val="ctr"/>
        <c:lblOffset val="100"/>
        <c:noMultiLvlLbl val="0"/>
      </c:catAx>
      <c:valAx>
        <c:axId val="1084640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5054049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tx1"/>
                </a:solidFill>
              </a:rPr>
              <a:t>Daily</a:t>
            </a:r>
            <a:r>
              <a:rPr lang="en-IN" sz="1200" b="1" baseline="0">
                <a:solidFill>
                  <a:schemeClr val="tx1"/>
                </a:solidFill>
              </a:rPr>
              <a:t> Total Demand &amp; Anomaly Analysis</a:t>
            </a:r>
            <a:endParaRPr lang="en-IN" sz="1200" b="1">
              <a:solidFill>
                <a:schemeClr val="tx1"/>
              </a:solidFill>
            </a:endParaRPr>
          </a:p>
        </c:rich>
      </c:tx>
      <c:overlay val="0"/>
      <c:spPr>
        <a:solidFill>
          <a:srgbClr val="FFFF0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Anomaly_Analysis!$D$1</c:f>
              <c:strCache>
                <c:ptCount val="1"/>
                <c:pt idx="0">
                  <c:v>Normal Demand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Anomaly_Analysis!$A$2:$A$46</c:f>
              <c:numCache>
                <c:formatCode>m/d/yyyy</c:formatCode>
                <c:ptCount val="4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numCache>
            </c:numRef>
          </c:cat>
          <c:val>
            <c:numRef>
              <c:f>Anomaly_Analysis!$D$2:$D$46</c:f>
              <c:numCache>
                <c:formatCode>General</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#N/A</c:v>
                </c:pt>
                <c:pt idx="26">
                  <c:v>#N/A</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#N/A</c:v>
                </c:pt>
              </c:numCache>
            </c:numRef>
          </c:val>
          <c:smooth val="0"/>
          <c:extLst>
            <c:ext xmlns:c16="http://schemas.microsoft.com/office/drawing/2014/chart" uri="{C3380CC4-5D6E-409C-BE32-E72D297353CC}">
              <c16:uniqueId val="{00000000-A1BA-424D-80FF-E8AEBD3890FC}"/>
            </c:ext>
          </c:extLst>
        </c:ser>
        <c:ser>
          <c:idx val="1"/>
          <c:order val="1"/>
          <c:tx>
            <c:strRef>
              <c:f>Anomaly_Analysis!$E$1</c:f>
              <c:strCache>
                <c:ptCount val="1"/>
                <c:pt idx="0">
                  <c:v>Anomaly Demand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Anomaly_Analysis!$A$2:$A$46</c:f>
              <c:numCache>
                <c:formatCode>m/d/yyyy</c:formatCode>
                <c:ptCount val="4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numCache>
            </c:numRef>
          </c:cat>
          <c:val>
            <c:numRef>
              <c:f>Anomaly_Analysis!$E$2:$E$46</c:f>
              <c:numCache>
                <c:formatCode>General</c:formatCode>
                <c:ptCount val="4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506</c:v>
                </c:pt>
                <c:pt idx="26">
                  <c:v>431</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151</c:v>
                </c:pt>
              </c:numCache>
            </c:numRef>
          </c:val>
          <c:smooth val="0"/>
          <c:extLst>
            <c:ext xmlns:c16="http://schemas.microsoft.com/office/drawing/2014/chart" uri="{C3380CC4-5D6E-409C-BE32-E72D297353CC}">
              <c16:uniqueId val="{00000001-A1BA-424D-80FF-E8AEBD3890FC}"/>
            </c:ext>
          </c:extLst>
        </c:ser>
        <c:dLbls>
          <c:showLegendKey val="0"/>
          <c:showVal val="0"/>
          <c:showCatName val="0"/>
          <c:showSerName val="0"/>
          <c:showPercent val="0"/>
          <c:showBubbleSize val="0"/>
        </c:dLbls>
        <c:marker val="1"/>
        <c:smooth val="0"/>
        <c:axId val="1320437520"/>
        <c:axId val="1489294928"/>
      </c:lineChart>
      <c:dateAx>
        <c:axId val="13204375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solidFill>
                <a:latin typeface="+mn-lt"/>
                <a:ea typeface="+mn-ea"/>
                <a:cs typeface="+mn-cs"/>
              </a:defRPr>
            </a:pPr>
            <a:endParaRPr lang="en-US"/>
          </a:p>
        </c:txPr>
        <c:crossAx val="1489294928"/>
        <c:crosses val="autoZero"/>
        <c:auto val="1"/>
        <c:lblOffset val="100"/>
        <c:baseTimeUnit val="days"/>
      </c:dateAx>
      <c:valAx>
        <c:axId val="1489294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20437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1.xlsm]PivotTables!PT_Chart_HourlyDemand</c:name>
    <c:fmtId val="1"/>
  </c:pivotSource>
  <c:chart>
    <c:title>
      <c:tx>
        <c:rich>
          <a:bodyPr/>
          <a:lstStyle/>
          <a:p>
            <a:pPr>
              <a:defRPr sz="1000" b="1">
                <a:solidFill>
                  <a:srgbClr val="1E4D2B"/>
                </a:solidFill>
                <a:latin typeface="Segoe UI"/>
                <a:ea typeface="Segoe UI"/>
                <a:cs typeface="Segoe UI"/>
              </a:defRPr>
            </a:pPr>
            <a:r>
              <a:rPr lang="en-IN">
                <a:solidFill>
                  <a:schemeClr val="tx1"/>
                </a:solidFill>
              </a:rPr>
              <a:t>Hourly Demand Profile (Peak vs Off-Peak)</a:t>
            </a:r>
          </a:p>
        </c:rich>
      </c:tx>
      <c:layout>
        <c:manualLayout>
          <c:xMode val="edge"/>
          <c:yMode val="edge"/>
          <c:x val="0.26937051751509783"/>
          <c:y val="2.7591122124170579E-2"/>
        </c:manualLayout>
      </c:layout>
      <c:overlay val="0"/>
      <c:spPr>
        <a:solidFill>
          <a:srgbClr val="FFFF00"/>
        </a:solidFill>
      </c:spPr>
    </c:title>
    <c:autoTitleDeleted val="0"/>
    <c:pivotFmts>
      <c:pivotFmt>
        <c:idx val="0"/>
        <c:spPr>
          <a:solidFill>
            <a:srgbClr val="FFC000"/>
          </a:solidFill>
          <a:ln>
            <a:gradFill>
              <a:gsLst>
                <a:gs pos="0">
                  <a:schemeClr val="accent1">
                    <a:lumMod val="75000"/>
                    <a:alpha val="80000"/>
                  </a:schemeClr>
                </a:gs>
                <a:gs pos="100000">
                  <a:schemeClr val="accent1">
                    <a:lumMod val="75000"/>
                    <a:alpha val="0"/>
                  </a:schemeClr>
                </a:gs>
              </a:gsLst>
              <a:lin ang="5400000" scaled="1"/>
            </a:gradFill>
          </a:ln>
        </c:spPr>
        <c:marker>
          <c:symbol val="none"/>
        </c:marker>
        <c:dLbl>
          <c:idx val="0"/>
          <c:delete val="1"/>
          <c:extLst>
            <c:ext xmlns:c15="http://schemas.microsoft.com/office/drawing/2012/chart" uri="{CE6537A1-D6FC-4f65-9D91-7224C49458BB}"/>
          </c:extLst>
        </c:dLbl>
      </c:pivotFmt>
      <c:pivotFmt>
        <c:idx val="1"/>
        <c:spPr>
          <a:solidFill>
            <a:srgbClr val="00CED1"/>
          </a:solidFill>
          <a:ln>
            <a:gradFill>
              <a:gsLst>
                <a:gs pos="0">
                  <a:schemeClr val="accent1">
                    <a:lumMod val="75000"/>
                    <a:alpha val="80000"/>
                  </a:schemeClr>
                </a:gs>
                <a:gs pos="100000">
                  <a:schemeClr val="accent1">
                    <a:lumMod val="75000"/>
                    <a:alpha val="0"/>
                  </a:schemeClr>
                </a:gs>
              </a:gsLst>
              <a:lin ang="5400000" scaled="1"/>
            </a:gradFill>
          </a:ln>
        </c:spPr>
        <c:dLbl>
          <c:idx val="0"/>
          <c:spPr>
            <a:noFill/>
            <a:ln>
              <a:noFill/>
            </a:ln>
            <a:effectLst/>
          </c:spPr>
          <c:txPr>
            <a:bodyPr wrap="square" lIns="38100" tIns="19050" rIns="38100" bIns="19050" anchor="ctr">
              <a:spAutoFit/>
            </a:bodyPr>
            <a:lstStyle/>
            <a:p>
              <a:pPr>
                <a:defRPr b="1">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CED1"/>
          </a:solidFill>
          <a:ln>
            <a:gradFill>
              <a:gsLst>
                <a:gs pos="0">
                  <a:schemeClr val="accent1">
                    <a:lumMod val="75000"/>
                    <a:alpha val="80000"/>
                  </a:schemeClr>
                </a:gs>
                <a:gs pos="100000">
                  <a:schemeClr val="accent1">
                    <a:lumMod val="75000"/>
                    <a:alpha val="0"/>
                  </a:schemeClr>
                </a:gs>
              </a:gsLst>
              <a:lin ang="5400000" scaled="1"/>
            </a:gradFill>
          </a:ln>
        </c:spPr>
        <c:dLbl>
          <c:idx val="0"/>
          <c:spPr>
            <a:noFill/>
            <a:ln>
              <a:noFill/>
            </a:ln>
            <a:effectLst/>
          </c:spPr>
          <c:txPr>
            <a:bodyPr wrap="square" lIns="38100" tIns="19050" rIns="38100" bIns="19050" anchor="ctr">
              <a:spAutoFit/>
            </a:bodyPr>
            <a:lstStyle/>
            <a:p>
              <a:pPr>
                <a:defRPr b="1">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PivotTables!$B$33</c:f>
              <c:strCache>
                <c:ptCount val="1"/>
                <c:pt idx="0">
                  <c:v>Total</c:v>
                </c:pt>
              </c:strCache>
            </c:strRef>
          </c:tx>
          <c:spPr>
            <a:solidFill>
              <a:srgbClr val="FFC000"/>
            </a:solidFill>
            <a:ln>
              <a:gradFill>
                <a:gsLst>
                  <a:gs pos="0">
                    <a:schemeClr val="accent1">
                      <a:lumMod val="75000"/>
                      <a:alpha val="80000"/>
                    </a:schemeClr>
                  </a:gs>
                  <a:gs pos="100000">
                    <a:schemeClr val="accent1">
                      <a:lumMod val="75000"/>
                      <a:alpha val="0"/>
                    </a:schemeClr>
                  </a:gs>
                </a:gsLst>
                <a:lin ang="5400000" scaled="1"/>
              </a:gradFill>
            </a:ln>
          </c:spPr>
          <c:invertIfNegative val="0"/>
          <c:dPt>
            <c:idx val="8"/>
            <c:invertIfNegative val="0"/>
            <c:bubble3D val="0"/>
            <c:spPr>
              <a:solidFill>
                <a:srgbClr val="00CED1"/>
              </a:solidFill>
              <a:ln>
                <a:gradFill>
                  <a:gsLst>
                    <a:gs pos="0">
                      <a:schemeClr val="accent1">
                        <a:lumMod val="75000"/>
                        <a:alpha val="80000"/>
                      </a:schemeClr>
                    </a:gs>
                    <a:gs pos="100000">
                      <a:schemeClr val="accent1">
                        <a:lumMod val="75000"/>
                        <a:alpha val="0"/>
                      </a:schemeClr>
                    </a:gs>
                  </a:gsLst>
                  <a:lin ang="5400000" scaled="1"/>
                </a:gradFill>
              </a:ln>
            </c:spPr>
            <c:extLst>
              <c:ext xmlns:c16="http://schemas.microsoft.com/office/drawing/2014/chart" uri="{C3380CC4-5D6E-409C-BE32-E72D297353CC}">
                <c16:uniqueId val="{00000003-A40C-498D-A621-2B250973252C}"/>
              </c:ext>
            </c:extLst>
          </c:dPt>
          <c:dPt>
            <c:idx val="17"/>
            <c:invertIfNegative val="0"/>
            <c:bubble3D val="0"/>
            <c:spPr>
              <a:solidFill>
                <a:srgbClr val="00CED1"/>
              </a:solidFill>
              <a:ln>
                <a:gradFill>
                  <a:gsLst>
                    <a:gs pos="0">
                      <a:schemeClr val="accent1">
                        <a:lumMod val="75000"/>
                        <a:alpha val="80000"/>
                      </a:schemeClr>
                    </a:gs>
                    <a:gs pos="100000">
                      <a:schemeClr val="accent1">
                        <a:lumMod val="75000"/>
                        <a:alpha val="0"/>
                      </a:schemeClr>
                    </a:gs>
                  </a:gsLst>
                  <a:lin ang="5400000" scaled="1"/>
                </a:gradFill>
              </a:ln>
            </c:spPr>
            <c:extLst>
              <c:ext xmlns:c16="http://schemas.microsoft.com/office/drawing/2014/chart" uri="{C3380CC4-5D6E-409C-BE32-E72D297353CC}">
                <c16:uniqueId val="{00000004-A40C-498D-A621-2B250973252C}"/>
              </c:ext>
            </c:extLst>
          </c:dPt>
          <c:dLbls>
            <c:dLbl>
              <c:idx val="8"/>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40C-498D-A621-2B250973252C}"/>
                </c:ext>
              </c:extLst>
            </c:dLbl>
            <c:dLbl>
              <c:idx val="17"/>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40C-498D-A621-2B250973252C}"/>
                </c:ext>
              </c:extLst>
            </c:dLbl>
            <c:spPr>
              <a:noFill/>
              <a:ln>
                <a:noFill/>
              </a:ln>
              <a:effectLst/>
            </c:spPr>
            <c:txPr>
              <a:bodyPr wrap="square" lIns="38100" tIns="19050" rIns="38100" bIns="19050" anchor="ctr">
                <a:spAutoFit/>
              </a:bodyPr>
              <a:lstStyle/>
              <a:p>
                <a:pPr>
                  <a:defRPr b="1">
                    <a:solidFill>
                      <a:sysClr val="windowText" lastClr="000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PivotTables!$A$34:$A$58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PivotTables!$B$34:$B$58</c:f>
              <c:numCache>
                <c:formatCode>0.00</c:formatCode>
                <c:ptCount val="24"/>
                <c:pt idx="0">
                  <c:v>16.348837209302324</c:v>
                </c:pt>
                <c:pt idx="1">
                  <c:v>10.697674418604651</c:v>
                </c:pt>
                <c:pt idx="2">
                  <c:v>7.1707317073170733</c:v>
                </c:pt>
                <c:pt idx="3">
                  <c:v>4.870967741935484</c:v>
                </c:pt>
                <c:pt idx="4">
                  <c:v>2.15625</c:v>
                </c:pt>
                <c:pt idx="5">
                  <c:v>4.2051282051282053</c:v>
                </c:pt>
                <c:pt idx="6">
                  <c:v>19.571428571428573</c:v>
                </c:pt>
                <c:pt idx="7">
                  <c:v>54.395348837209305</c:v>
                </c:pt>
                <c:pt idx="8">
                  <c:v>128.28571428571428</c:v>
                </c:pt>
                <c:pt idx="9">
                  <c:v>87.428571428571431</c:v>
                </c:pt>
                <c:pt idx="10">
                  <c:v>53.642857142857146</c:v>
                </c:pt>
                <c:pt idx="11">
                  <c:v>59.38095238095238</c:v>
                </c:pt>
                <c:pt idx="12">
                  <c:v>76.348837209302332</c:v>
                </c:pt>
                <c:pt idx="13">
                  <c:v>78.511627906976742</c:v>
                </c:pt>
                <c:pt idx="14">
                  <c:v>74.418604651162795</c:v>
                </c:pt>
                <c:pt idx="15">
                  <c:v>77.95348837209302</c:v>
                </c:pt>
                <c:pt idx="16">
                  <c:v>89.272727272727266</c:v>
                </c:pt>
                <c:pt idx="17">
                  <c:v>140.20454545454547</c:v>
                </c:pt>
                <c:pt idx="18">
                  <c:v>122.86046511627907</c:v>
                </c:pt>
                <c:pt idx="19">
                  <c:v>85.139534883720927</c:v>
                </c:pt>
                <c:pt idx="20">
                  <c:v>61.767441860465119</c:v>
                </c:pt>
                <c:pt idx="21">
                  <c:v>46.418604651162788</c:v>
                </c:pt>
                <c:pt idx="22">
                  <c:v>35.069767441860463</c:v>
                </c:pt>
                <c:pt idx="23">
                  <c:v>25.186046511627907</c:v>
                </c:pt>
              </c:numCache>
            </c:numRef>
          </c:val>
          <c:extLst>
            <c:ext xmlns:c16="http://schemas.microsoft.com/office/drawing/2014/chart" uri="{C3380CC4-5D6E-409C-BE32-E72D297353CC}">
              <c16:uniqueId val="{00000000-ED14-468D-911E-08D9E095B6DE}"/>
            </c:ext>
          </c:extLst>
        </c:ser>
        <c:dLbls>
          <c:showLegendKey val="0"/>
          <c:showVal val="0"/>
          <c:showCatName val="0"/>
          <c:showSerName val="0"/>
          <c:showPercent val="0"/>
          <c:showBubbleSize val="0"/>
        </c:dLbls>
        <c:gapWidth val="150"/>
        <c:axId val="1581153215"/>
        <c:axId val="1549357999"/>
      </c:barChart>
      <c:catAx>
        <c:axId val="1581153215"/>
        <c:scaling>
          <c:orientation val="minMax"/>
        </c:scaling>
        <c:delete val="0"/>
        <c:axPos val="b"/>
        <c:numFmt formatCode="General" sourceLinked="1"/>
        <c:majorTickMark val="out"/>
        <c:minorTickMark val="none"/>
        <c:tickLblPos val="nextTo"/>
        <c:txPr>
          <a:bodyPr/>
          <a:lstStyle/>
          <a:p>
            <a:pPr>
              <a:defRPr b="1">
                <a:solidFill>
                  <a:sysClr val="windowText" lastClr="000000"/>
                </a:solidFill>
              </a:defRPr>
            </a:pPr>
            <a:endParaRPr lang="en-US"/>
          </a:p>
        </c:txPr>
        <c:crossAx val="1549357999"/>
        <c:crosses val="autoZero"/>
        <c:auto val="1"/>
        <c:lblAlgn val="ctr"/>
        <c:lblOffset val="100"/>
        <c:noMultiLvlLbl val="0"/>
      </c:catAx>
      <c:valAx>
        <c:axId val="1549357999"/>
        <c:scaling>
          <c:orientation val="minMax"/>
        </c:scaling>
        <c:delete val="0"/>
        <c:axPos val="l"/>
        <c:numFmt formatCode="0" sourceLinked="0"/>
        <c:majorTickMark val="out"/>
        <c:minorTickMark val="none"/>
        <c:tickLblPos val="nextTo"/>
        <c:txPr>
          <a:bodyPr/>
          <a:lstStyle/>
          <a:p>
            <a:pPr>
              <a:defRPr b="1">
                <a:solidFill>
                  <a:sysClr val="windowText" lastClr="000000"/>
                </a:solidFill>
              </a:defRPr>
            </a:pPr>
            <a:endParaRPr lang="en-US"/>
          </a:p>
        </c:txPr>
        <c:crossAx val="1581153215"/>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1.xlsm]PivotTables!PT_Chart_CustomerComp</c:name>
    <c:fmtId val="1"/>
  </c:pivotSource>
  <c:chart>
    <c:title>
      <c:tx>
        <c:rich>
          <a:bodyPr/>
          <a:lstStyle/>
          <a:p>
            <a:pPr>
              <a:defRPr sz="1000" b="1">
                <a:solidFill>
                  <a:srgbClr val="1E4D2B"/>
                </a:solidFill>
                <a:latin typeface="Segoe UI"/>
                <a:ea typeface="Segoe UI"/>
                <a:cs typeface="Segoe UI"/>
              </a:defRPr>
            </a:pPr>
            <a:r>
              <a:rPr lang="en-IN">
                <a:solidFill>
                  <a:schemeClr val="tx1"/>
                </a:solidFill>
              </a:rPr>
              <a:t>Customer Composition (Casual vs Registered)</a:t>
            </a:r>
          </a:p>
        </c:rich>
      </c:tx>
      <c:layout>
        <c:manualLayout>
          <c:xMode val="edge"/>
          <c:yMode val="edge"/>
          <c:x val="0.35822129509930661"/>
          <c:y val="1.7875019316173853E-2"/>
        </c:manualLayout>
      </c:layout>
      <c:overlay val="0"/>
      <c:spPr>
        <a:solidFill>
          <a:srgbClr val="FFFF00"/>
        </a:solidFill>
      </c:spPr>
    </c:title>
    <c:autoTitleDeleted val="0"/>
    <c:pivotFmts>
      <c:pivotFmt>
        <c:idx val="0"/>
        <c:spPr>
          <a:solidFill>
            <a:srgbClr val="A91791"/>
          </a:solidFill>
        </c:spPr>
        <c:marker>
          <c:symbol val="none"/>
        </c:marker>
        <c:dLbl>
          <c:idx val="0"/>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c:spPr>
        <c:marker>
          <c:symbol val="none"/>
        </c:marker>
        <c:dLbl>
          <c:idx val="0"/>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PivotTables!$A$61</c:f>
              <c:strCache>
                <c:ptCount val="1"/>
                <c:pt idx="0">
                  <c:v>Total Casual</c:v>
                </c:pt>
              </c:strCache>
            </c:strRef>
          </c:tx>
          <c:spPr>
            <a:solidFill>
              <a:srgbClr val="A91791"/>
            </a:solidFill>
          </c:spPr>
          <c:invertIfNegative val="0"/>
          <c:dLbls>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PivotTables!$A$62</c:f>
              <c:strCache>
                <c:ptCount val="1"/>
                <c:pt idx="0">
                  <c:v>Total</c:v>
                </c:pt>
              </c:strCache>
            </c:strRef>
          </c:cat>
          <c:val>
            <c:numRef>
              <c:f>PivotTables!$A$62</c:f>
              <c:numCache>
                <c:formatCode>General</c:formatCode>
                <c:ptCount val="1"/>
                <c:pt idx="0">
                  <c:v>4921</c:v>
                </c:pt>
              </c:numCache>
            </c:numRef>
          </c:val>
          <c:extLst>
            <c:ext xmlns:c16="http://schemas.microsoft.com/office/drawing/2014/chart" uri="{C3380CC4-5D6E-409C-BE32-E72D297353CC}">
              <c16:uniqueId val="{00000000-8980-4463-828F-FD4BA6D22989}"/>
            </c:ext>
          </c:extLst>
        </c:ser>
        <c:ser>
          <c:idx val="1"/>
          <c:order val="1"/>
          <c:tx>
            <c:strRef>
              <c:f>PivotTables!$B$61</c:f>
              <c:strCache>
                <c:ptCount val="1"/>
                <c:pt idx="0">
                  <c:v>Total Registered</c:v>
                </c:pt>
              </c:strCache>
            </c:strRef>
          </c:tx>
          <c:spPr>
            <a:solidFill>
              <a:srgbClr val="00B050"/>
            </a:solidFill>
          </c:spPr>
          <c:invertIfNegative val="0"/>
          <c:dLbls>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PivotTables!$A$62</c:f>
              <c:strCache>
                <c:ptCount val="1"/>
                <c:pt idx="0">
                  <c:v>Total</c:v>
                </c:pt>
              </c:strCache>
            </c:strRef>
          </c:cat>
          <c:val>
            <c:numRef>
              <c:f>PivotTables!$B$62</c:f>
              <c:numCache>
                <c:formatCode>General</c:formatCode>
                <c:ptCount val="1"/>
                <c:pt idx="0">
                  <c:v>53383</c:v>
                </c:pt>
              </c:numCache>
            </c:numRef>
          </c:val>
          <c:extLst>
            <c:ext xmlns:c16="http://schemas.microsoft.com/office/drawing/2014/chart" uri="{C3380CC4-5D6E-409C-BE32-E72D297353CC}">
              <c16:uniqueId val="{00000001-8980-4463-828F-FD4BA6D22989}"/>
            </c:ext>
          </c:extLst>
        </c:ser>
        <c:dLbls>
          <c:dLblPos val="outEnd"/>
          <c:showLegendKey val="0"/>
          <c:showVal val="1"/>
          <c:showCatName val="0"/>
          <c:showSerName val="0"/>
          <c:showPercent val="0"/>
          <c:showBubbleSize val="0"/>
        </c:dLbls>
        <c:gapWidth val="100"/>
        <c:axId val="751990191"/>
        <c:axId val="751987791"/>
      </c:barChart>
      <c:catAx>
        <c:axId val="751990191"/>
        <c:scaling>
          <c:orientation val="minMax"/>
        </c:scaling>
        <c:delete val="0"/>
        <c:axPos val="b"/>
        <c:numFmt formatCode="General" sourceLinked="1"/>
        <c:majorTickMark val="out"/>
        <c:minorTickMark val="none"/>
        <c:tickLblPos val="nextTo"/>
        <c:txPr>
          <a:bodyPr/>
          <a:lstStyle/>
          <a:p>
            <a:pPr>
              <a:defRPr b="1"/>
            </a:pPr>
            <a:endParaRPr lang="en-US"/>
          </a:p>
        </c:txPr>
        <c:crossAx val="751987791"/>
        <c:crosses val="autoZero"/>
        <c:auto val="1"/>
        <c:lblAlgn val="ctr"/>
        <c:lblOffset val="100"/>
        <c:noMultiLvlLbl val="0"/>
      </c:catAx>
      <c:valAx>
        <c:axId val="751987791"/>
        <c:scaling>
          <c:orientation val="minMax"/>
        </c:scaling>
        <c:delete val="1"/>
        <c:axPos val="l"/>
        <c:numFmt formatCode="General" sourceLinked="1"/>
        <c:majorTickMark val="out"/>
        <c:minorTickMark val="none"/>
        <c:tickLblPos val="nextTo"/>
        <c:crossAx val="751990191"/>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1.xlsm]PivotTables!PT_Chart_WeeklyDemand</c:name>
    <c:fmtId val="1"/>
  </c:pivotSource>
  <c:chart>
    <c:title>
      <c:tx>
        <c:rich>
          <a:bodyPr/>
          <a:lstStyle/>
          <a:p>
            <a:pPr>
              <a:defRPr sz="1000" b="1">
                <a:solidFill>
                  <a:schemeClr val="tx1"/>
                </a:solidFill>
                <a:latin typeface="Segoe UI"/>
                <a:ea typeface="Segoe UI"/>
                <a:cs typeface="Segoe UI"/>
              </a:defRPr>
            </a:pPr>
            <a:r>
              <a:rPr lang="en-IN">
                <a:solidFill>
                  <a:schemeClr val="tx1"/>
                </a:solidFill>
              </a:rPr>
              <a:t>Weekly Demand Distribution</a:t>
            </a:r>
          </a:p>
        </c:rich>
      </c:tx>
      <c:layout>
        <c:manualLayout>
          <c:xMode val="edge"/>
          <c:yMode val="edge"/>
          <c:x val="0.33878047140081935"/>
          <c:y val="2.6822809035120711E-2"/>
        </c:manualLayout>
      </c:layout>
      <c:overlay val="0"/>
      <c:spPr>
        <a:solidFill>
          <a:srgbClr val="FFFF00"/>
        </a:solidFill>
      </c:spPr>
    </c:title>
    <c:autoTitleDeleted val="0"/>
    <c:pivotFmts>
      <c:pivotFmt>
        <c:idx val="0"/>
        <c:spPr>
          <a:solidFill>
            <a:srgbClr val="591B8D"/>
          </a:solidFill>
        </c:spPr>
        <c:marker>
          <c:symbol val="none"/>
        </c:marker>
        <c:dLbl>
          <c:idx val="0"/>
          <c:spPr>
            <a:noFill/>
            <a:ln>
              <a:noFill/>
            </a:ln>
            <a:effectLst/>
          </c:spPr>
          <c:txPr>
            <a:bodyPr wrap="square" lIns="38100" tIns="19050" rIns="38100" bIns="19050" anchor="ctr">
              <a:spAutoFit/>
            </a:bodyPr>
            <a:lstStyle/>
            <a:p>
              <a:pPr>
                <a:defRPr sz="1000" b="1">
                  <a:solidFill>
                    <a:schemeClr val="tx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96167">
              <a:alpha val="60000"/>
            </a:srgbClr>
          </a:solidFill>
        </c:spPr>
      </c:pivotFmt>
      <c:pivotFmt>
        <c:idx val="2"/>
        <c:spPr>
          <a:solidFill>
            <a:srgbClr val="00CED1"/>
          </a:solidFill>
        </c:spPr>
      </c:pivotFmt>
      <c:pivotFmt>
        <c:idx val="3"/>
        <c:spPr>
          <a:solidFill>
            <a:srgbClr val="F96167">
              <a:alpha val="60000"/>
            </a:srgbClr>
          </a:solidFill>
        </c:spPr>
      </c:pivotFmt>
      <c:pivotFmt>
        <c:idx val="4"/>
        <c:spPr>
          <a:solidFill>
            <a:srgbClr val="00CED1"/>
          </a:solidFill>
        </c:spPr>
      </c:pivotFmt>
      <c:pivotFmt>
        <c:idx val="5"/>
        <c:spPr>
          <a:solidFill>
            <a:srgbClr val="00CED1"/>
          </a:solidFill>
        </c:spPr>
      </c:pivotFmt>
      <c:pivotFmt>
        <c:idx val="6"/>
        <c:spPr>
          <a:solidFill>
            <a:srgbClr val="F96167">
              <a:alpha val="60000"/>
            </a:srgbClr>
          </a:solidFill>
        </c:spPr>
      </c:pivotFmt>
      <c:pivotFmt>
        <c:idx val="7"/>
        <c:spPr>
          <a:solidFill>
            <a:srgbClr val="F96167">
              <a:alpha val="60000"/>
            </a:srgbClr>
          </a:solidFill>
        </c:spPr>
      </c:pivotFmt>
    </c:pivotFmts>
    <c:plotArea>
      <c:layout/>
      <c:barChart>
        <c:barDir val="col"/>
        <c:grouping val="clustered"/>
        <c:varyColors val="0"/>
        <c:ser>
          <c:idx val="0"/>
          <c:order val="0"/>
          <c:tx>
            <c:strRef>
              <c:f>PivotTables!$B$65</c:f>
              <c:strCache>
                <c:ptCount val="1"/>
                <c:pt idx="0">
                  <c:v>Total</c:v>
                </c:pt>
              </c:strCache>
            </c:strRef>
          </c:tx>
          <c:spPr>
            <a:solidFill>
              <a:srgbClr val="591B8D"/>
            </a:solidFill>
          </c:spPr>
          <c:invertIfNegative val="0"/>
          <c:dPt>
            <c:idx val="0"/>
            <c:invertIfNegative val="0"/>
            <c:bubble3D val="0"/>
            <c:spPr>
              <a:solidFill>
                <a:srgbClr val="F96167">
                  <a:alpha val="60000"/>
                </a:srgbClr>
              </a:solidFill>
            </c:spPr>
            <c:extLst>
              <c:ext xmlns:c16="http://schemas.microsoft.com/office/drawing/2014/chart" uri="{C3380CC4-5D6E-409C-BE32-E72D297353CC}">
                <c16:uniqueId val="{00000000-1E88-4307-A2EC-8C18E6B6E57C}"/>
              </c:ext>
            </c:extLst>
          </c:dPt>
          <c:dPt>
            <c:idx val="1"/>
            <c:invertIfNegative val="0"/>
            <c:bubble3D val="0"/>
            <c:spPr>
              <a:solidFill>
                <a:srgbClr val="00CED1"/>
              </a:solidFill>
            </c:spPr>
            <c:extLst>
              <c:ext xmlns:c16="http://schemas.microsoft.com/office/drawing/2014/chart" uri="{C3380CC4-5D6E-409C-BE32-E72D297353CC}">
                <c16:uniqueId val="{00000001-1E88-4307-A2EC-8C18E6B6E57C}"/>
              </c:ext>
            </c:extLst>
          </c:dPt>
          <c:dPt>
            <c:idx val="2"/>
            <c:invertIfNegative val="0"/>
            <c:bubble3D val="0"/>
            <c:spPr>
              <a:solidFill>
                <a:srgbClr val="F96167">
                  <a:alpha val="60000"/>
                </a:srgbClr>
              </a:solidFill>
            </c:spPr>
            <c:extLst>
              <c:ext xmlns:c16="http://schemas.microsoft.com/office/drawing/2014/chart" uri="{C3380CC4-5D6E-409C-BE32-E72D297353CC}">
                <c16:uniqueId val="{00000002-1E88-4307-A2EC-8C18E6B6E57C}"/>
              </c:ext>
            </c:extLst>
          </c:dPt>
          <c:dPt>
            <c:idx val="3"/>
            <c:invertIfNegative val="0"/>
            <c:bubble3D val="0"/>
            <c:spPr>
              <a:solidFill>
                <a:srgbClr val="00CED1"/>
              </a:solidFill>
            </c:spPr>
            <c:extLst>
              <c:ext xmlns:c16="http://schemas.microsoft.com/office/drawing/2014/chart" uri="{C3380CC4-5D6E-409C-BE32-E72D297353CC}">
                <c16:uniqueId val="{00000003-1E88-4307-A2EC-8C18E6B6E57C}"/>
              </c:ext>
            </c:extLst>
          </c:dPt>
          <c:dPt>
            <c:idx val="4"/>
            <c:invertIfNegative val="0"/>
            <c:bubble3D val="0"/>
            <c:spPr>
              <a:solidFill>
                <a:srgbClr val="F96167">
                  <a:alpha val="60000"/>
                </a:srgbClr>
              </a:solidFill>
            </c:spPr>
            <c:extLst>
              <c:ext xmlns:c16="http://schemas.microsoft.com/office/drawing/2014/chart" uri="{C3380CC4-5D6E-409C-BE32-E72D297353CC}">
                <c16:uniqueId val="{00000005-1E88-4307-A2EC-8C18E6B6E57C}"/>
              </c:ext>
            </c:extLst>
          </c:dPt>
          <c:dPt>
            <c:idx val="5"/>
            <c:invertIfNegative val="0"/>
            <c:bubble3D val="0"/>
            <c:spPr>
              <a:solidFill>
                <a:srgbClr val="00CED1"/>
              </a:solidFill>
            </c:spPr>
            <c:extLst>
              <c:ext xmlns:c16="http://schemas.microsoft.com/office/drawing/2014/chart" uri="{C3380CC4-5D6E-409C-BE32-E72D297353CC}">
                <c16:uniqueId val="{00000004-1E88-4307-A2EC-8C18E6B6E57C}"/>
              </c:ext>
            </c:extLst>
          </c:dPt>
          <c:dPt>
            <c:idx val="6"/>
            <c:invertIfNegative val="0"/>
            <c:bubble3D val="0"/>
            <c:spPr>
              <a:solidFill>
                <a:srgbClr val="F96167">
                  <a:alpha val="60000"/>
                </a:srgbClr>
              </a:solidFill>
            </c:spPr>
            <c:extLst>
              <c:ext xmlns:c16="http://schemas.microsoft.com/office/drawing/2014/chart" uri="{C3380CC4-5D6E-409C-BE32-E72D297353CC}">
                <c16:uniqueId val="{00000006-1E88-4307-A2EC-8C18E6B6E57C}"/>
              </c:ext>
            </c:extLst>
          </c:dPt>
          <c:dLbls>
            <c:spPr>
              <a:noFill/>
              <a:ln>
                <a:noFill/>
              </a:ln>
              <a:effectLst/>
            </c:spPr>
            <c:txPr>
              <a:bodyPr wrap="square" lIns="38100" tIns="19050" rIns="38100" bIns="19050" anchor="ctr">
                <a:spAutoFit/>
              </a:bodyPr>
              <a:lstStyle/>
              <a:p>
                <a:pPr>
                  <a:defRPr sz="1000" b="1">
                    <a:solidFill>
                      <a:schemeClr val="tx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PivotTables!$A$66:$A$73</c:f>
              <c:strCache>
                <c:ptCount val="7"/>
                <c:pt idx="0">
                  <c:v>Sunday</c:v>
                </c:pt>
                <c:pt idx="1">
                  <c:v>Monday</c:v>
                </c:pt>
                <c:pt idx="2">
                  <c:v>Tuesday</c:v>
                </c:pt>
                <c:pt idx="3">
                  <c:v>Wednesday</c:v>
                </c:pt>
                <c:pt idx="4">
                  <c:v>Thursday</c:v>
                </c:pt>
                <c:pt idx="5">
                  <c:v>Friday</c:v>
                </c:pt>
                <c:pt idx="6">
                  <c:v>Saturday</c:v>
                </c:pt>
              </c:strCache>
            </c:strRef>
          </c:cat>
          <c:val>
            <c:numRef>
              <c:f>PivotTables!$B$66:$B$73</c:f>
              <c:numCache>
                <c:formatCode>General</c:formatCode>
                <c:ptCount val="7"/>
                <c:pt idx="0">
                  <c:v>8121</c:v>
                </c:pt>
                <c:pt idx="1">
                  <c:v>8450</c:v>
                </c:pt>
                <c:pt idx="2">
                  <c:v>8383</c:v>
                </c:pt>
                <c:pt idx="3">
                  <c:v>8049</c:v>
                </c:pt>
                <c:pt idx="4">
                  <c:v>8458</c:v>
                </c:pt>
                <c:pt idx="5">
                  <c:v>9095</c:v>
                </c:pt>
                <c:pt idx="6">
                  <c:v>7748</c:v>
                </c:pt>
              </c:numCache>
            </c:numRef>
          </c:val>
          <c:extLst>
            <c:ext xmlns:c16="http://schemas.microsoft.com/office/drawing/2014/chart" uri="{C3380CC4-5D6E-409C-BE32-E72D297353CC}">
              <c16:uniqueId val="{00000000-CDEE-49D7-8599-E4E21FC5642C}"/>
            </c:ext>
          </c:extLst>
        </c:ser>
        <c:dLbls>
          <c:showLegendKey val="0"/>
          <c:showVal val="0"/>
          <c:showCatName val="0"/>
          <c:showSerName val="0"/>
          <c:showPercent val="0"/>
          <c:showBubbleSize val="0"/>
        </c:dLbls>
        <c:gapWidth val="150"/>
        <c:axId val="1581207503"/>
        <c:axId val="1549369519"/>
      </c:barChart>
      <c:catAx>
        <c:axId val="1581207503"/>
        <c:scaling>
          <c:orientation val="minMax"/>
        </c:scaling>
        <c:delete val="0"/>
        <c:axPos val="b"/>
        <c:numFmt formatCode="General" sourceLinked="1"/>
        <c:majorTickMark val="out"/>
        <c:minorTickMark val="none"/>
        <c:tickLblPos val="nextTo"/>
        <c:txPr>
          <a:bodyPr/>
          <a:lstStyle/>
          <a:p>
            <a:pPr>
              <a:defRPr b="1"/>
            </a:pPr>
            <a:endParaRPr lang="en-US"/>
          </a:p>
        </c:txPr>
        <c:crossAx val="1549369519"/>
        <c:crosses val="autoZero"/>
        <c:auto val="1"/>
        <c:lblAlgn val="ctr"/>
        <c:lblOffset val="100"/>
        <c:noMultiLvlLbl val="0"/>
      </c:catAx>
      <c:valAx>
        <c:axId val="1549369519"/>
        <c:scaling>
          <c:orientation val="minMax"/>
        </c:scaling>
        <c:delete val="1"/>
        <c:axPos val="l"/>
        <c:numFmt formatCode="General" sourceLinked="1"/>
        <c:majorTickMark val="out"/>
        <c:minorTickMark val="none"/>
        <c:tickLblPos val="nextTo"/>
        <c:crossAx val="1581207503"/>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1.xlsm]PivotTables!PT_Chart_WeatherImpact</c:name>
    <c:fmtId val="1"/>
  </c:pivotSource>
  <c:chart>
    <c:title>
      <c:tx>
        <c:rich>
          <a:bodyPr/>
          <a:lstStyle/>
          <a:p>
            <a:pPr>
              <a:defRPr sz="1000" b="1">
                <a:solidFill>
                  <a:schemeClr val="tx1"/>
                </a:solidFill>
                <a:latin typeface="Segoe UI"/>
                <a:ea typeface="Segoe UI"/>
                <a:cs typeface="Segoe UI"/>
              </a:defRPr>
            </a:pPr>
            <a:r>
              <a:rPr lang="en-IN">
                <a:solidFill>
                  <a:schemeClr val="tx1"/>
                </a:solidFill>
              </a:rPr>
              <a:t>Demand Impact by Weather Condition</a:t>
            </a:r>
          </a:p>
        </c:rich>
      </c:tx>
      <c:layout>
        <c:manualLayout>
          <c:xMode val="edge"/>
          <c:yMode val="edge"/>
          <c:x val="0.34515981952407004"/>
          <c:y val="4.0659241280324866E-2"/>
        </c:manualLayout>
      </c:layout>
      <c:overlay val="0"/>
      <c:spPr>
        <a:solidFill>
          <a:srgbClr val="FFFF00"/>
        </a:solidFill>
      </c:spPr>
    </c:title>
    <c:autoTitleDeleted val="0"/>
    <c:pivotFmts>
      <c:pivotFmt>
        <c:idx val="0"/>
        <c:spPr>
          <a:solidFill>
            <a:srgbClr val="1E4D2B"/>
          </a:solidFill>
        </c:spPr>
        <c:marker>
          <c:symbol val="none"/>
        </c:marker>
        <c:dLbl>
          <c:idx val="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rgbClr val="16A34A"/>
          </a:solidFill>
        </c:spPr>
      </c:pivotFmt>
      <c:pivotFmt>
        <c:idx val="2"/>
        <c:spPr>
          <a:solidFill>
            <a:srgbClr val="F59E0B"/>
          </a:solidFill>
        </c:spPr>
      </c:pivotFmt>
      <c:pivotFmt>
        <c:idx val="3"/>
        <c:spPr>
          <a:solidFill>
            <a:srgbClr val="DC2626"/>
          </a:solidFill>
        </c:spPr>
      </c:pivotFmt>
      <c:pivotFmt>
        <c:idx val="4"/>
        <c:spPr>
          <a:solidFill>
            <a:srgbClr val="FACC15"/>
          </a:solidFill>
        </c:spPr>
      </c:pivotFmt>
    </c:pivotFmts>
    <c:plotArea>
      <c:layout/>
      <c:barChart>
        <c:barDir val="bar"/>
        <c:grouping val="clustered"/>
        <c:varyColors val="0"/>
        <c:ser>
          <c:idx val="0"/>
          <c:order val="0"/>
          <c:tx>
            <c:strRef>
              <c:f>PivotTables!$B$76</c:f>
              <c:strCache>
                <c:ptCount val="1"/>
                <c:pt idx="0">
                  <c:v>Total</c:v>
                </c:pt>
              </c:strCache>
            </c:strRef>
          </c:tx>
          <c:spPr>
            <a:solidFill>
              <a:srgbClr val="1E4D2B"/>
            </a:solidFill>
          </c:spPr>
          <c:invertIfNegative val="0"/>
          <c:dPt>
            <c:idx val="0"/>
            <c:invertIfNegative val="0"/>
            <c:bubble3D val="0"/>
            <c:spPr>
              <a:solidFill>
                <a:srgbClr val="16A34A"/>
              </a:solidFill>
            </c:spPr>
            <c:extLst>
              <c:ext xmlns:c16="http://schemas.microsoft.com/office/drawing/2014/chart" uri="{C3380CC4-5D6E-409C-BE32-E72D297353CC}">
                <c16:uniqueId val="{00000000-FBF6-4F4F-9039-CD0B54C3D59E}"/>
              </c:ext>
            </c:extLst>
          </c:dPt>
          <c:dPt>
            <c:idx val="1"/>
            <c:invertIfNegative val="0"/>
            <c:bubble3D val="0"/>
            <c:spPr>
              <a:solidFill>
                <a:srgbClr val="F59E0B"/>
              </a:solidFill>
            </c:spPr>
            <c:extLst>
              <c:ext xmlns:c16="http://schemas.microsoft.com/office/drawing/2014/chart" uri="{C3380CC4-5D6E-409C-BE32-E72D297353CC}">
                <c16:uniqueId val="{00000001-FBF6-4F4F-9039-CD0B54C3D59E}"/>
              </c:ext>
            </c:extLst>
          </c:dPt>
          <c:dPt>
            <c:idx val="2"/>
            <c:invertIfNegative val="0"/>
            <c:bubble3D val="0"/>
            <c:spPr>
              <a:solidFill>
                <a:srgbClr val="DC2626"/>
              </a:solidFill>
            </c:spPr>
            <c:extLst>
              <c:ext xmlns:c16="http://schemas.microsoft.com/office/drawing/2014/chart" uri="{C3380CC4-5D6E-409C-BE32-E72D297353CC}">
                <c16:uniqueId val="{00000002-FBF6-4F4F-9039-CD0B54C3D59E}"/>
              </c:ext>
            </c:extLst>
          </c:dPt>
          <c:dPt>
            <c:idx val="3"/>
            <c:invertIfNegative val="0"/>
            <c:bubble3D val="0"/>
            <c:spPr>
              <a:solidFill>
                <a:srgbClr val="FACC15"/>
              </a:solidFill>
            </c:spPr>
            <c:extLst>
              <c:ext xmlns:c16="http://schemas.microsoft.com/office/drawing/2014/chart" uri="{C3380CC4-5D6E-409C-BE32-E72D297353CC}">
                <c16:uniqueId val="{00000003-FBF6-4F4F-9039-CD0B54C3D59E}"/>
              </c:ext>
            </c:extLst>
          </c:dPt>
          <c:dLbls>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cat>
            <c:strRef>
              <c:f>PivotTables!$A$77:$A$81</c:f>
              <c:strCache>
                <c:ptCount val="4"/>
                <c:pt idx="0">
                  <c:v>Normal</c:v>
                </c:pt>
                <c:pt idx="1">
                  <c:v>Orange Alert</c:v>
                </c:pt>
                <c:pt idx="2">
                  <c:v>Red Alert</c:v>
                </c:pt>
                <c:pt idx="3">
                  <c:v>Yellow Alert</c:v>
                </c:pt>
              </c:strCache>
            </c:strRef>
          </c:cat>
          <c:val>
            <c:numRef>
              <c:f>PivotTables!$B$77:$B$81</c:f>
              <c:numCache>
                <c:formatCode>0.0</c:formatCode>
                <c:ptCount val="4"/>
                <c:pt idx="0">
                  <c:v>61.671617161716171</c:v>
                </c:pt>
                <c:pt idx="1">
                  <c:v>33.202380952380949</c:v>
                </c:pt>
                <c:pt idx="2">
                  <c:v>36</c:v>
                </c:pt>
                <c:pt idx="3">
                  <c:v>58.595469255663431</c:v>
                </c:pt>
              </c:numCache>
            </c:numRef>
          </c:val>
          <c:extLst>
            <c:ext xmlns:c16="http://schemas.microsoft.com/office/drawing/2014/chart" uri="{C3380CC4-5D6E-409C-BE32-E72D297353CC}">
              <c16:uniqueId val="{00000000-0284-473E-AD28-D4BFB5A7F2BE}"/>
            </c:ext>
          </c:extLst>
        </c:ser>
        <c:dLbls>
          <c:showLegendKey val="0"/>
          <c:showVal val="0"/>
          <c:showCatName val="0"/>
          <c:showSerName val="0"/>
          <c:showPercent val="0"/>
          <c:showBubbleSize val="0"/>
        </c:dLbls>
        <c:gapWidth val="150"/>
        <c:axId val="1581150431"/>
        <c:axId val="1549367599"/>
      </c:barChart>
      <c:catAx>
        <c:axId val="1581150431"/>
        <c:scaling>
          <c:orientation val="minMax"/>
        </c:scaling>
        <c:delete val="0"/>
        <c:axPos val="l"/>
        <c:numFmt formatCode="General" sourceLinked="1"/>
        <c:majorTickMark val="out"/>
        <c:minorTickMark val="none"/>
        <c:tickLblPos val="nextTo"/>
        <c:txPr>
          <a:bodyPr/>
          <a:lstStyle/>
          <a:p>
            <a:pPr>
              <a:defRPr b="1">
                <a:solidFill>
                  <a:sysClr val="windowText" lastClr="000000"/>
                </a:solidFill>
              </a:defRPr>
            </a:pPr>
            <a:endParaRPr lang="en-US"/>
          </a:p>
        </c:txPr>
        <c:crossAx val="1549367599"/>
        <c:crosses val="autoZero"/>
        <c:auto val="1"/>
        <c:lblAlgn val="ctr"/>
        <c:lblOffset val="100"/>
        <c:noMultiLvlLbl val="0"/>
      </c:catAx>
      <c:valAx>
        <c:axId val="1549367599"/>
        <c:scaling>
          <c:orientation val="minMax"/>
        </c:scaling>
        <c:delete val="0"/>
        <c:axPos val="b"/>
        <c:numFmt formatCode="0.0" sourceLinked="1"/>
        <c:majorTickMark val="out"/>
        <c:minorTickMark val="none"/>
        <c:tickLblPos val="nextTo"/>
        <c:txPr>
          <a:bodyPr/>
          <a:lstStyle/>
          <a:p>
            <a:pPr>
              <a:defRPr b="1"/>
            </a:pPr>
            <a:endParaRPr lang="en-US"/>
          </a:p>
        </c:txPr>
        <c:crossAx val="1581150431"/>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b"/>
      <c:overlay val="0"/>
      <c:txPr>
        <a:bodyPr/>
        <a:lstStyle/>
        <a:p>
          <a:pPr>
            <a:defRPr b="1"/>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1.xlsm]PivotTables!PT_Chart_HourlyBehavior</c:name>
    <c:fmtId val="1"/>
  </c:pivotSource>
  <c:chart>
    <c:title>
      <c:tx>
        <c:rich>
          <a:bodyPr/>
          <a:lstStyle/>
          <a:p>
            <a:pPr>
              <a:defRPr sz="1000" b="1">
                <a:solidFill>
                  <a:schemeClr val="tx1"/>
                </a:solidFill>
                <a:latin typeface="Segoe UI"/>
                <a:ea typeface="Segoe UI"/>
                <a:cs typeface="Segoe UI"/>
              </a:defRPr>
            </a:pPr>
            <a:r>
              <a:rPr lang="en-IN">
                <a:solidFill>
                  <a:schemeClr val="tx1"/>
                </a:solidFill>
              </a:rPr>
              <a:t>Hourly User Behavior Breakdown</a:t>
            </a:r>
          </a:p>
        </c:rich>
      </c:tx>
      <c:layout>
        <c:manualLayout>
          <c:xMode val="edge"/>
          <c:yMode val="edge"/>
          <c:x val="0.34895032798561348"/>
          <c:y val="2.2284012120740434E-2"/>
        </c:manualLayout>
      </c:layout>
      <c:overlay val="0"/>
      <c:spPr>
        <a:solidFill>
          <a:srgbClr val="FFFF00"/>
        </a:solidFill>
      </c:spPr>
    </c:title>
    <c:autoTitleDeleted val="0"/>
    <c:pivotFmts>
      <c:pivotFmt>
        <c:idx val="0"/>
        <c:spPr>
          <a:solidFill>
            <a:srgbClr val="EA580C">
              <a:alpha val="80000"/>
            </a:srgbClr>
          </a:solidFill>
          <a:ln>
            <a:solidFill>
              <a:srgbClr val="EA580C"/>
            </a:solidFill>
          </a:ln>
        </c:spPr>
        <c:marker>
          <c:symbol val="none"/>
        </c:marker>
        <c:dLbl>
          <c:idx val="0"/>
          <c:delete val="1"/>
          <c:extLst>
            <c:ext xmlns:c15="http://schemas.microsoft.com/office/drawing/2012/chart" uri="{CE6537A1-D6FC-4f65-9D91-7224C49458BB}"/>
          </c:extLst>
        </c:dLbl>
      </c:pivotFmt>
      <c:pivotFmt>
        <c:idx val="1"/>
        <c:spPr>
          <a:solidFill>
            <a:srgbClr val="002060"/>
          </a:solidFill>
          <a:ln w="25400">
            <a:noFill/>
          </a:ln>
        </c:spPr>
        <c:marker>
          <c:symbol val="none"/>
        </c:marker>
        <c:dLbl>
          <c:idx val="0"/>
          <c:delete val="1"/>
          <c:extLst>
            <c:ext xmlns:c15="http://schemas.microsoft.com/office/drawing/2012/chart" uri="{CE6537A1-D6FC-4f65-9D91-7224C49458BB}"/>
          </c:extLst>
        </c:dLbl>
      </c:pivotFmt>
    </c:pivotFmts>
    <c:plotArea>
      <c:layout/>
      <c:areaChart>
        <c:grouping val="percentStacked"/>
        <c:varyColors val="0"/>
        <c:ser>
          <c:idx val="0"/>
          <c:order val="0"/>
          <c:tx>
            <c:strRef>
              <c:f>PivotTables!$B$84</c:f>
              <c:strCache>
                <c:ptCount val="1"/>
                <c:pt idx="0">
                  <c:v>Casual Rides</c:v>
                </c:pt>
              </c:strCache>
            </c:strRef>
          </c:tx>
          <c:spPr>
            <a:solidFill>
              <a:srgbClr val="EA580C">
                <a:alpha val="80000"/>
              </a:srgbClr>
            </a:solidFill>
            <a:ln>
              <a:solidFill>
                <a:srgbClr val="EA580C"/>
              </a:solidFill>
            </a:ln>
          </c:spPr>
          <c:cat>
            <c:strRef>
              <c:f>PivotTables!$A$85:$A$109</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PivotTables!$B$85:$B$109</c:f>
              <c:numCache>
                <c:formatCode>General</c:formatCode>
                <c:ptCount val="24"/>
                <c:pt idx="0">
                  <c:v>74</c:v>
                </c:pt>
                <c:pt idx="1">
                  <c:v>48</c:v>
                </c:pt>
                <c:pt idx="2">
                  <c:v>33</c:v>
                </c:pt>
                <c:pt idx="3">
                  <c:v>34</c:v>
                </c:pt>
                <c:pt idx="4">
                  <c:v>7</c:v>
                </c:pt>
                <c:pt idx="5">
                  <c:v>3</c:v>
                </c:pt>
                <c:pt idx="6">
                  <c:v>21</c:v>
                </c:pt>
                <c:pt idx="7">
                  <c:v>64</c:v>
                </c:pt>
                <c:pt idx="8">
                  <c:v>127</c:v>
                </c:pt>
                <c:pt idx="9">
                  <c:v>172</c:v>
                </c:pt>
                <c:pt idx="10">
                  <c:v>216</c:v>
                </c:pt>
                <c:pt idx="11">
                  <c:v>367</c:v>
                </c:pt>
                <c:pt idx="12">
                  <c:v>482</c:v>
                </c:pt>
                <c:pt idx="13">
                  <c:v>513</c:v>
                </c:pt>
                <c:pt idx="14">
                  <c:v>466</c:v>
                </c:pt>
                <c:pt idx="15">
                  <c:v>536</c:v>
                </c:pt>
                <c:pt idx="16">
                  <c:v>493</c:v>
                </c:pt>
                <c:pt idx="17">
                  <c:v>395</c:v>
                </c:pt>
                <c:pt idx="18">
                  <c:v>222</c:v>
                </c:pt>
                <c:pt idx="19">
                  <c:v>187</c:v>
                </c:pt>
                <c:pt idx="20">
                  <c:v>140</c:v>
                </c:pt>
                <c:pt idx="21">
                  <c:v>117</c:v>
                </c:pt>
                <c:pt idx="22">
                  <c:v>103</c:v>
                </c:pt>
                <c:pt idx="23">
                  <c:v>101</c:v>
                </c:pt>
              </c:numCache>
            </c:numRef>
          </c:val>
          <c:extLst>
            <c:ext xmlns:c16="http://schemas.microsoft.com/office/drawing/2014/chart" uri="{C3380CC4-5D6E-409C-BE32-E72D297353CC}">
              <c16:uniqueId val="{00000000-50BA-4194-B684-4BCEB33DC3CA}"/>
            </c:ext>
          </c:extLst>
        </c:ser>
        <c:ser>
          <c:idx val="1"/>
          <c:order val="1"/>
          <c:tx>
            <c:strRef>
              <c:f>PivotTables!$C$84</c:f>
              <c:strCache>
                <c:ptCount val="1"/>
                <c:pt idx="0">
                  <c:v>Registered Rides</c:v>
                </c:pt>
              </c:strCache>
            </c:strRef>
          </c:tx>
          <c:spPr>
            <a:solidFill>
              <a:srgbClr val="002060"/>
            </a:solidFill>
            <a:ln w="25400">
              <a:noFill/>
            </a:ln>
          </c:spPr>
          <c:cat>
            <c:strRef>
              <c:f>PivotTables!$A$85:$A$109</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PivotTables!$C$85:$C$109</c:f>
              <c:numCache>
                <c:formatCode>General</c:formatCode>
                <c:ptCount val="24"/>
                <c:pt idx="0">
                  <c:v>629</c:v>
                </c:pt>
                <c:pt idx="1">
                  <c:v>412</c:v>
                </c:pt>
                <c:pt idx="2">
                  <c:v>261</c:v>
                </c:pt>
                <c:pt idx="3">
                  <c:v>117</c:v>
                </c:pt>
                <c:pt idx="4">
                  <c:v>62</c:v>
                </c:pt>
                <c:pt idx="5">
                  <c:v>161</c:v>
                </c:pt>
                <c:pt idx="6">
                  <c:v>801</c:v>
                </c:pt>
                <c:pt idx="7">
                  <c:v>2275</c:v>
                </c:pt>
                <c:pt idx="8">
                  <c:v>5261</c:v>
                </c:pt>
                <c:pt idx="9">
                  <c:v>3500</c:v>
                </c:pt>
                <c:pt idx="10">
                  <c:v>2037</c:v>
                </c:pt>
                <c:pt idx="11">
                  <c:v>2127</c:v>
                </c:pt>
                <c:pt idx="12">
                  <c:v>2801</c:v>
                </c:pt>
                <c:pt idx="13">
                  <c:v>2863</c:v>
                </c:pt>
                <c:pt idx="14">
                  <c:v>2734</c:v>
                </c:pt>
                <c:pt idx="15">
                  <c:v>2816</c:v>
                </c:pt>
                <c:pt idx="16">
                  <c:v>3435</c:v>
                </c:pt>
                <c:pt idx="17">
                  <c:v>5774</c:v>
                </c:pt>
                <c:pt idx="18">
                  <c:v>5061</c:v>
                </c:pt>
                <c:pt idx="19">
                  <c:v>3474</c:v>
                </c:pt>
                <c:pt idx="20">
                  <c:v>2516</c:v>
                </c:pt>
                <c:pt idx="21">
                  <c:v>1879</c:v>
                </c:pt>
                <c:pt idx="22">
                  <c:v>1405</c:v>
                </c:pt>
                <c:pt idx="23">
                  <c:v>982</c:v>
                </c:pt>
              </c:numCache>
            </c:numRef>
          </c:val>
          <c:extLst>
            <c:ext xmlns:c16="http://schemas.microsoft.com/office/drawing/2014/chart" uri="{C3380CC4-5D6E-409C-BE32-E72D297353CC}">
              <c16:uniqueId val="{00000001-50BA-4194-B684-4BCEB33DC3CA}"/>
            </c:ext>
          </c:extLst>
        </c:ser>
        <c:dLbls>
          <c:showLegendKey val="0"/>
          <c:showVal val="0"/>
          <c:showCatName val="0"/>
          <c:showSerName val="0"/>
          <c:showPercent val="0"/>
          <c:showBubbleSize val="0"/>
        </c:dLbls>
        <c:axId val="1581184303"/>
        <c:axId val="1549400239"/>
      </c:areaChart>
      <c:catAx>
        <c:axId val="1581184303"/>
        <c:scaling>
          <c:orientation val="minMax"/>
        </c:scaling>
        <c:delete val="0"/>
        <c:axPos val="b"/>
        <c:numFmt formatCode="General" sourceLinked="1"/>
        <c:majorTickMark val="out"/>
        <c:minorTickMark val="none"/>
        <c:tickLblPos val="nextTo"/>
        <c:txPr>
          <a:bodyPr/>
          <a:lstStyle/>
          <a:p>
            <a:pPr>
              <a:defRPr b="1"/>
            </a:pPr>
            <a:endParaRPr lang="en-US"/>
          </a:p>
        </c:txPr>
        <c:crossAx val="1549400239"/>
        <c:crosses val="autoZero"/>
        <c:auto val="1"/>
        <c:lblAlgn val="ctr"/>
        <c:lblOffset val="100"/>
        <c:noMultiLvlLbl val="0"/>
      </c:catAx>
      <c:valAx>
        <c:axId val="1549400239"/>
        <c:scaling>
          <c:orientation val="minMax"/>
        </c:scaling>
        <c:delete val="0"/>
        <c:axPos val="l"/>
        <c:numFmt formatCode="0%" sourceLinked="0"/>
        <c:majorTickMark val="out"/>
        <c:minorTickMark val="none"/>
        <c:tickLblPos val="nextTo"/>
        <c:txPr>
          <a:bodyPr/>
          <a:lstStyle/>
          <a:p>
            <a:pPr>
              <a:defRPr b="1"/>
            </a:pPr>
            <a:endParaRPr lang="en-US"/>
          </a:p>
        </c:txPr>
        <c:crossAx val="1581184303"/>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1.xlsm]PivotTables!PT_Chart_TempCorrelation</c:name>
    <c:fmtId val="1"/>
  </c:pivotSource>
  <c:chart>
    <c:title>
      <c:tx>
        <c:rich>
          <a:bodyPr/>
          <a:lstStyle/>
          <a:p>
            <a:pPr>
              <a:defRPr sz="1000" b="1">
                <a:solidFill>
                  <a:schemeClr val="tx1"/>
                </a:solidFill>
                <a:latin typeface="Segoe UI"/>
                <a:ea typeface="Segoe UI"/>
                <a:cs typeface="Segoe UI"/>
              </a:defRPr>
            </a:pPr>
            <a:r>
              <a:rPr lang="en-IN">
                <a:solidFill>
                  <a:schemeClr val="tx1"/>
                </a:solidFill>
              </a:rPr>
              <a:t>Temperature vs Ride Volume Correlation</a:t>
            </a:r>
          </a:p>
        </c:rich>
      </c:tx>
      <c:layout>
        <c:manualLayout>
          <c:xMode val="edge"/>
          <c:yMode val="edge"/>
          <c:x val="0.26595431244316853"/>
          <c:y val="2.2368668828357138E-2"/>
        </c:manualLayout>
      </c:layout>
      <c:overlay val="0"/>
      <c:spPr>
        <a:solidFill>
          <a:srgbClr val="FFFF00"/>
        </a:solidFill>
      </c:spPr>
    </c:title>
    <c:autoTitleDeleted val="0"/>
    <c:pivotFmts>
      <c:pivotFmt>
        <c:idx val="0"/>
        <c:spPr>
          <a:ln>
            <a:solidFill>
              <a:srgbClr val="C00000"/>
            </a:solidFill>
          </a:ln>
        </c:spPr>
        <c:marker>
          <c:symbol val="triangle"/>
          <c:size val="12"/>
          <c:spPr>
            <a:solidFill>
              <a:srgbClr val="FFC000"/>
            </a:solidFill>
            <a:ln>
              <a:solidFill>
                <a:srgbClr val="FFC000"/>
              </a:solidFill>
            </a:ln>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PivotTables!$B$112</c:f>
              <c:strCache>
                <c:ptCount val="1"/>
                <c:pt idx="0">
                  <c:v>Total</c:v>
                </c:pt>
              </c:strCache>
            </c:strRef>
          </c:tx>
          <c:spPr>
            <a:ln>
              <a:solidFill>
                <a:srgbClr val="C00000"/>
              </a:solidFill>
            </a:ln>
          </c:spPr>
          <c:marker>
            <c:symbol val="triangle"/>
            <c:size val="12"/>
            <c:spPr>
              <a:solidFill>
                <a:srgbClr val="FFC000"/>
              </a:solidFill>
              <a:ln>
                <a:solidFill>
                  <a:srgbClr val="FFC000"/>
                </a:solidFill>
              </a:ln>
            </c:spPr>
          </c:marker>
          <c:cat>
            <c:strRef>
              <c:f>PivotTables!$A$113:$A$136</c:f>
              <c:strCache>
                <c:ptCount val="23"/>
                <c:pt idx="0">
                  <c:v>0.02</c:v>
                </c:pt>
                <c:pt idx="1">
                  <c:v>0.04</c:v>
                </c:pt>
                <c:pt idx="2">
                  <c:v>0.06</c:v>
                </c:pt>
                <c:pt idx="3">
                  <c:v>0.08</c:v>
                </c:pt>
                <c:pt idx="4">
                  <c:v>0.1</c:v>
                </c:pt>
                <c:pt idx="5">
                  <c:v>0.12</c:v>
                </c:pt>
                <c:pt idx="6">
                  <c:v>0.14</c:v>
                </c:pt>
                <c:pt idx="7">
                  <c:v>0.16</c:v>
                </c:pt>
                <c:pt idx="8">
                  <c:v>0.18</c:v>
                </c:pt>
                <c:pt idx="9">
                  <c:v>0.2</c:v>
                </c:pt>
                <c:pt idx="10">
                  <c:v>0.22</c:v>
                </c:pt>
                <c:pt idx="11">
                  <c:v>0.24</c:v>
                </c:pt>
                <c:pt idx="12">
                  <c:v>0.26</c:v>
                </c:pt>
                <c:pt idx="13">
                  <c:v>0.28</c:v>
                </c:pt>
                <c:pt idx="14">
                  <c:v>0.3</c:v>
                </c:pt>
                <c:pt idx="15">
                  <c:v>0.32</c:v>
                </c:pt>
                <c:pt idx="16">
                  <c:v>0.34</c:v>
                </c:pt>
                <c:pt idx="17">
                  <c:v>0.36</c:v>
                </c:pt>
                <c:pt idx="18">
                  <c:v>0.38</c:v>
                </c:pt>
                <c:pt idx="19">
                  <c:v>0.4</c:v>
                </c:pt>
                <c:pt idx="20">
                  <c:v>0.42</c:v>
                </c:pt>
                <c:pt idx="21">
                  <c:v>0.44</c:v>
                </c:pt>
                <c:pt idx="22">
                  <c:v>0.46</c:v>
                </c:pt>
              </c:strCache>
            </c:strRef>
          </c:cat>
          <c:val>
            <c:numRef>
              <c:f>PivotTables!$B$113:$B$136</c:f>
              <c:numCache>
                <c:formatCode>General</c:formatCode>
                <c:ptCount val="23"/>
                <c:pt idx="0">
                  <c:v>16.8</c:v>
                </c:pt>
                <c:pt idx="1">
                  <c:v>27.642857142857142</c:v>
                </c:pt>
                <c:pt idx="2">
                  <c:v>40.533333333333331</c:v>
                </c:pt>
                <c:pt idx="3">
                  <c:v>29.75</c:v>
                </c:pt>
                <c:pt idx="4">
                  <c:v>39.34375</c:v>
                </c:pt>
                <c:pt idx="5">
                  <c:v>47.81818181818182</c:v>
                </c:pt>
                <c:pt idx="6">
                  <c:v>48.707865168539328</c:v>
                </c:pt>
                <c:pt idx="7">
                  <c:v>53.869230769230768</c:v>
                </c:pt>
                <c:pt idx="8">
                  <c:v>51.202531645569621</c:v>
                </c:pt>
                <c:pt idx="9">
                  <c:v>60.045454545454547</c:v>
                </c:pt>
                <c:pt idx="10">
                  <c:v>53.029411764705884</c:v>
                </c:pt>
                <c:pt idx="11">
                  <c:v>69.360465116279073</c:v>
                </c:pt>
                <c:pt idx="12">
                  <c:v>56.375</c:v>
                </c:pt>
                <c:pt idx="13">
                  <c:v>72.518518518518519</c:v>
                </c:pt>
                <c:pt idx="14">
                  <c:v>95.972972972972968</c:v>
                </c:pt>
                <c:pt idx="15">
                  <c:v>81.916666666666671</c:v>
                </c:pt>
                <c:pt idx="16">
                  <c:v>123.9</c:v>
                </c:pt>
                <c:pt idx="17">
                  <c:v>89.4</c:v>
                </c:pt>
                <c:pt idx="18">
                  <c:v>57.888888888888886</c:v>
                </c:pt>
                <c:pt idx="19">
                  <c:v>61.5625</c:v>
                </c:pt>
                <c:pt idx="20">
                  <c:v>64.875</c:v>
                </c:pt>
                <c:pt idx="21">
                  <c:v>64.666666666666671</c:v>
                </c:pt>
                <c:pt idx="22">
                  <c:v>44.166666666666664</c:v>
                </c:pt>
              </c:numCache>
            </c:numRef>
          </c:val>
          <c:smooth val="1"/>
          <c:extLst>
            <c:ext xmlns:c16="http://schemas.microsoft.com/office/drawing/2014/chart" uri="{C3380CC4-5D6E-409C-BE32-E72D297353CC}">
              <c16:uniqueId val="{00000000-7811-4292-A47C-ECCECD6F084D}"/>
            </c:ext>
          </c:extLst>
        </c:ser>
        <c:dLbls>
          <c:showLegendKey val="0"/>
          <c:showVal val="0"/>
          <c:showCatName val="0"/>
          <c:showSerName val="0"/>
          <c:showPercent val="0"/>
          <c:showBubbleSize val="0"/>
        </c:dLbls>
        <c:marker val="1"/>
        <c:smooth val="0"/>
        <c:axId val="1581203327"/>
        <c:axId val="1549405999"/>
      </c:lineChart>
      <c:catAx>
        <c:axId val="1581203327"/>
        <c:scaling>
          <c:orientation val="minMax"/>
        </c:scaling>
        <c:delete val="0"/>
        <c:axPos val="b"/>
        <c:numFmt formatCode="General" sourceLinked="1"/>
        <c:majorTickMark val="out"/>
        <c:minorTickMark val="none"/>
        <c:tickLblPos val="nextTo"/>
        <c:txPr>
          <a:bodyPr/>
          <a:lstStyle/>
          <a:p>
            <a:pPr>
              <a:defRPr b="1"/>
            </a:pPr>
            <a:endParaRPr lang="en-US"/>
          </a:p>
        </c:txPr>
        <c:crossAx val="1549405999"/>
        <c:crosses val="autoZero"/>
        <c:auto val="1"/>
        <c:lblAlgn val="ctr"/>
        <c:lblOffset val="100"/>
        <c:tickLblSkip val="1"/>
        <c:noMultiLvlLbl val="0"/>
      </c:catAx>
      <c:valAx>
        <c:axId val="1549405999"/>
        <c:scaling>
          <c:orientation val="minMax"/>
        </c:scaling>
        <c:delete val="0"/>
        <c:axPos val="l"/>
        <c:numFmt formatCode="General" sourceLinked="1"/>
        <c:majorTickMark val="out"/>
        <c:minorTickMark val="none"/>
        <c:tickLblPos val="nextTo"/>
        <c:txPr>
          <a:bodyPr/>
          <a:lstStyle/>
          <a:p>
            <a:pPr>
              <a:defRPr b="1"/>
            </a:pPr>
            <a:endParaRPr lang="en-US"/>
          </a:p>
        </c:txPr>
        <c:crossAx val="1581203327"/>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1.xlsm]PivotTables!PT_Chart_HolidayDemand</c:name>
    <c:fmtId val="0"/>
  </c:pivotSource>
  <c:chart>
    <c:title>
      <c:tx>
        <c:rich>
          <a:bodyPr/>
          <a:lstStyle/>
          <a:p>
            <a:pPr>
              <a:defRPr sz="1000" b="1">
                <a:solidFill>
                  <a:schemeClr val="tx1"/>
                </a:solidFill>
                <a:latin typeface="Segoe UI"/>
                <a:ea typeface="Segoe UI"/>
                <a:cs typeface="Segoe UI"/>
              </a:defRPr>
            </a:pPr>
            <a:r>
              <a:rPr lang="en-IN">
                <a:solidFill>
                  <a:schemeClr val="tx1"/>
                </a:solidFill>
              </a:rPr>
              <a:t>Holiday vs Non-Holiday Demand</a:t>
            </a:r>
          </a:p>
        </c:rich>
      </c:tx>
      <c:layout>
        <c:manualLayout>
          <c:xMode val="edge"/>
          <c:yMode val="edge"/>
          <c:x val="0.31575535524122827"/>
          <c:y val="2.6454492506242402E-2"/>
        </c:manualLayout>
      </c:layout>
      <c:overlay val="0"/>
      <c:spPr>
        <a:solidFill>
          <a:srgbClr val="FFFF00"/>
        </a:solidFill>
      </c:spPr>
    </c:title>
    <c:autoTitleDeleted val="0"/>
    <c:pivotFmts>
      <c:pivotFmt>
        <c:idx val="0"/>
        <c:spPr>
          <a:solidFill>
            <a:srgbClr val="FCB6B9"/>
          </a:solidFill>
        </c:spPr>
        <c:marker>
          <c:symbol val="none"/>
        </c:marker>
        <c:dLbl>
          <c:idx val="0"/>
          <c:numFmt formatCode="#,##0.00" sourceLinked="0"/>
          <c:spPr>
            <a:noFill/>
            <a:ln>
              <a:noFill/>
            </a:ln>
            <a:effectLst/>
          </c:spPr>
          <c:txPr>
            <a:bodyPr wrap="square" lIns="38100" tIns="19050" rIns="38100" bIns="19050" anchor="ctr">
              <a:spAutoFit/>
            </a:bodyPr>
            <a:lstStyle/>
            <a:p>
              <a:pPr>
                <a:defRPr sz="800">
                  <a:solidFill>
                    <a:srgbClr val="1E4D2B"/>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spPr>
          <a:solidFill>
            <a:srgbClr val="F9E795"/>
          </a:solidFill>
        </c:spPr>
      </c:pivotFmt>
    </c:pivotFmts>
    <c:plotArea>
      <c:layout/>
      <c:barChart>
        <c:barDir val="col"/>
        <c:grouping val="clustered"/>
        <c:varyColors val="0"/>
        <c:ser>
          <c:idx val="0"/>
          <c:order val="0"/>
          <c:tx>
            <c:strRef>
              <c:f>PivotTables!$B$139</c:f>
              <c:strCache>
                <c:ptCount val="1"/>
                <c:pt idx="0">
                  <c:v>Total</c:v>
                </c:pt>
              </c:strCache>
            </c:strRef>
          </c:tx>
          <c:spPr>
            <a:solidFill>
              <a:srgbClr val="FCB6B9"/>
            </a:solidFill>
          </c:spPr>
          <c:invertIfNegative val="0"/>
          <c:dPt>
            <c:idx val="0"/>
            <c:invertIfNegative val="0"/>
            <c:bubble3D val="0"/>
            <c:extLst>
              <c:ext xmlns:c16="http://schemas.microsoft.com/office/drawing/2014/chart" uri="{C3380CC4-5D6E-409C-BE32-E72D297353CC}">
                <c16:uniqueId val="{00000000-0D84-4437-A22C-705AFA435CA1}"/>
              </c:ext>
            </c:extLst>
          </c:dPt>
          <c:dPt>
            <c:idx val="1"/>
            <c:invertIfNegative val="0"/>
            <c:bubble3D val="0"/>
            <c:spPr>
              <a:solidFill>
                <a:srgbClr val="F9E795"/>
              </a:solidFill>
            </c:spPr>
            <c:extLst>
              <c:ext xmlns:c16="http://schemas.microsoft.com/office/drawing/2014/chart" uri="{C3380CC4-5D6E-409C-BE32-E72D297353CC}">
                <c16:uniqueId val="{00000001-0D84-4437-A22C-705AFA435CA1}"/>
              </c:ext>
            </c:extLst>
          </c:dPt>
          <c:dLbls>
            <c:numFmt formatCode="#,##0.00" sourceLinked="0"/>
            <c:spPr>
              <a:noFill/>
              <a:ln>
                <a:noFill/>
              </a:ln>
              <a:effectLst/>
            </c:spPr>
            <c:txPr>
              <a:bodyPr wrap="square" lIns="38100" tIns="19050" rIns="38100" bIns="19050" anchor="ctr">
                <a:spAutoFit/>
              </a:bodyPr>
              <a:lstStyle/>
              <a:p>
                <a:pPr>
                  <a:defRPr sz="800">
                    <a:solidFill>
                      <a:srgbClr val="1E4D2B"/>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PivotTables!$A$140:$A$142</c:f>
              <c:strCache>
                <c:ptCount val="2"/>
                <c:pt idx="0">
                  <c:v>FALSE</c:v>
                </c:pt>
                <c:pt idx="1">
                  <c:v>TRUE</c:v>
                </c:pt>
              </c:strCache>
            </c:strRef>
          </c:cat>
          <c:val>
            <c:numRef>
              <c:f>PivotTables!$B$140:$B$142</c:f>
              <c:numCache>
                <c:formatCode>General</c:formatCode>
                <c:ptCount val="2"/>
                <c:pt idx="0">
                  <c:v>58.713114754098363</c:v>
                </c:pt>
                <c:pt idx="1">
                  <c:v>41.666666666666664</c:v>
                </c:pt>
              </c:numCache>
            </c:numRef>
          </c:val>
          <c:extLst>
            <c:ext xmlns:c16="http://schemas.microsoft.com/office/drawing/2014/chart" uri="{C3380CC4-5D6E-409C-BE32-E72D297353CC}">
              <c16:uniqueId val="{00000000-9740-43D1-BD98-4D8C4C1F2108}"/>
            </c:ext>
          </c:extLst>
        </c:ser>
        <c:dLbls>
          <c:showLegendKey val="0"/>
          <c:showVal val="0"/>
          <c:showCatName val="0"/>
          <c:showSerName val="0"/>
          <c:showPercent val="0"/>
          <c:showBubbleSize val="0"/>
        </c:dLbls>
        <c:gapWidth val="150"/>
        <c:axId val="1581168063"/>
        <c:axId val="1549396879"/>
      </c:barChart>
      <c:catAx>
        <c:axId val="1581168063"/>
        <c:scaling>
          <c:orientation val="minMax"/>
        </c:scaling>
        <c:delete val="0"/>
        <c:axPos val="b"/>
        <c:numFmt formatCode="General" sourceLinked="1"/>
        <c:majorTickMark val="out"/>
        <c:minorTickMark val="none"/>
        <c:tickLblPos val="nextTo"/>
        <c:crossAx val="1549396879"/>
        <c:crosses val="autoZero"/>
        <c:auto val="1"/>
        <c:lblAlgn val="ctr"/>
        <c:lblOffset val="100"/>
        <c:noMultiLvlLbl val="0"/>
      </c:catAx>
      <c:valAx>
        <c:axId val="1549396879"/>
        <c:scaling>
          <c:orientation val="minMax"/>
        </c:scaling>
        <c:delete val="0"/>
        <c:axPos val="l"/>
        <c:numFmt formatCode="General" sourceLinked="1"/>
        <c:majorTickMark val="out"/>
        <c:minorTickMark val="none"/>
        <c:tickLblPos val="nextTo"/>
        <c:crossAx val="1581168063"/>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r"/>
      <c:layout>
        <c:manualLayout>
          <c:xMode val="edge"/>
          <c:yMode val="edge"/>
          <c:x val="0.8605465889162045"/>
          <c:y val="0.45739493169406786"/>
          <c:w val="0.10928749856494183"/>
          <c:h val="0.18270575396024474"/>
        </c:manualLayout>
      </c:layou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[Nexthikes_Project 1.xlsm]PivotTables!PT_Chart_DailyTrend</c:name>
    <c:fmtId val="0"/>
  </c:pivotSource>
  <c:chart>
    <c:title>
      <c:tx>
        <c:rich>
          <a:bodyPr/>
          <a:lstStyle/>
          <a:p>
            <a:pPr>
              <a:defRPr sz="1000" b="1">
                <a:solidFill>
                  <a:schemeClr val="tx1"/>
                </a:solidFill>
                <a:latin typeface="Segoe UI"/>
                <a:ea typeface="Segoe UI"/>
                <a:cs typeface="Segoe UI"/>
              </a:defRPr>
            </a:pPr>
            <a:r>
              <a:rPr lang="en-IN">
                <a:solidFill>
                  <a:schemeClr val="tx1"/>
                </a:solidFill>
              </a:rPr>
              <a:t>Daily Demand Trend Over Time</a:t>
            </a:r>
          </a:p>
        </c:rich>
      </c:tx>
      <c:layout>
        <c:manualLayout>
          <c:xMode val="edge"/>
          <c:yMode val="edge"/>
          <c:x val="0.3348765840675163"/>
          <c:y val="1.7440814776730321E-2"/>
        </c:manualLayout>
      </c:layout>
      <c:overlay val="0"/>
      <c:spPr>
        <a:solidFill>
          <a:srgbClr val="FFFF00"/>
        </a:solidFill>
      </c:spPr>
    </c:title>
    <c:autoTitleDeleted val="0"/>
    <c:pivotFmts>
      <c:pivotFmt>
        <c:idx val="0"/>
        <c:spPr>
          <a:ln w="25400">
            <a:solidFill>
              <a:srgbClr val="00CED1"/>
            </a:solidFill>
          </a:ln>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PivotTables!$B$145</c:f>
              <c:strCache>
                <c:ptCount val="1"/>
                <c:pt idx="0">
                  <c:v>Total</c:v>
                </c:pt>
              </c:strCache>
            </c:strRef>
          </c:tx>
          <c:spPr>
            <a:ln w="25400">
              <a:solidFill>
                <a:srgbClr val="00CED1"/>
              </a:solidFill>
            </a:ln>
          </c:spPr>
          <c:marker>
            <c:symbol val="none"/>
          </c:marker>
          <c:trendline>
            <c:spPr>
              <a:ln w="15875">
                <a:solidFill>
                  <a:srgbClr val="FFC000"/>
                </a:solidFill>
                <a:prstDash val="dash"/>
              </a:ln>
            </c:spPr>
            <c:trendlineType val="linear"/>
            <c:dispRSqr val="0"/>
            <c:dispEq val="0"/>
          </c:trendline>
          <c:cat>
            <c:strRef>
              <c:f>PivotTables!$A$146:$A$191</c:f>
              <c:strCache>
                <c:ptCount val="45"/>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pt idx="28">
                  <c:v>29-01-2011</c:v>
                </c:pt>
                <c:pt idx="29">
                  <c:v>30-01-2011</c:v>
                </c:pt>
                <c:pt idx="30">
                  <c:v>31-01-2011</c:v>
                </c:pt>
                <c:pt idx="31">
                  <c:v>01-02-2011</c:v>
                </c:pt>
                <c:pt idx="32">
                  <c:v>02-02-2011</c:v>
                </c:pt>
                <c:pt idx="33">
                  <c:v>03-02-2011</c:v>
                </c:pt>
                <c:pt idx="34">
                  <c:v>04-02-2011</c:v>
                </c:pt>
                <c:pt idx="35">
                  <c:v>05-02-2011</c:v>
                </c:pt>
                <c:pt idx="36">
                  <c:v>06-02-2011</c:v>
                </c:pt>
                <c:pt idx="37">
                  <c:v>07-02-2011</c:v>
                </c:pt>
                <c:pt idx="38">
                  <c:v>08-02-2011</c:v>
                </c:pt>
                <c:pt idx="39">
                  <c:v>09-02-2011</c:v>
                </c:pt>
                <c:pt idx="40">
                  <c:v>10-02-2011</c:v>
                </c:pt>
                <c:pt idx="41">
                  <c:v>11-02-2011</c:v>
                </c:pt>
                <c:pt idx="42">
                  <c:v>12-02-2011</c:v>
                </c:pt>
                <c:pt idx="43">
                  <c:v>13-02-2011</c:v>
                </c:pt>
                <c:pt idx="44">
                  <c:v>14-02-2011</c:v>
                </c:pt>
              </c:strCache>
            </c:strRef>
          </c:cat>
          <c:val>
            <c:numRef>
              <c:f>PivotTables!$B$146:$B$191</c:f>
              <c:numCache>
                <c:formatCode>General</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0"/>
          <c:extLst>
            <c:ext xmlns:c16="http://schemas.microsoft.com/office/drawing/2014/chart" uri="{C3380CC4-5D6E-409C-BE32-E72D297353CC}">
              <c16:uniqueId val="{00000000-DB84-47B4-95CB-7173F10AE405}"/>
            </c:ext>
          </c:extLst>
        </c:ser>
        <c:dLbls>
          <c:showLegendKey val="0"/>
          <c:showVal val="0"/>
          <c:showCatName val="0"/>
          <c:showSerName val="0"/>
          <c:showPercent val="0"/>
          <c:showBubbleSize val="0"/>
        </c:dLbls>
        <c:smooth val="0"/>
        <c:axId val="1581205183"/>
        <c:axId val="1549394479"/>
      </c:lineChart>
      <c:catAx>
        <c:axId val="1581205183"/>
        <c:scaling>
          <c:orientation val="minMax"/>
        </c:scaling>
        <c:delete val="0"/>
        <c:axPos val="b"/>
        <c:numFmt formatCode="General" sourceLinked="1"/>
        <c:majorTickMark val="out"/>
        <c:minorTickMark val="none"/>
        <c:tickLblPos val="nextTo"/>
        <c:crossAx val="1549394479"/>
        <c:crosses val="autoZero"/>
        <c:auto val="1"/>
        <c:lblAlgn val="ctr"/>
        <c:lblOffset val="100"/>
        <c:noMultiLvlLbl val="0"/>
      </c:catAx>
      <c:valAx>
        <c:axId val="1549394479"/>
        <c:scaling>
          <c:orientation val="minMax"/>
        </c:scaling>
        <c:delete val="0"/>
        <c:axPos val="l"/>
        <c:numFmt formatCode="General" sourceLinked="1"/>
        <c:majorTickMark val="out"/>
        <c:minorTickMark val="none"/>
        <c:tickLblPos val="nextTo"/>
        <c:crossAx val="1581205183"/>
        <c:crosses val="autoZero"/>
        <c:crossBetween val="between"/>
      </c:valAx>
      <c:spPr>
        <a:noFill/>
        <a:ln>
          <a:noFill/>
        </a:ln>
        <a:effectLst/>
        <a:extLst>
          <a:ext uri="{91240B29-F687-4F45-9708-019B960494DF}">
            <a14:hiddenLine xmlns:a14="http://schemas.microsoft.com/office/drawing/2010/main">
              <a:noFill/>
            </a14:hiddenLine>
          </a:ext>
        </a:extLst>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4</xdr:col>
      <xdr:colOff>7620</xdr:colOff>
      <xdr:row>1</xdr:row>
      <xdr:rowOff>179070</xdr:rowOff>
    </xdr:from>
    <xdr:to>
      <xdr:col>14</xdr:col>
      <xdr:colOff>15240</xdr:colOff>
      <xdr:row>21</xdr:row>
      <xdr:rowOff>45720</xdr:rowOff>
    </xdr:to>
    <xdr:graphicFrame macro="">
      <xdr:nvGraphicFramePr>
        <xdr:cNvPr id="2" name="Chart 1">
          <a:extLst>
            <a:ext uri="{FF2B5EF4-FFF2-40B4-BE49-F238E27FC236}">
              <a16:creationId xmlns:a16="http://schemas.microsoft.com/office/drawing/2014/main" id="{AE968638-714E-02A2-93B7-DA82D57259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716280</xdr:colOff>
      <xdr:row>0</xdr:row>
      <xdr:rowOff>7620</xdr:rowOff>
    </xdr:from>
    <xdr:to>
      <xdr:col>11</xdr:col>
      <xdr:colOff>601980</xdr:colOff>
      <xdr:row>14</xdr:row>
      <xdr:rowOff>175260</xdr:rowOff>
    </xdr:to>
    <xdr:graphicFrame macro="">
      <xdr:nvGraphicFramePr>
        <xdr:cNvPr id="2" name="Chart 1">
          <a:extLst>
            <a:ext uri="{FF2B5EF4-FFF2-40B4-BE49-F238E27FC236}">
              <a16:creationId xmlns:a16="http://schemas.microsoft.com/office/drawing/2014/main" id="{4BF4ECD7-E45A-CFCD-3B63-E7112F6C6B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601980</xdr:colOff>
      <xdr:row>2</xdr:row>
      <xdr:rowOff>7620</xdr:rowOff>
    </xdr:from>
    <xdr:to>
      <xdr:col>10</xdr:col>
      <xdr:colOff>0</xdr:colOff>
      <xdr:row>16</xdr:row>
      <xdr:rowOff>175260</xdr:rowOff>
    </xdr:to>
    <xdr:graphicFrame macro="">
      <xdr:nvGraphicFramePr>
        <xdr:cNvPr id="2" name="Chart 1">
          <a:extLst>
            <a:ext uri="{FF2B5EF4-FFF2-40B4-BE49-F238E27FC236}">
              <a16:creationId xmlns:a16="http://schemas.microsoft.com/office/drawing/2014/main" id="{D660C22A-9410-C0EE-5A2E-E960A20C4F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xdr:row>
      <xdr:rowOff>179070</xdr:rowOff>
    </xdr:from>
    <xdr:to>
      <xdr:col>11</xdr:col>
      <xdr:colOff>7620</xdr:colOff>
      <xdr:row>16</xdr:row>
      <xdr:rowOff>179070</xdr:rowOff>
    </xdr:to>
    <xdr:graphicFrame macro="">
      <xdr:nvGraphicFramePr>
        <xdr:cNvPr id="2" name="Chart 1">
          <a:extLst>
            <a:ext uri="{FF2B5EF4-FFF2-40B4-BE49-F238E27FC236}">
              <a16:creationId xmlns:a16="http://schemas.microsoft.com/office/drawing/2014/main" id="{4E7CAA48-8686-23D6-6344-A4E37B4A0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1</xdr:row>
      <xdr:rowOff>171450</xdr:rowOff>
    </xdr:from>
    <xdr:to>
      <xdr:col>12</xdr:col>
      <xdr:colOff>22860</xdr:colOff>
      <xdr:row>17</xdr:row>
      <xdr:rowOff>175260</xdr:rowOff>
    </xdr:to>
    <xdr:graphicFrame macro="">
      <xdr:nvGraphicFramePr>
        <xdr:cNvPr id="3" name="Chart 2">
          <a:extLst>
            <a:ext uri="{FF2B5EF4-FFF2-40B4-BE49-F238E27FC236}">
              <a16:creationId xmlns:a16="http://schemas.microsoft.com/office/drawing/2014/main" id="{25BD7626-3574-A241-9D9B-CD7C71259F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1</xdr:row>
      <xdr:rowOff>179070</xdr:rowOff>
    </xdr:from>
    <xdr:to>
      <xdr:col>9</xdr:col>
      <xdr:colOff>594360</xdr:colOff>
      <xdr:row>17</xdr:row>
      <xdr:rowOff>0</xdr:rowOff>
    </xdr:to>
    <xdr:graphicFrame macro="">
      <xdr:nvGraphicFramePr>
        <xdr:cNvPr id="2" name="Chart 1">
          <a:extLst>
            <a:ext uri="{FF2B5EF4-FFF2-40B4-BE49-F238E27FC236}">
              <a16:creationId xmlns:a16="http://schemas.microsoft.com/office/drawing/2014/main" id="{3973C711-EC2D-8CB2-FD0E-2E644F3451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15240</xdr:colOff>
      <xdr:row>6</xdr:row>
      <xdr:rowOff>3810</xdr:rowOff>
    </xdr:from>
    <xdr:to>
      <xdr:col>19</xdr:col>
      <xdr:colOff>22860</xdr:colOff>
      <xdr:row>25</xdr:row>
      <xdr:rowOff>7620</xdr:rowOff>
    </xdr:to>
    <xdr:graphicFrame macro="">
      <xdr:nvGraphicFramePr>
        <xdr:cNvPr id="2" name="Chart 1">
          <a:extLst>
            <a:ext uri="{FF2B5EF4-FFF2-40B4-BE49-F238E27FC236}">
              <a16:creationId xmlns:a16="http://schemas.microsoft.com/office/drawing/2014/main" id="{B4CEB772-A2EA-EF55-DDD6-9DBF120938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6</xdr:row>
      <xdr:rowOff>3810</xdr:rowOff>
    </xdr:from>
    <xdr:to>
      <xdr:col>14</xdr:col>
      <xdr:colOff>0</xdr:colOff>
      <xdr:row>22</xdr:row>
      <xdr:rowOff>0</xdr:rowOff>
    </xdr:to>
    <xdr:graphicFrame macro="">
      <xdr:nvGraphicFramePr>
        <xdr:cNvPr id="2" name="Chart 1">
          <a:extLst>
            <a:ext uri="{FF2B5EF4-FFF2-40B4-BE49-F238E27FC236}">
              <a16:creationId xmlns:a16="http://schemas.microsoft.com/office/drawing/2014/main" id="{24107BC8-CBCC-0328-F640-D946BB2CC2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190500</xdr:colOff>
      <xdr:row>5</xdr:row>
      <xdr:rowOff>101600</xdr:rowOff>
    </xdr:from>
    <xdr:to>
      <xdr:col>25</xdr:col>
      <xdr:colOff>190500</xdr:colOff>
      <xdr:row>90</xdr:row>
      <xdr:rowOff>50800</xdr:rowOff>
    </xdr:to>
    <xdr:sp macro="" textlink="">
      <xdr:nvSpPr>
        <xdr:cNvPr id="3" name="BackgroundContainer">
          <a:extLst>
            <a:ext uri="{FF2B5EF4-FFF2-40B4-BE49-F238E27FC236}">
              <a16:creationId xmlns:a16="http://schemas.microsoft.com/office/drawing/2014/main" id="{01FBAD0B-CF01-DECF-FE23-F977F1C33635}"/>
            </a:ext>
          </a:extLst>
        </xdr:cNvPr>
        <xdr:cNvSpPr/>
      </xdr:nvSpPr>
      <xdr:spPr>
        <a:xfrm>
          <a:off x="190500" y="998071"/>
          <a:ext cx="15240000" cy="15189200"/>
        </a:xfrm>
        <a:prstGeom prst="rect">
          <a:avLst/>
        </a:prstGeom>
        <a:solidFill>
          <a:srgbClr val="002060"/>
        </a:solidFill>
        <a:ln w="19050">
          <a:solidFill>
            <a:schemeClr val="bg1"/>
          </a:solidFill>
        </a:ln>
        <a:effectLst>
          <a:outerShdw blurRad="101600" dist="45790" dir="3378598"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0F172A"/>
            </a:solidFill>
          </a:endParaRPr>
        </a:p>
      </xdr:txBody>
    </xdr:sp>
    <xdr:clientData/>
  </xdr:twoCellAnchor>
  <xdr:twoCellAnchor>
    <xdr:from>
      <xdr:col>0</xdr:col>
      <xdr:colOff>190500</xdr:colOff>
      <xdr:row>1</xdr:row>
      <xdr:rowOff>7620</xdr:rowOff>
    </xdr:from>
    <xdr:to>
      <xdr:col>25</xdr:col>
      <xdr:colOff>190500</xdr:colOff>
      <xdr:row>4</xdr:row>
      <xdr:rowOff>157480</xdr:rowOff>
    </xdr:to>
    <xdr:sp macro="" textlink="">
      <xdr:nvSpPr>
        <xdr:cNvPr id="2" name="Banner">
          <a:extLst>
            <a:ext uri="{FF2B5EF4-FFF2-40B4-BE49-F238E27FC236}">
              <a16:creationId xmlns:a16="http://schemas.microsoft.com/office/drawing/2014/main" id="{ADCE98DB-C21B-7EF9-79DE-10BF016BE6DB}"/>
            </a:ext>
          </a:extLst>
        </xdr:cNvPr>
        <xdr:cNvSpPr/>
      </xdr:nvSpPr>
      <xdr:spPr>
        <a:xfrm>
          <a:off x="190500" y="190500"/>
          <a:ext cx="15240000" cy="698500"/>
        </a:xfrm>
        <a:prstGeom prst="rect">
          <a:avLst/>
        </a:prstGeom>
        <a:solidFill>
          <a:schemeClr val="accent4">
            <a:lumMod val="40000"/>
            <a:lumOff val="60000"/>
          </a:scheme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0" rtlCol="0" anchor="ctr"/>
        <a:lstStyle/>
        <a:p>
          <a:pPr algn="ctr"/>
          <a:r>
            <a:rPr lang="en-IN" sz="2000" b="1">
              <a:solidFill>
                <a:srgbClr val="0F172A"/>
              </a:solidFill>
              <a:latin typeface="Segoe UI" panose="020B0502040204020203" pitchFamily="34" charset="0"/>
            </a:rPr>
            <a:t>Bike Sharing &amp; Mobility Analytics Dashboard</a:t>
          </a:r>
        </a:p>
      </xdr:txBody>
    </xdr:sp>
    <xdr:clientData/>
  </xdr:twoCellAnchor>
  <xdr:twoCellAnchor>
    <xdr:from>
      <xdr:col>0</xdr:col>
      <xdr:colOff>381000</xdr:colOff>
      <xdr:row>6</xdr:row>
      <xdr:rowOff>109220</xdr:rowOff>
    </xdr:from>
    <xdr:to>
      <xdr:col>3</xdr:col>
      <xdr:colOff>533400</xdr:colOff>
      <xdr:row>12</xdr:row>
      <xdr:rowOff>91440</xdr:rowOff>
    </xdr:to>
    <xdr:sp macro="" textlink="">
      <xdr:nvSpPr>
        <xdr:cNvPr id="4" name="KPI_Card_1">
          <a:extLst>
            <a:ext uri="{FF2B5EF4-FFF2-40B4-BE49-F238E27FC236}">
              <a16:creationId xmlns:a16="http://schemas.microsoft.com/office/drawing/2014/main" id="{12E62BD7-EC67-0F12-9201-4FD1BC513AC8}"/>
            </a:ext>
          </a:extLst>
        </xdr:cNvPr>
        <xdr:cNvSpPr/>
      </xdr:nvSpPr>
      <xdr:spPr>
        <a:xfrm>
          <a:off x="381000" y="1206500"/>
          <a:ext cx="1981200" cy="1079500"/>
        </a:xfrm>
        <a:prstGeom prst="roundRect">
          <a:avLst/>
        </a:prstGeom>
        <a:solidFill>
          <a:srgbClr val="FCB6B9"/>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850" b="1">
              <a:solidFill>
                <a:srgbClr val="647382"/>
              </a:solidFill>
              <a:latin typeface="Segoe UI" panose="020B0502040204020203" pitchFamily="34" charset="0"/>
            </a:rPr>
            <a:t> Total Bike Demand</a:t>
          </a:r>
        </a:p>
        <a:p>
          <a:pPr algn="l"/>
          <a:r>
            <a:rPr lang="en-IN" sz="1600" b="1">
              <a:solidFill>
                <a:srgbClr val="0F2043"/>
              </a:solidFill>
              <a:latin typeface="Segoe UI" panose="020B0502040204020203" pitchFamily="34" charset="0"/>
            </a:rPr>
            <a:t>58,304</a:t>
          </a:r>
        </a:p>
        <a:p>
          <a:pPr algn="l"/>
          <a:r>
            <a:rPr lang="en-IN" sz="800" b="1" i="1">
              <a:solidFill>
                <a:srgbClr val="1E4D2B"/>
              </a:solidFill>
              <a:latin typeface="Segoe UI" panose="020B0502040204020203" pitchFamily="34" charset="0"/>
            </a:rPr>
            <a:t>Total Rides Logged</a:t>
          </a:r>
        </a:p>
      </xdr:txBody>
    </xdr:sp>
    <xdr:clientData/>
  </xdr:twoCellAnchor>
  <xdr:twoCellAnchor>
    <xdr:from>
      <xdr:col>4</xdr:col>
      <xdr:colOff>76200</xdr:colOff>
      <xdr:row>6</xdr:row>
      <xdr:rowOff>109220</xdr:rowOff>
    </xdr:from>
    <xdr:to>
      <xdr:col>7</xdr:col>
      <xdr:colOff>228600</xdr:colOff>
      <xdr:row>12</xdr:row>
      <xdr:rowOff>91440</xdr:rowOff>
    </xdr:to>
    <xdr:sp macro="" textlink="">
      <xdr:nvSpPr>
        <xdr:cNvPr id="5" name="KPI_Card_2">
          <a:extLst>
            <a:ext uri="{FF2B5EF4-FFF2-40B4-BE49-F238E27FC236}">
              <a16:creationId xmlns:a16="http://schemas.microsoft.com/office/drawing/2014/main" id="{4E1A8ECC-BFD4-5FB9-4BB5-A336A424173A}"/>
            </a:ext>
          </a:extLst>
        </xdr:cNvPr>
        <xdr:cNvSpPr/>
      </xdr:nvSpPr>
      <xdr:spPr>
        <a:xfrm>
          <a:off x="2514600" y="1206500"/>
          <a:ext cx="1981200" cy="1079500"/>
        </a:xfrm>
        <a:prstGeom prst="roundRect">
          <a:avLst/>
        </a:prstGeom>
        <a:solidFill>
          <a:srgbClr val="F9E795"/>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850" b="1">
              <a:solidFill>
                <a:srgbClr val="647382"/>
              </a:solidFill>
              <a:latin typeface="Segoe UI" panose="020B0502040204020203" pitchFamily="34" charset="0"/>
            </a:rPr>
            <a:t> Registered User </a:t>
          </a:r>
          <a:r>
            <a:rPr lang="en-IN" sz="1600" b="1">
              <a:solidFill>
                <a:srgbClr val="0F2043"/>
              </a:solidFill>
              <a:latin typeface="Segoe UI" panose="020B0502040204020203" pitchFamily="34" charset="0"/>
            </a:rPr>
            <a:t>Rides</a:t>
          </a:r>
        </a:p>
        <a:p>
          <a:pPr algn="l"/>
          <a:r>
            <a:rPr lang="en-IN" sz="800" b="1" i="1">
              <a:solidFill>
                <a:srgbClr val="1E4D2B"/>
              </a:solidFill>
              <a:latin typeface="Segoe UI" panose="020B0502040204020203" pitchFamily="34" charset="0"/>
            </a:rPr>
            <a:t>53,383</a:t>
          </a:r>
        </a:p>
        <a:p>
          <a:pPr algn="l"/>
          <a:r>
            <a:rPr lang="en-IN" sz="1050" b="1">
              <a:solidFill>
                <a:srgbClr val="0F2043"/>
              </a:solidFill>
              <a:latin typeface="Segoe UI" panose="020B0502040204020203" pitchFamily="34" charset="0"/>
            </a:rPr>
            <a:t>91.6% of Total Volume</a:t>
          </a:r>
        </a:p>
      </xdr:txBody>
    </xdr:sp>
    <xdr:clientData/>
  </xdr:twoCellAnchor>
  <xdr:twoCellAnchor>
    <xdr:from>
      <xdr:col>7</xdr:col>
      <xdr:colOff>381000</xdr:colOff>
      <xdr:row>6</xdr:row>
      <xdr:rowOff>109220</xdr:rowOff>
    </xdr:from>
    <xdr:to>
      <xdr:col>10</xdr:col>
      <xdr:colOff>533400</xdr:colOff>
      <xdr:row>12</xdr:row>
      <xdr:rowOff>91440</xdr:rowOff>
    </xdr:to>
    <xdr:sp macro="" textlink="">
      <xdr:nvSpPr>
        <xdr:cNvPr id="6" name="KPI_Card_3">
          <a:extLst>
            <a:ext uri="{FF2B5EF4-FFF2-40B4-BE49-F238E27FC236}">
              <a16:creationId xmlns:a16="http://schemas.microsoft.com/office/drawing/2014/main" id="{CA2E2911-3A01-999C-95DD-DC6DDA313B23}"/>
            </a:ext>
          </a:extLst>
        </xdr:cNvPr>
        <xdr:cNvSpPr/>
      </xdr:nvSpPr>
      <xdr:spPr>
        <a:xfrm>
          <a:off x="4648200" y="1206500"/>
          <a:ext cx="1981200" cy="1079500"/>
        </a:xfrm>
        <a:prstGeom prst="roundRect">
          <a:avLst/>
        </a:prstGeom>
        <a:solidFill>
          <a:srgbClr val="F98866"/>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850" b="1">
              <a:solidFill>
                <a:srgbClr val="647382"/>
              </a:solidFill>
              <a:latin typeface="Segoe UI" panose="020B0502040204020203" pitchFamily="34" charset="0"/>
            </a:rPr>
            <a:t>Casual User Rides</a:t>
          </a:r>
        </a:p>
        <a:p>
          <a:pPr algn="l"/>
          <a:r>
            <a:rPr lang="en-IN" sz="1600" b="1">
              <a:solidFill>
                <a:srgbClr val="0F2043"/>
              </a:solidFill>
              <a:latin typeface="Segoe UI" panose="020B0502040204020203" pitchFamily="34" charset="0"/>
            </a:rPr>
            <a:t>4,921</a:t>
          </a:r>
        </a:p>
        <a:p>
          <a:pPr algn="l"/>
          <a:r>
            <a:rPr lang="en-IN" sz="800" b="1" i="1">
              <a:solidFill>
                <a:srgbClr val="1E4D2B"/>
              </a:solidFill>
              <a:latin typeface="Segoe UI" panose="020B0502040204020203" pitchFamily="34" charset="0"/>
            </a:rPr>
            <a:t>8.4% of Total Volume</a:t>
          </a:r>
        </a:p>
      </xdr:txBody>
    </xdr:sp>
    <xdr:clientData/>
  </xdr:twoCellAnchor>
  <xdr:twoCellAnchor>
    <xdr:from>
      <xdr:col>11</xdr:col>
      <xdr:colOff>76200</xdr:colOff>
      <xdr:row>6</xdr:row>
      <xdr:rowOff>109220</xdr:rowOff>
    </xdr:from>
    <xdr:to>
      <xdr:col>14</xdr:col>
      <xdr:colOff>228600</xdr:colOff>
      <xdr:row>12</xdr:row>
      <xdr:rowOff>91440</xdr:rowOff>
    </xdr:to>
    <xdr:sp macro="" textlink="">
      <xdr:nvSpPr>
        <xdr:cNvPr id="7" name="KPI_Card_4">
          <a:extLst>
            <a:ext uri="{FF2B5EF4-FFF2-40B4-BE49-F238E27FC236}">
              <a16:creationId xmlns:a16="http://schemas.microsoft.com/office/drawing/2014/main" id="{0B3A365C-7A01-5428-68AC-B0EFD333962D}"/>
            </a:ext>
          </a:extLst>
        </xdr:cNvPr>
        <xdr:cNvSpPr/>
      </xdr:nvSpPr>
      <xdr:spPr>
        <a:xfrm>
          <a:off x="6781800" y="1206500"/>
          <a:ext cx="1981200" cy="1079500"/>
        </a:xfrm>
        <a:prstGeom prst="roundRect">
          <a:avLst/>
        </a:prstGeom>
        <a:solidFill>
          <a:srgbClr val="735DA5"/>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850" b="1">
              <a:solidFill>
                <a:srgbClr val="647382"/>
              </a:solidFill>
              <a:latin typeface="Segoe UI" panose="020B0502040204020203" pitchFamily="34" charset="0"/>
            </a:rPr>
            <a:t>Avg Hourly </a:t>
          </a:r>
          <a:r>
            <a:rPr lang="en-IN" sz="1600" b="1">
              <a:solidFill>
                <a:srgbClr val="0F2043"/>
              </a:solidFill>
              <a:latin typeface="Segoe UI" panose="020B0502040204020203" pitchFamily="34" charset="0"/>
            </a:rPr>
            <a:t>Demand</a:t>
          </a:r>
        </a:p>
        <a:p>
          <a:pPr algn="l"/>
          <a:r>
            <a:rPr lang="en-IN" sz="800" b="1" i="1">
              <a:solidFill>
                <a:srgbClr val="1E4D2B"/>
              </a:solidFill>
              <a:latin typeface="Segoe UI" panose="020B0502040204020203" pitchFamily="34" charset="0"/>
            </a:rPr>
            <a:t>58.3</a:t>
          </a:r>
        </a:p>
        <a:p>
          <a:pPr algn="l"/>
          <a:r>
            <a:rPr lang="en-IN" sz="1050" b="1">
              <a:solidFill>
                <a:srgbClr val="0F2043"/>
              </a:solidFill>
              <a:latin typeface="Segoe UI" panose="020B0502040204020203" pitchFamily="34" charset="0"/>
            </a:rPr>
            <a:t>Riders / Hour Avg</a:t>
          </a:r>
        </a:p>
      </xdr:txBody>
    </xdr:sp>
    <xdr:clientData/>
  </xdr:twoCellAnchor>
  <xdr:twoCellAnchor>
    <xdr:from>
      <xdr:col>14</xdr:col>
      <xdr:colOff>381000</xdr:colOff>
      <xdr:row>6</xdr:row>
      <xdr:rowOff>109220</xdr:rowOff>
    </xdr:from>
    <xdr:to>
      <xdr:col>17</xdr:col>
      <xdr:colOff>533400</xdr:colOff>
      <xdr:row>12</xdr:row>
      <xdr:rowOff>91440</xdr:rowOff>
    </xdr:to>
    <xdr:sp macro="" textlink="">
      <xdr:nvSpPr>
        <xdr:cNvPr id="8" name="KPI_Card_5">
          <a:extLst>
            <a:ext uri="{FF2B5EF4-FFF2-40B4-BE49-F238E27FC236}">
              <a16:creationId xmlns:a16="http://schemas.microsoft.com/office/drawing/2014/main" id="{36DA0A10-F1D0-7090-49B7-16FE5F97F9E4}"/>
            </a:ext>
          </a:extLst>
        </xdr:cNvPr>
        <xdr:cNvSpPr/>
      </xdr:nvSpPr>
      <xdr:spPr>
        <a:xfrm>
          <a:off x="8915400" y="1206500"/>
          <a:ext cx="1981200" cy="1079500"/>
        </a:xfrm>
        <a:prstGeom prst="roundRect">
          <a:avLst/>
        </a:prstGeom>
        <a:solidFill>
          <a:srgbClr val="C4DFE6"/>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850" b="1">
              <a:solidFill>
                <a:srgbClr val="647382"/>
              </a:solidFill>
              <a:latin typeface="Segoe UI" panose="020B0502040204020203" pitchFamily="34" charset="0"/>
            </a:rPr>
            <a:t>Peak Hourly </a:t>
          </a:r>
          <a:r>
            <a:rPr lang="en-IN" sz="1600" b="1">
              <a:solidFill>
                <a:srgbClr val="0F2043"/>
              </a:solidFill>
              <a:latin typeface="Segoe UI" panose="020B0502040204020203" pitchFamily="34" charset="0"/>
            </a:rPr>
            <a:t>Demand</a:t>
          </a:r>
        </a:p>
        <a:p>
          <a:pPr algn="l"/>
          <a:r>
            <a:rPr lang="en-IN" sz="800" b="1" i="1">
              <a:solidFill>
                <a:srgbClr val="1E4D2B"/>
              </a:solidFill>
              <a:latin typeface="Segoe UI" panose="020B0502040204020203" pitchFamily="34" charset="0"/>
            </a:rPr>
            <a:t>249</a:t>
          </a:r>
        </a:p>
        <a:p>
          <a:pPr algn="l"/>
          <a:r>
            <a:rPr lang="en-IN" sz="1050" b="1">
              <a:solidFill>
                <a:srgbClr val="0F2043"/>
              </a:solidFill>
              <a:latin typeface="Segoe UI" panose="020B0502040204020203" pitchFamily="34" charset="0"/>
            </a:rPr>
            <a:t>Max Single-Hour Rides</a:t>
          </a:r>
        </a:p>
      </xdr:txBody>
    </xdr:sp>
    <xdr:clientData/>
  </xdr:twoCellAnchor>
  <xdr:twoCellAnchor>
    <xdr:from>
      <xdr:col>18</xdr:col>
      <xdr:colOff>76200</xdr:colOff>
      <xdr:row>6</xdr:row>
      <xdr:rowOff>109220</xdr:rowOff>
    </xdr:from>
    <xdr:to>
      <xdr:col>21</xdr:col>
      <xdr:colOff>228600</xdr:colOff>
      <xdr:row>12</xdr:row>
      <xdr:rowOff>91440</xdr:rowOff>
    </xdr:to>
    <xdr:sp macro="" textlink="">
      <xdr:nvSpPr>
        <xdr:cNvPr id="9" name="KPI_Card_6">
          <a:extLst>
            <a:ext uri="{FF2B5EF4-FFF2-40B4-BE49-F238E27FC236}">
              <a16:creationId xmlns:a16="http://schemas.microsoft.com/office/drawing/2014/main" id="{995FC265-AE66-B166-A65F-8E7F583C4C7C}"/>
            </a:ext>
          </a:extLst>
        </xdr:cNvPr>
        <xdr:cNvSpPr/>
      </xdr:nvSpPr>
      <xdr:spPr>
        <a:xfrm>
          <a:off x="11049000" y="1206500"/>
          <a:ext cx="1981200" cy="1079500"/>
        </a:xfrm>
        <a:prstGeom prst="roundRect">
          <a:avLst/>
        </a:prstGeom>
        <a:solidFill>
          <a:srgbClr val="98FF98"/>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850" b="1">
              <a:solidFill>
                <a:srgbClr val="647382"/>
              </a:solidFill>
              <a:latin typeface="Segoe UI" panose="020B0502040204020203" pitchFamily="34" charset="0"/>
            </a:rPr>
            <a:t>Avg Temp Index</a:t>
          </a:r>
        </a:p>
        <a:p>
          <a:pPr algn="l"/>
          <a:r>
            <a:rPr lang="en-IN" sz="1600" b="1">
              <a:solidFill>
                <a:srgbClr val="0F2043"/>
              </a:solidFill>
              <a:latin typeface="Segoe UI" panose="020B0502040204020203" pitchFamily="34" charset="0"/>
            </a:rPr>
            <a:t>0.21</a:t>
          </a:r>
        </a:p>
        <a:p>
          <a:pPr algn="l"/>
          <a:r>
            <a:rPr lang="en-IN" sz="800" b="1" i="1">
              <a:solidFill>
                <a:srgbClr val="1E4D2B"/>
              </a:solidFill>
              <a:latin typeface="Segoe UI" panose="020B0502040204020203" pitchFamily="34" charset="0"/>
            </a:rPr>
            <a:t>21% Feel-Like Index</a:t>
          </a:r>
        </a:p>
      </xdr:txBody>
    </xdr:sp>
    <xdr:clientData/>
  </xdr:twoCellAnchor>
  <xdr:twoCellAnchor>
    <xdr:from>
      <xdr:col>21</xdr:col>
      <xdr:colOff>381000</xdr:colOff>
      <xdr:row>6</xdr:row>
      <xdr:rowOff>109220</xdr:rowOff>
    </xdr:from>
    <xdr:to>
      <xdr:col>24</xdr:col>
      <xdr:colOff>533400</xdr:colOff>
      <xdr:row>12</xdr:row>
      <xdr:rowOff>91440</xdr:rowOff>
    </xdr:to>
    <xdr:sp macro="" textlink="">
      <xdr:nvSpPr>
        <xdr:cNvPr id="10" name="KPI_Card_7">
          <a:extLst>
            <a:ext uri="{FF2B5EF4-FFF2-40B4-BE49-F238E27FC236}">
              <a16:creationId xmlns:a16="http://schemas.microsoft.com/office/drawing/2014/main" id="{7DB96BD0-1A25-20E3-2F2A-FF0E9F6FEBBF}"/>
            </a:ext>
          </a:extLst>
        </xdr:cNvPr>
        <xdr:cNvSpPr/>
      </xdr:nvSpPr>
      <xdr:spPr>
        <a:xfrm>
          <a:off x="13182600" y="1206500"/>
          <a:ext cx="1981200" cy="1079500"/>
        </a:xfrm>
        <a:prstGeom prst="roundRect">
          <a:avLst/>
        </a:prstGeom>
        <a:solidFill>
          <a:srgbClr val="E6C6E2"/>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850" b="1">
              <a:solidFill>
                <a:srgbClr val="647382"/>
              </a:solidFill>
              <a:latin typeface="Segoe UI" panose="020B0502040204020203" pitchFamily="34" charset="0"/>
            </a:rPr>
            <a:t>Severe Weather </a:t>
          </a:r>
        </a:p>
        <a:p>
          <a:pPr algn="l"/>
          <a:r>
            <a:rPr lang="en-IN" sz="1600" b="1">
              <a:solidFill>
                <a:srgbClr val="0F2043"/>
              </a:solidFill>
              <a:latin typeface="Segoe UI" panose="020B0502040204020203" pitchFamily="34" charset="0"/>
            </a:rPr>
            <a:t>Hours</a:t>
          </a:r>
          <a:r>
            <a:rPr lang="en-IN" sz="1600" b="1" baseline="0">
              <a:solidFill>
                <a:srgbClr val="0F2043"/>
              </a:solidFill>
              <a:latin typeface="Segoe UI" panose="020B0502040204020203" pitchFamily="34" charset="0"/>
            </a:rPr>
            <a:t> </a:t>
          </a:r>
          <a:r>
            <a:rPr lang="en-IN" sz="800" b="1" i="1">
              <a:solidFill>
                <a:srgbClr val="1E4D2B"/>
              </a:solidFill>
              <a:latin typeface="Segoe UI" panose="020B0502040204020203" pitchFamily="34" charset="0"/>
            </a:rPr>
            <a:t>39 hrs</a:t>
          </a:r>
        </a:p>
        <a:p>
          <a:pPr algn="l"/>
          <a:r>
            <a:rPr lang="en-IN" sz="1050" b="1">
              <a:solidFill>
                <a:srgbClr val="0F2043"/>
              </a:solidFill>
              <a:latin typeface="Segoe UI" panose="020B0502040204020203" pitchFamily="34" charset="0"/>
            </a:rPr>
            <a:t>3.9% Operational Time</a:t>
          </a:r>
        </a:p>
      </xdr:txBody>
    </xdr:sp>
    <xdr:clientData/>
  </xdr:twoCellAnchor>
  <xdr:twoCellAnchor>
    <xdr:from>
      <xdr:col>0</xdr:col>
      <xdr:colOff>381000</xdr:colOff>
      <xdr:row>14</xdr:row>
      <xdr:rowOff>7620</xdr:rowOff>
    </xdr:from>
    <xdr:to>
      <xdr:col>6</xdr:col>
      <xdr:colOff>25400</xdr:colOff>
      <xdr:row>25</xdr:row>
      <xdr:rowOff>0</xdr:rowOff>
    </xdr:to>
    <xdr:sp macro="" textlink="">
      <xdr:nvSpPr>
        <xdr:cNvPr id="11" name="Slicer_Card_1">
          <a:extLst>
            <a:ext uri="{FF2B5EF4-FFF2-40B4-BE49-F238E27FC236}">
              <a16:creationId xmlns:a16="http://schemas.microsoft.com/office/drawing/2014/main" id="{B1FBD640-F711-0628-2440-40367E3E2F47}"/>
            </a:ext>
          </a:extLst>
        </xdr:cNvPr>
        <xdr:cNvSpPr/>
      </xdr:nvSpPr>
      <xdr:spPr>
        <a:xfrm>
          <a:off x="381000" y="2567940"/>
          <a:ext cx="3302000" cy="2004060"/>
        </a:xfrm>
        <a:prstGeom prst="roundRect">
          <a:avLst/>
        </a:prstGeom>
        <a:solidFill>
          <a:srgbClr val="FFFFFF"/>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1050" b="1">
              <a:solidFill>
                <a:srgbClr val="0F2043"/>
              </a:solidFill>
              <a:latin typeface="Segoe UI" panose="020B0502040204020203" pitchFamily="34" charset="0"/>
            </a:rPr>
            <a:t>Date / Timeline</a:t>
          </a:r>
        </a:p>
      </xdr:txBody>
    </xdr:sp>
    <xdr:clientData/>
  </xdr:twoCellAnchor>
  <xdr:twoCellAnchor>
    <xdr:from>
      <xdr:col>0</xdr:col>
      <xdr:colOff>381000</xdr:colOff>
      <xdr:row>26</xdr:row>
      <xdr:rowOff>45720</xdr:rowOff>
    </xdr:from>
    <xdr:to>
      <xdr:col>6</xdr:col>
      <xdr:colOff>25400</xdr:colOff>
      <xdr:row>37</xdr:row>
      <xdr:rowOff>66040</xdr:rowOff>
    </xdr:to>
    <xdr:sp macro="" textlink="">
      <xdr:nvSpPr>
        <xdr:cNvPr id="12" name="Slicer_Card_2">
          <a:extLst>
            <a:ext uri="{FF2B5EF4-FFF2-40B4-BE49-F238E27FC236}">
              <a16:creationId xmlns:a16="http://schemas.microsoft.com/office/drawing/2014/main" id="{8352CB20-41C5-5115-8619-EFAE1F44CCB2}"/>
            </a:ext>
          </a:extLst>
        </xdr:cNvPr>
        <xdr:cNvSpPr/>
      </xdr:nvSpPr>
      <xdr:spPr>
        <a:xfrm>
          <a:off x="381000" y="4800600"/>
          <a:ext cx="3302000" cy="2032000"/>
        </a:xfrm>
        <a:prstGeom prst="roundRect">
          <a:avLst/>
        </a:prstGeom>
        <a:solidFill>
          <a:srgbClr val="FFFFFF"/>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1050" b="1">
              <a:solidFill>
                <a:srgbClr val="0F2043"/>
              </a:solidFill>
              <a:latin typeface="Segoe UI" panose="020B0502040204020203" pitchFamily="34" charset="0"/>
            </a:rPr>
            <a:t>Weekday</a:t>
          </a:r>
        </a:p>
      </xdr:txBody>
    </xdr:sp>
    <xdr:clientData/>
  </xdr:twoCellAnchor>
  <xdr:twoCellAnchor>
    <xdr:from>
      <xdr:col>0</xdr:col>
      <xdr:colOff>381000</xdr:colOff>
      <xdr:row>38</xdr:row>
      <xdr:rowOff>111760</xdr:rowOff>
    </xdr:from>
    <xdr:to>
      <xdr:col>6</xdr:col>
      <xdr:colOff>25400</xdr:colOff>
      <xdr:row>49</xdr:row>
      <xdr:rowOff>132080</xdr:rowOff>
    </xdr:to>
    <xdr:sp macro="" textlink="">
      <xdr:nvSpPr>
        <xdr:cNvPr id="13" name="Slicer_Card_3">
          <a:extLst>
            <a:ext uri="{FF2B5EF4-FFF2-40B4-BE49-F238E27FC236}">
              <a16:creationId xmlns:a16="http://schemas.microsoft.com/office/drawing/2014/main" id="{8F8BA70F-E805-BF37-E255-8301E7E9EE2A}"/>
            </a:ext>
          </a:extLst>
        </xdr:cNvPr>
        <xdr:cNvSpPr/>
      </xdr:nvSpPr>
      <xdr:spPr>
        <a:xfrm>
          <a:off x="381000" y="7061200"/>
          <a:ext cx="3302000" cy="2032000"/>
        </a:xfrm>
        <a:prstGeom prst="roundRect">
          <a:avLst/>
        </a:prstGeom>
        <a:solidFill>
          <a:srgbClr val="FFFFFF"/>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1050" b="1">
              <a:solidFill>
                <a:srgbClr val="0F2043"/>
              </a:solidFill>
              <a:latin typeface="Segoe UI" panose="020B0502040204020203" pitchFamily="34" charset="0"/>
            </a:rPr>
            <a:t>Weather Situation</a:t>
          </a:r>
        </a:p>
      </xdr:txBody>
    </xdr:sp>
    <xdr:clientData/>
  </xdr:twoCellAnchor>
  <xdr:twoCellAnchor>
    <xdr:from>
      <xdr:col>0</xdr:col>
      <xdr:colOff>381000</xdr:colOff>
      <xdr:row>50</xdr:row>
      <xdr:rowOff>177800</xdr:rowOff>
    </xdr:from>
    <xdr:to>
      <xdr:col>6</xdr:col>
      <xdr:colOff>25400</xdr:colOff>
      <xdr:row>62</xdr:row>
      <xdr:rowOff>15240</xdr:rowOff>
    </xdr:to>
    <xdr:sp macro="" textlink="">
      <xdr:nvSpPr>
        <xdr:cNvPr id="14" name="Slicer_Card_4">
          <a:extLst>
            <a:ext uri="{FF2B5EF4-FFF2-40B4-BE49-F238E27FC236}">
              <a16:creationId xmlns:a16="http://schemas.microsoft.com/office/drawing/2014/main" id="{1BA570FC-8014-83CB-E7F9-A571B58616C9}"/>
            </a:ext>
          </a:extLst>
        </xdr:cNvPr>
        <xdr:cNvSpPr/>
      </xdr:nvSpPr>
      <xdr:spPr>
        <a:xfrm>
          <a:off x="381000" y="9321800"/>
          <a:ext cx="3302000" cy="2032000"/>
        </a:xfrm>
        <a:prstGeom prst="roundRect">
          <a:avLst/>
        </a:prstGeom>
        <a:solidFill>
          <a:srgbClr val="FFFFFF"/>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1050" b="1">
              <a:solidFill>
                <a:srgbClr val="0F2043"/>
              </a:solidFill>
              <a:latin typeface="Segoe UI" panose="020B0502040204020203" pitchFamily="34" charset="0"/>
            </a:rPr>
            <a:t>Holiday Status</a:t>
          </a:r>
        </a:p>
      </xdr:txBody>
    </xdr:sp>
    <xdr:clientData/>
  </xdr:twoCellAnchor>
  <xdr:twoCellAnchor>
    <xdr:from>
      <xdr:col>0</xdr:col>
      <xdr:colOff>381000</xdr:colOff>
      <xdr:row>63</xdr:row>
      <xdr:rowOff>60960</xdr:rowOff>
    </xdr:from>
    <xdr:to>
      <xdr:col>6</xdr:col>
      <xdr:colOff>25400</xdr:colOff>
      <xdr:row>74</xdr:row>
      <xdr:rowOff>81280</xdr:rowOff>
    </xdr:to>
    <xdr:sp macro="" textlink="">
      <xdr:nvSpPr>
        <xdr:cNvPr id="15" name="Slicer_Card_5">
          <a:extLst>
            <a:ext uri="{FF2B5EF4-FFF2-40B4-BE49-F238E27FC236}">
              <a16:creationId xmlns:a16="http://schemas.microsoft.com/office/drawing/2014/main" id="{615C5F4A-D6CB-83FD-34D6-E53C3CCB110C}"/>
            </a:ext>
          </a:extLst>
        </xdr:cNvPr>
        <xdr:cNvSpPr/>
      </xdr:nvSpPr>
      <xdr:spPr>
        <a:xfrm>
          <a:off x="381000" y="11582400"/>
          <a:ext cx="3302000" cy="2032000"/>
        </a:xfrm>
        <a:prstGeom prst="roundRect">
          <a:avLst/>
        </a:prstGeom>
        <a:solidFill>
          <a:srgbClr val="FFFFFF"/>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1050" b="1">
              <a:solidFill>
                <a:srgbClr val="0F2043"/>
              </a:solidFill>
              <a:latin typeface="Segoe UI" panose="020B0502040204020203" pitchFamily="34" charset="0"/>
            </a:rPr>
            <a:t>Time Window Segment</a:t>
          </a:r>
        </a:p>
      </xdr:txBody>
    </xdr:sp>
    <xdr:clientData/>
  </xdr:twoCellAnchor>
  <xdr:twoCellAnchor>
    <xdr:from>
      <xdr:col>0</xdr:col>
      <xdr:colOff>381000</xdr:colOff>
      <xdr:row>75</xdr:row>
      <xdr:rowOff>127000</xdr:rowOff>
    </xdr:from>
    <xdr:to>
      <xdr:col>6</xdr:col>
      <xdr:colOff>25400</xdr:colOff>
      <xdr:row>86</xdr:row>
      <xdr:rowOff>147320</xdr:rowOff>
    </xdr:to>
    <xdr:sp macro="" textlink="">
      <xdr:nvSpPr>
        <xdr:cNvPr id="16" name="Slicer_Card_6">
          <a:extLst>
            <a:ext uri="{FF2B5EF4-FFF2-40B4-BE49-F238E27FC236}">
              <a16:creationId xmlns:a16="http://schemas.microsoft.com/office/drawing/2014/main" id="{54599F78-0509-DA1A-5874-7A5063850613}"/>
            </a:ext>
          </a:extLst>
        </xdr:cNvPr>
        <xdr:cNvSpPr/>
      </xdr:nvSpPr>
      <xdr:spPr>
        <a:xfrm>
          <a:off x="381000" y="13843000"/>
          <a:ext cx="3302000" cy="2032000"/>
        </a:xfrm>
        <a:prstGeom prst="roundRect">
          <a:avLst/>
        </a:prstGeom>
        <a:solidFill>
          <a:srgbClr val="FFFFFF"/>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r>
            <a:rPr lang="en-IN" sz="1050" b="1">
              <a:solidFill>
                <a:srgbClr val="0F2043"/>
              </a:solidFill>
              <a:latin typeface="Segoe UI" panose="020B0502040204020203" pitchFamily="34" charset="0"/>
            </a:rPr>
            <a:t>Temperature Range</a:t>
          </a:r>
        </a:p>
      </xdr:txBody>
    </xdr:sp>
    <xdr:clientData/>
  </xdr:twoCellAnchor>
  <xdr:twoCellAnchor>
    <xdr:from>
      <xdr:col>6</xdr:col>
      <xdr:colOff>279400</xdr:colOff>
      <xdr:row>13</xdr:row>
      <xdr:rowOff>162560</xdr:rowOff>
    </xdr:from>
    <xdr:to>
      <xdr:col>15</xdr:col>
      <xdr:colOff>254000</xdr:colOff>
      <xdr:row>31</xdr:row>
      <xdr:rowOff>20320</xdr:rowOff>
    </xdr:to>
    <xdr:sp macro="" textlink="">
      <xdr:nvSpPr>
        <xdr:cNvPr id="17" name="Chart_Card_1">
          <a:extLst>
            <a:ext uri="{FF2B5EF4-FFF2-40B4-BE49-F238E27FC236}">
              <a16:creationId xmlns:a16="http://schemas.microsoft.com/office/drawing/2014/main" id="{6F458580-9ED6-7ABA-3575-12F0E69A0203}"/>
            </a:ext>
          </a:extLst>
        </xdr:cNvPr>
        <xdr:cNvSpPr/>
      </xdr:nvSpPr>
      <xdr:spPr>
        <a:xfrm>
          <a:off x="3937000" y="2540000"/>
          <a:ext cx="5461000" cy="3149600"/>
        </a:xfrm>
        <a:prstGeom prst="roundRect">
          <a:avLst/>
        </a:prstGeom>
        <a:solidFill>
          <a:schemeClr val="accent3">
            <a:lumMod val="20000"/>
            <a:lumOff val="80000"/>
          </a:schemeClr>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endParaRPr lang="en-IN" sz="1050" b="1">
            <a:solidFill>
              <a:srgbClr val="0F2043"/>
            </a:solidFill>
            <a:latin typeface="Segoe UI" panose="020B0502040204020203" pitchFamily="34" charset="0"/>
          </a:endParaRPr>
        </a:p>
      </xdr:txBody>
    </xdr:sp>
    <xdr:clientData/>
  </xdr:twoCellAnchor>
  <xdr:twoCellAnchor>
    <xdr:from>
      <xdr:col>15</xdr:col>
      <xdr:colOff>508000</xdr:colOff>
      <xdr:row>13</xdr:row>
      <xdr:rowOff>162560</xdr:rowOff>
    </xdr:from>
    <xdr:to>
      <xdr:col>24</xdr:col>
      <xdr:colOff>482600</xdr:colOff>
      <xdr:row>31</xdr:row>
      <xdr:rowOff>20320</xdr:rowOff>
    </xdr:to>
    <xdr:sp macro="" textlink="">
      <xdr:nvSpPr>
        <xdr:cNvPr id="18" name="Chart_Card_2">
          <a:extLst>
            <a:ext uri="{FF2B5EF4-FFF2-40B4-BE49-F238E27FC236}">
              <a16:creationId xmlns:a16="http://schemas.microsoft.com/office/drawing/2014/main" id="{3276731C-5F8C-DB5E-2CC8-4C2966BEEE6E}"/>
            </a:ext>
          </a:extLst>
        </xdr:cNvPr>
        <xdr:cNvSpPr/>
      </xdr:nvSpPr>
      <xdr:spPr>
        <a:xfrm>
          <a:off x="9652000" y="2540000"/>
          <a:ext cx="5461000" cy="3149600"/>
        </a:xfrm>
        <a:prstGeom prst="roundRect">
          <a:avLst/>
        </a:prstGeom>
        <a:solidFill>
          <a:schemeClr val="accent3">
            <a:lumMod val="20000"/>
            <a:lumOff val="80000"/>
          </a:schemeClr>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endParaRPr lang="en-IN" sz="1050" b="1">
            <a:solidFill>
              <a:srgbClr val="0F2043"/>
            </a:solidFill>
            <a:latin typeface="Segoe UI" panose="020B0502040204020203" pitchFamily="34" charset="0"/>
          </a:endParaRPr>
        </a:p>
      </xdr:txBody>
    </xdr:sp>
    <xdr:clientData/>
  </xdr:twoCellAnchor>
  <xdr:twoCellAnchor>
    <xdr:from>
      <xdr:col>6</xdr:col>
      <xdr:colOff>279400</xdr:colOff>
      <xdr:row>32</xdr:row>
      <xdr:rowOff>66040</xdr:rowOff>
    </xdr:from>
    <xdr:to>
      <xdr:col>15</xdr:col>
      <xdr:colOff>254000</xdr:colOff>
      <xdr:row>49</xdr:row>
      <xdr:rowOff>106680</xdr:rowOff>
    </xdr:to>
    <xdr:sp macro="" textlink="">
      <xdr:nvSpPr>
        <xdr:cNvPr id="19" name="Chart_Card_3">
          <a:extLst>
            <a:ext uri="{FF2B5EF4-FFF2-40B4-BE49-F238E27FC236}">
              <a16:creationId xmlns:a16="http://schemas.microsoft.com/office/drawing/2014/main" id="{36183039-6924-8CFF-E154-EA927C8225BE}"/>
            </a:ext>
          </a:extLst>
        </xdr:cNvPr>
        <xdr:cNvSpPr/>
      </xdr:nvSpPr>
      <xdr:spPr>
        <a:xfrm>
          <a:off x="3937000" y="5918200"/>
          <a:ext cx="5461000" cy="3149600"/>
        </a:xfrm>
        <a:prstGeom prst="roundRect">
          <a:avLst/>
        </a:prstGeom>
        <a:solidFill>
          <a:schemeClr val="accent3">
            <a:lumMod val="20000"/>
            <a:lumOff val="80000"/>
          </a:schemeClr>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endParaRPr lang="en-IN" sz="1050" b="1">
            <a:solidFill>
              <a:srgbClr val="0F2043"/>
            </a:solidFill>
            <a:latin typeface="Segoe UI" panose="020B0502040204020203" pitchFamily="34" charset="0"/>
          </a:endParaRPr>
        </a:p>
      </xdr:txBody>
    </xdr:sp>
    <xdr:clientData/>
  </xdr:twoCellAnchor>
  <xdr:twoCellAnchor>
    <xdr:from>
      <xdr:col>15</xdr:col>
      <xdr:colOff>508000</xdr:colOff>
      <xdr:row>32</xdr:row>
      <xdr:rowOff>66040</xdr:rowOff>
    </xdr:from>
    <xdr:to>
      <xdr:col>24</xdr:col>
      <xdr:colOff>482600</xdr:colOff>
      <xdr:row>49</xdr:row>
      <xdr:rowOff>106680</xdr:rowOff>
    </xdr:to>
    <xdr:sp macro="" textlink="">
      <xdr:nvSpPr>
        <xdr:cNvPr id="20" name="Chart_Card_4">
          <a:extLst>
            <a:ext uri="{FF2B5EF4-FFF2-40B4-BE49-F238E27FC236}">
              <a16:creationId xmlns:a16="http://schemas.microsoft.com/office/drawing/2014/main" id="{472EFC55-604C-F4C6-ED4D-4C228368EC51}"/>
            </a:ext>
          </a:extLst>
        </xdr:cNvPr>
        <xdr:cNvSpPr/>
      </xdr:nvSpPr>
      <xdr:spPr>
        <a:xfrm>
          <a:off x="9652000" y="5918200"/>
          <a:ext cx="5461000" cy="3149600"/>
        </a:xfrm>
        <a:prstGeom prst="roundRect">
          <a:avLst/>
        </a:prstGeom>
        <a:solidFill>
          <a:schemeClr val="accent3">
            <a:lumMod val="20000"/>
            <a:lumOff val="80000"/>
          </a:schemeClr>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endParaRPr lang="en-IN" sz="1050" b="1">
            <a:solidFill>
              <a:srgbClr val="0F2043"/>
            </a:solidFill>
            <a:latin typeface="Segoe UI" panose="020B0502040204020203" pitchFamily="34" charset="0"/>
          </a:endParaRPr>
        </a:p>
      </xdr:txBody>
    </xdr:sp>
    <xdr:clientData/>
  </xdr:twoCellAnchor>
  <xdr:twoCellAnchor>
    <xdr:from>
      <xdr:col>6</xdr:col>
      <xdr:colOff>279400</xdr:colOff>
      <xdr:row>50</xdr:row>
      <xdr:rowOff>152400</xdr:rowOff>
    </xdr:from>
    <xdr:to>
      <xdr:col>15</xdr:col>
      <xdr:colOff>254000</xdr:colOff>
      <xdr:row>68</xdr:row>
      <xdr:rowOff>10160</xdr:rowOff>
    </xdr:to>
    <xdr:sp macro="" textlink="">
      <xdr:nvSpPr>
        <xdr:cNvPr id="21" name="Chart_Card_5">
          <a:extLst>
            <a:ext uri="{FF2B5EF4-FFF2-40B4-BE49-F238E27FC236}">
              <a16:creationId xmlns:a16="http://schemas.microsoft.com/office/drawing/2014/main" id="{9324EBC2-12A0-087F-56BD-F2E74ED2DEF6}"/>
            </a:ext>
          </a:extLst>
        </xdr:cNvPr>
        <xdr:cNvSpPr/>
      </xdr:nvSpPr>
      <xdr:spPr>
        <a:xfrm>
          <a:off x="3937000" y="9296400"/>
          <a:ext cx="5461000" cy="3149600"/>
        </a:xfrm>
        <a:prstGeom prst="roundRect">
          <a:avLst/>
        </a:prstGeom>
        <a:solidFill>
          <a:schemeClr val="accent3">
            <a:lumMod val="20000"/>
            <a:lumOff val="80000"/>
          </a:schemeClr>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endParaRPr lang="en-IN" sz="1050" b="1">
            <a:solidFill>
              <a:srgbClr val="0F2043"/>
            </a:solidFill>
            <a:latin typeface="Segoe UI" panose="020B0502040204020203" pitchFamily="34" charset="0"/>
          </a:endParaRPr>
        </a:p>
      </xdr:txBody>
    </xdr:sp>
    <xdr:clientData/>
  </xdr:twoCellAnchor>
  <xdr:twoCellAnchor>
    <xdr:from>
      <xdr:col>15</xdr:col>
      <xdr:colOff>508000</xdr:colOff>
      <xdr:row>50</xdr:row>
      <xdr:rowOff>152400</xdr:rowOff>
    </xdr:from>
    <xdr:to>
      <xdr:col>24</xdr:col>
      <xdr:colOff>482600</xdr:colOff>
      <xdr:row>68</xdr:row>
      <xdr:rowOff>10160</xdr:rowOff>
    </xdr:to>
    <xdr:sp macro="" textlink="">
      <xdr:nvSpPr>
        <xdr:cNvPr id="22" name="Chart_Card_6">
          <a:extLst>
            <a:ext uri="{FF2B5EF4-FFF2-40B4-BE49-F238E27FC236}">
              <a16:creationId xmlns:a16="http://schemas.microsoft.com/office/drawing/2014/main" id="{72CA3C6A-624E-0393-9672-C04039AFF21A}"/>
            </a:ext>
          </a:extLst>
        </xdr:cNvPr>
        <xdr:cNvSpPr/>
      </xdr:nvSpPr>
      <xdr:spPr>
        <a:xfrm>
          <a:off x="9652000" y="9296400"/>
          <a:ext cx="5461000" cy="3149600"/>
        </a:xfrm>
        <a:prstGeom prst="roundRect">
          <a:avLst/>
        </a:prstGeom>
        <a:solidFill>
          <a:schemeClr val="accent3">
            <a:lumMod val="20000"/>
            <a:lumOff val="80000"/>
          </a:schemeClr>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endParaRPr lang="en-IN" sz="1050" b="1">
            <a:solidFill>
              <a:srgbClr val="0F2043"/>
            </a:solidFill>
            <a:latin typeface="Segoe UI" panose="020B0502040204020203" pitchFamily="34" charset="0"/>
          </a:endParaRPr>
        </a:p>
      </xdr:txBody>
    </xdr:sp>
    <xdr:clientData/>
  </xdr:twoCellAnchor>
  <xdr:twoCellAnchor>
    <xdr:from>
      <xdr:col>6</xdr:col>
      <xdr:colOff>279400</xdr:colOff>
      <xdr:row>69</xdr:row>
      <xdr:rowOff>55880</xdr:rowOff>
    </xdr:from>
    <xdr:to>
      <xdr:col>15</xdr:col>
      <xdr:colOff>254000</xdr:colOff>
      <xdr:row>86</xdr:row>
      <xdr:rowOff>96520</xdr:rowOff>
    </xdr:to>
    <xdr:sp macro="" textlink="">
      <xdr:nvSpPr>
        <xdr:cNvPr id="23" name="Chart_Card_7">
          <a:extLst>
            <a:ext uri="{FF2B5EF4-FFF2-40B4-BE49-F238E27FC236}">
              <a16:creationId xmlns:a16="http://schemas.microsoft.com/office/drawing/2014/main" id="{4FB0B5DD-1C33-DAA4-3200-95FC5BA2E3FD}"/>
            </a:ext>
          </a:extLst>
        </xdr:cNvPr>
        <xdr:cNvSpPr/>
      </xdr:nvSpPr>
      <xdr:spPr>
        <a:xfrm>
          <a:off x="3937000" y="12674600"/>
          <a:ext cx="5461000" cy="3149600"/>
        </a:xfrm>
        <a:prstGeom prst="roundRect">
          <a:avLst/>
        </a:prstGeom>
        <a:solidFill>
          <a:schemeClr val="accent3">
            <a:lumMod val="20000"/>
            <a:lumOff val="80000"/>
          </a:schemeClr>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endParaRPr lang="en-IN" sz="1050" b="1">
            <a:solidFill>
              <a:srgbClr val="0F2043"/>
            </a:solidFill>
            <a:latin typeface="Segoe UI" panose="020B0502040204020203" pitchFamily="34" charset="0"/>
          </a:endParaRPr>
        </a:p>
      </xdr:txBody>
    </xdr:sp>
    <xdr:clientData/>
  </xdr:twoCellAnchor>
  <xdr:twoCellAnchor>
    <xdr:from>
      <xdr:col>15</xdr:col>
      <xdr:colOff>508000</xdr:colOff>
      <xdr:row>69</xdr:row>
      <xdr:rowOff>55880</xdr:rowOff>
    </xdr:from>
    <xdr:to>
      <xdr:col>24</xdr:col>
      <xdr:colOff>482600</xdr:colOff>
      <xdr:row>86</xdr:row>
      <xdr:rowOff>96520</xdr:rowOff>
    </xdr:to>
    <xdr:sp macro="" textlink="">
      <xdr:nvSpPr>
        <xdr:cNvPr id="24" name="Chart_Card_8">
          <a:extLst>
            <a:ext uri="{FF2B5EF4-FFF2-40B4-BE49-F238E27FC236}">
              <a16:creationId xmlns:a16="http://schemas.microsoft.com/office/drawing/2014/main" id="{6067B1D2-6C3F-7ACA-BB22-0EEEDA5F2F6D}"/>
            </a:ext>
          </a:extLst>
        </xdr:cNvPr>
        <xdr:cNvSpPr/>
      </xdr:nvSpPr>
      <xdr:spPr>
        <a:xfrm>
          <a:off x="9652000" y="12674600"/>
          <a:ext cx="5461000" cy="3149600"/>
        </a:xfrm>
        <a:prstGeom prst="roundRect">
          <a:avLst/>
        </a:prstGeom>
        <a:solidFill>
          <a:schemeClr val="accent3">
            <a:lumMod val="20000"/>
            <a:lumOff val="80000"/>
          </a:schemeClr>
        </a:solidFill>
        <a:ln w="12700">
          <a:solidFill>
            <a:srgbClr val="D7DEE8"/>
          </a:solidFill>
        </a:ln>
        <a:effectLst>
          <a:outerShdw blurRad="76200" dist="35921" dir="2700002"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27000" rIns="127000" bIns="127000" rtlCol="0" anchor="t"/>
        <a:lstStyle/>
        <a:p>
          <a:pPr algn="l"/>
          <a:endParaRPr lang="en-IN" sz="1050" b="1">
            <a:solidFill>
              <a:srgbClr val="0F2043"/>
            </a:solidFill>
            <a:latin typeface="Segoe UI" panose="020B0502040204020203" pitchFamily="34" charset="0"/>
          </a:endParaRPr>
        </a:p>
      </xdr:txBody>
    </xdr:sp>
    <xdr:clientData/>
  </xdr:twoCellAnchor>
  <xdr:twoCellAnchor>
    <xdr:from>
      <xdr:col>6</xdr:col>
      <xdr:colOff>548640</xdr:colOff>
      <xdr:row>14</xdr:row>
      <xdr:rowOff>143436</xdr:rowOff>
    </xdr:from>
    <xdr:to>
      <xdr:col>15</xdr:col>
      <xdr:colOff>76200</xdr:colOff>
      <xdr:row>29</xdr:row>
      <xdr:rowOff>114301</xdr:rowOff>
    </xdr:to>
    <xdr:graphicFrame macro="">
      <xdr:nvGraphicFramePr>
        <xdr:cNvPr id="31" name="Chart 30">
          <a:extLst>
            <a:ext uri="{FF2B5EF4-FFF2-40B4-BE49-F238E27FC236}">
              <a16:creationId xmlns:a16="http://schemas.microsoft.com/office/drawing/2014/main" id="{BE511489-E485-322B-251A-7A64FCA44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76200</xdr:colOff>
      <xdr:row>14</xdr:row>
      <xdr:rowOff>170330</xdr:rowOff>
    </xdr:from>
    <xdr:to>
      <xdr:col>24</xdr:col>
      <xdr:colOff>304800</xdr:colOff>
      <xdr:row>29</xdr:row>
      <xdr:rowOff>160021</xdr:rowOff>
    </xdr:to>
    <xdr:graphicFrame macro="">
      <xdr:nvGraphicFramePr>
        <xdr:cNvPr id="32" name="Chart 31">
          <a:extLst>
            <a:ext uri="{FF2B5EF4-FFF2-40B4-BE49-F238E27FC236}">
              <a16:creationId xmlns:a16="http://schemas.microsoft.com/office/drawing/2014/main" id="{F6A90615-7729-64FE-6B81-92976D364C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448235</xdr:colOff>
      <xdr:row>32</xdr:row>
      <xdr:rowOff>170329</xdr:rowOff>
    </xdr:from>
    <xdr:to>
      <xdr:col>15</xdr:col>
      <xdr:colOff>91440</xdr:colOff>
      <xdr:row>48</xdr:row>
      <xdr:rowOff>38100</xdr:rowOff>
    </xdr:to>
    <xdr:graphicFrame macro="">
      <xdr:nvGraphicFramePr>
        <xdr:cNvPr id="33" name="Chart 32">
          <a:extLst>
            <a:ext uri="{FF2B5EF4-FFF2-40B4-BE49-F238E27FC236}">
              <a16:creationId xmlns:a16="http://schemas.microsoft.com/office/drawing/2014/main" id="{6ED458C3-1BAD-E6F9-71E3-4C96C6EEB3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144780</xdr:colOff>
      <xdr:row>33</xdr:row>
      <xdr:rowOff>53788</xdr:rowOff>
    </xdr:from>
    <xdr:to>
      <xdr:col>24</xdr:col>
      <xdr:colOff>312420</xdr:colOff>
      <xdr:row>48</xdr:row>
      <xdr:rowOff>106680</xdr:rowOff>
    </xdr:to>
    <xdr:graphicFrame macro="">
      <xdr:nvGraphicFramePr>
        <xdr:cNvPr id="34" name="Chart 33">
          <a:extLst>
            <a:ext uri="{FF2B5EF4-FFF2-40B4-BE49-F238E27FC236}">
              <a16:creationId xmlns:a16="http://schemas.microsoft.com/office/drawing/2014/main" id="{0551EE4C-8B28-D4EC-B348-8AC1020E6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457200</xdr:colOff>
      <xdr:row>51</xdr:row>
      <xdr:rowOff>125506</xdr:rowOff>
    </xdr:from>
    <xdr:to>
      <xdr:col>15</xdr:col>
      <xdr:colOff>53340</xdr:colOff>
      <xdr:row>66</xdr:row>
      <xdr:rowOff>160020</xdr:rowOff>
    </xdr:to>
    <xdr:graphicFrame macro="">
      <xdr:nvGraphicFramePr>
        <xdr:cNvPr id="35" name="Chart 34">
          <a:extLst>
            <a:ext uri="{FF2B5EF4-FFF2-40B4-BE49-F238E27FC236}">
              <a16:creationId xmlns:a16="http://schemas.microsoft.com/office/drawing/2014/main" id="{F99C36C3-30CF-5EE7-4BC0-CABC52F281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91440</xdr:colOff>
      <xdr:row>51</xdr:row>
      <xdr:rowOff>143435</xdr:rowOff>
    </xdr:from>
    <xdr:to>
      <xdr:col>24</xdr:col>
      <xdr:colOff>251460</xdr:colOff>
      <xdr:row>66</xdr:row>
      <xdr:rowOff>167640</xdr:rowOff>
    </xdr:to>
    <xdr:graphicFrame macro="">
      <xdr:nvGraphicFramePr>
        <xdr:cNvPr id="36" name="Chart 35">
          <a:extLst>
            <a:ext uri="{FF2B5EF4-FFF2-40B4-BE49-F238E27FC236}">
              <a16:creationId xmlns:a16="http://schemas.microsoft.com/office/drawing/2014/main" id="{5949A3C2-3EE1-3AE8-CFB7-92F96A06A7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502920</xdr:colOff>
      <xdr:row>69</xdr:row>
      <xdr:rowOff>170330</xdr:rowOff>
    </xdr:from>
    <xdr:to>
      <xdr:col>15</xdr:col>
      <xdr:colOff>68580</xdr:colOff>
      <xdr:row>85</xdr:row>
      <xdr:rowOff>76200</xdr:rowOff>
    </xdr:to>
    <xdr:graphicFrame macro="">
      <xdr:nvGraphicFramePr>
        <xdr:cNvPr id="37" name="Chart 36">
          <a:extLst>
            <a:ext uri="{FF2B5EF4-FFF2-40B4-BE49-F238E27FC236}">
              <a16:creationId xmlns:a16="http://schemas.microsoft.com/office/drawing/2014/main" id="{B0B735B1-8BE0-1C16-D472-5C384CF760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71718</xdr:colOff>
      <xdr:row>70</xdr:row>
      <xdr:rowOff>62753</xdr:rowOff>
    </xdr:from>
    <xdr:to>
      <xdr:col>24</xdr:col>
      <xdr:colOff>331694</xdr:colOff>
      <xdr:row>85</xdr:row>
      <xdr:rowOff>125506</xdr:rowOff>
    </xdr:to>
    <xdr:graphicFrame macro="">
      <xdr:nvGraphicFramePr>
        <xdr:cNvPr id="38" name="Chart 37">
          <a:extLst>
            <a:ext uri="{FF2B5EF4-FFF2-40B4-BE49-F238E27FC236}">
              <a16:creationId xmlns:a16="http://schemas.microsoft.com/office/drawing/2014/main" id="{51512682-7041-5D19-C2EF-17792342A1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548640</xdr:colOff>
      <xdr:row>16</xdr:row>
      <xdr:rowOff>116840</xdr:rowOff>
    </xdr:from>
    <xdr:to>
      <xdr:col>5</xdr:col>
      <xdr:colOff>495300</xdr:colOff>
      <xdr:row>24</xdr:row>
      <xdr:rowOff>38100</xdr:rowOff>
    </xdr:to>
    <mc:AlternateContent xmlns:mc="http://schemas.openxmlformats.org/markup-compatibility/2006" xmlns:a14="http://schemas.microsoft.com/office/drawing/2010/main">
      <mc:Choice Requires="a14">
        <xdr:graphicFrame macro="">
          <xdr:nvGraphicFramePr>
            <xdr:cNvPr id="39" name="Slicer_Date">
              <a:extLst>
                <a:ext uri="{FF2B5EF4-FFF2-40B4-BE49-F238E27FC236}">
                  <a16:creationId xmlns:a16="http://schemas.microsoft.com/office/drawing/2014/main" id="{441E87CB-25AB-5BC2-2A39-57BC1B4EC006}"/>
                </a:ext>
              </a:extLst>
            </xdr:cNvPr>
            <xdr:cNvGraphicFramePr/>
          </xdr:nvGraphicFramePr>
          <xdr:xfrm>
            <a:off x="0" y="0"/>
            <a:ext cx="0" cy="0"/>
          </xdr:xfrm>
          <a:graphic>
            <a:graphicData uri="http://schemas.microsoft.com/office/drawing/2010/slicer">
              <sle:slicer xmlns:sle="http://schemas.microsoft.com/office/drawing/2010/slicer" name="Slicer_Date"/>
            </a:graphicData>
          </a:graphic>
        </xdr:graphicFrame>
      </mc:Choice>
      <mc:Fallback xmlns="">
        <xdr:sp macro="" textlink="">
          <xdr:nvSpPr>
            <xdr:cNvPr id="0" name=""/>
            <xdr:cNvSpPr>
              <a:spLocks noTextEdit="1"/>
            </xdr:cNvSpPr>
          </xdr:nvSpPr>
          <xdr:spPr>
            <a:xfrm>
              <a:off x="548640" y="3042920"/>
              <a:ext cx="2994660" cy="1384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548640</xdr:colOff>
      <xdr:row>28</xdr:row>
      <xdr:rowOff>129540</xdr:rowOff>
    </xdr:from>
    <xdr:to>
      <xdr:col>5</xdr:col>
      <xdr:colOff>502920</xdr:colOff>
      <xdr:row>36</xdr:row>
      <xdr:rowOff>76200</xdr:rowOff>
    </xdr:to>
    <mc:AlternateContent xmlns:mc="http://schemas.openxmlformats.org/markup-compatibility/2006" xmlns:a14="http://schemas.microsoft.com/office/drawing/2010/main">
      <mc:Choice Requires="a14">
        <xdr:graphicFrame macro="">
          <xdr:nvGraphicFramePr>
            <xdr:cNvPr id="40" name="Slicer_Weekday">
              <a:extLst>
                <a:ext uri="{FF2B5EF4-FFF2-40B4-BE49-F238E27FC236}">
                  <a16:creationId xmlns:a16="http://schemas.microsoft.com/office/drawing/2014/main" id="{ADB1DF34-D7AB-390A-BE88-D43D6BD276A2}"/>
                </a:ext>
              </a:extLst>
            </xdr:cNvPr>
            <xdr:cNvGraphicFramePr/>
          </xdr:nvGraphicFramePr>
          <xdr:xfrm>
            <a:off x="0" y="0"/>
            <a:ext cx="0" cy="0"/>
          </xdr:xfrm>
          <a:graphic>
            <a:graphicData uri="http://schemas.microsoft.com/office/drawing/2010/slicer">
              <sle:slicer xmlns:sle="http://schemas.microsoft.com/office/drawing/2010/slicer" name="Slicer_Weekday"/>
            </a:graphicData>
          </a:graphic>
        </xdr:graphicFrame>
      </mc:Choice>
      <mc:Fallback xmlns="">
        <xdr:sp macro="" textlink="">
          <xdr:nvSpPr>
            <xdr:cNvPr id="0" name=""/>
            <xdr:cNvSpPr>
              <a:spLocks noTextEdit="1"/>
            </xdr:cNvSpPr>
          </xdr:nvSpPr>
          <xdr:spPr>
            <a:xfrm>
              <a:off x="548640" y="5250180"/>
              <a:ext cx="3002280" cy="1409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579120</xdr:colOff>
      <xdr:row>41</xdr:row>
      <xdr:rowOff>83820</xdr:rowOff>
    </xdr:from>
    <xdr:to>
      <xdr:col>5</xdr:col>
      <xdr:colOff>464820</xdr:colOff>
      <xdr:row>48</xdr:row>
      <xdr:rowOff>99060</xdr:rowOff>
    </xdr:to>
    <mc:AlternateContent xmlns:mc="http://schemas.openxmlformats.org/markup-compatibility/2006" xmlns:a14="http://schemas.microsoft.com/office/drawing/2010/main">
      <mc:Choice Requires="a14">
        <xdr:graphicFrame macro="">
          <xdr:nvGraphicFramePr>
            <xdr:cNvPr id="41" name="Slicer_Weather">
              <a:extLst>
                <a:ext uri="{FF2B5EF4-FFF2-40B4-BE49-F238E27FC236}">
                  <a16:creationId xmlns:a16="http://schemas.microsoft.com/office/drawing/2014/main" id="{54FAE498-1F13-DD7A-1B6F-508D6DA43653}"/>
                </a:ext>
              </a:extLst>
            </xdr:cNvPr>
            <xdr:cNvGraphicFramePr/>
          </xdr:nvGraphicFramePr>
          <xdr:xfrm>
            <a:off x="0" y="0"/>
            <a:ext cx="0" cy="0"/>
          </xdr:xfrm>
          <a:graphic>
            <a:graphicData uri="http://schemas.microsoft.com/office/drawing/2010/slicer">
              <sle:slicer xmlns:sle="http://schemas.microsoft.com/office/drawing/2010/slicer" name="Slicer_Weather"/>
            </a:graphicData>
          </a:graphic>
        </xdr:graphicFrame>
      </mc:Choice>
      <mc:Fallback xmlns="">
        <xdr:sp macro="" textlink="">
          <xdr:nvSpPr>
            <xdr:cNvPr id="0" name=""/>
            <xdr:cNvSpPr>
              <a:spLocks noTextEdit="1"/>
            </xdr:cNvSpPr>
          </xdr:nvSpPr>
          <xdr:spPr>
            <a:xfrm>
              <a:off x="579120" y="7581900"/>
              <a:ext cx="2933700" cy="1295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487680</xdr:colOff>
      <xdr:row>53</xdr:row>
      <xdr:rowOff>167640</xdr:rowOff>
    </xdr:from>
    <xdr:to>
      <xdr:col>5</xdr:col>
      <xdr:colOff>518160</xdr:colOff>
      <xdr:row>61</xdr:row>
      <xdr:rowOff>22860</xdr:rowOff>
    </xdr:to>
    <mc:AlternateContent xmlns:mc="http://schemas.openxmlformats.org/markup-compatibility/2006" xmlns:a14="http://schemas.microsoft.com/office/drawing/2010/main">
      <mc:Choice Requires="a14">
        <xdr:graphicFrame macro="">
          <xdr:nvGraphicFramePr>
            <xdr:cNvPr id="42" name="Slicer_Holiday">
              <a:extLst>
                <a:ext uri="{FF2B5EF4-FFF2-40B4-BE49-F238E27FC236}">
                  <a16:creationId xmlns:a16="http://schemas.microsoft.com/office/drawing/2014/main" id="{9374814E-09DB-67EA-9AF3-9F7B33103E39}"/>
                </a:ext>
              </a:extLst>
            </xdr:cNvPr>
            <xdr:cNvGraphicFramePr/>
          </xdr:nvGraphicFramePr>
          <xdr:xfrm>
            <a:off x="0" y="0"/>
            <a:ext cx="0" cy="0"/>
          </xdr:xfrm>
          <a:graphic>
            <a:graphicData uri="http://schemas.microsoft.com/office/drawing/2010/slicer">
              <sle:slicer xmlns:sle="http://schemas.microsoft.com/office/drawing/2010/slicer" name="Slicer_Holiday"/>
            </a:graphicData>
          </a:graphic>
        </xdr:graphicFrame>
      </mc:Choice>
      <mc:Fallback xmlns="">
        <xdr:sp macro="" textlink="">
          <xdr:nvSpPr>
            <xdr:cNvPr id="0" name=""/>
            <xdr:cNvSpPr>
              <a:spLocks noTextEdit="1"/>
            </xdr:cNvSpPr>
          </xdr:nvSpPr>
          <xdr:spPr>
            <a:xfrm>
              <a:off x="487680" y="9860280"/>
              <a:ext cx="3078480" cy="13182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525780</xdr:colOff>
      <xdr:row>65</xdr:row>
      <xdr:rowOff>144780</xdr:rowOff>
    </xdr:from>
    <xdr:to>
      <xdr:col>5</xdr:col>
      <xdr:colOff>472440</xdr:colOff>
      <xdr:row>73</xdr:row>
      <xdr:rowOff>106680</xdr:rowOff>
    </xdr:to>
    <mc:AlternateContent xmlns:mc="http://schemas.openxmlformats.org/markup-compatibility/2006" xmlns:a14="http://schemas.microsoft.com/office/drawing/2010/main">
      <mc:Choice Requires="a14">
        <xdr:graphicFrame macro="">
          <xdr:nvGraphicFramePr>
            <xdr:cNvPr id="43" name="Slicer_Hour">
              <a:extLst>
                <a:ext uri="{FF2B5EF4-FFF2-40B4-BE49-F238E27FC236}">
                  <a16:creationId xmlns:a16="http://schemas.microsoft.com/office/drawing/2014/main" id="{0A096B3D-4282-143E-B149-FEAEC8BD5DB3}"/>
                </a:ext>
              </a:extLst>
            </xdr:cNvPr>
            <xdr:cNvGraphicFramePr/>
          </xdr:nvGraphicFramePr>
          <xdr:xfrm>
            <a:off x="0" y="0"/>
            <a:ext cx="0" cy="0"/>
          </xdr:xfrm>
          <a:graphic>
            <a:graphicData uri="http://schemas.microsoft.com/office/drawing/2010/slicer">
              <sle:slicer xmlns:sle="http://schemas.microsoft.com/office/drawing/2010/slicer" name="Slicer_Hour"/>
            </a:graphicData>
          </a:graphic>
        </xdr:graphicFrame>
      </mc:Choice>
      <mc:Fallback xmlns="">
        <xdr:sp macro="" textlink="">
          <xdr:nvSpPr>
            <xdr:cNvPr id="0" name=""/>
            <xdr:cNvSpPr>
              <a:spLocks noTextEdit="1"/>
            </xdr:cNvSpPr>
          </xdr:nvSpPr>
          <xdr:spPr>
            <a:xfrm>
              <a:off x="525780" y="12031980"/>
              <a:ext cx="2994660" cy="1424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579120</xdr:colOff>
      <xdr:row>78</xdr:row>
      <xdr:rowOff>53340</xdr:rowOff>
    </xdr:from>
    <xdr:to>
      <xdr:col>5</xdr:col>
      <xdr:colOff>457200</xdr:colOff>
      <xdr:row>85</xdr:row>
      <xdr:rowOff>175260</xdr:rowOff>
    </xdr:to>
    <mc:AlternateContent xmlns:mc="http://schemas.openxmlformats.org/markup-compatibility/2006" xmlns:a14="http://schemas.microsoft.com/office/drawing/2010/main">
      <mc:Choice Requires="a14">
        <xdr:graphicFrame macro="">
          <xdr:nvGraphicFramePr>
            <xdr:cNvPr id="44" name="Slicer_Temp">
              <a:extLst>
                <a:ext uri="{FF2B5EF4-FFF2-40B4-BE49-F238E27FC236}">
                  <a16:creationId xmlns:a16="http://schemas.microsoft.com/office/drawing/2014/main" id="{568ACDDF-EE92-A913-A6A9-019943B6CE14}"/>
                </a:ext>
              </a:extLst>
            </xdr:cNvPr>
            <xdr:cNvGraphicFramePr/>
          </xdr:nvGraphicFramePr>
          <xdr:xfrm>
            <a:off x="0" y="0"/>
            <a:ext cx="0" cy="0"/>
          </xdr:xfrm>
          <a:graphic>
            <a:graphicData uri="http://schemas.microsoft.com/office/drawing/2010/slicer">
              <sle:slicer xmlns:sle="http://schemas.microsoft.com/office/drawing/2010/slicer" name="Slicer_Temp"/>
            </a:graphicData>
          </a:graphic>
        </xdr:graphicFrame>
      </mc:Choice>
      <mc:Fallback xmlns="">
        <xdr:sp macro="" textlink="">
          <xdr:nvSpPr>
            <xdr:cNvPr id="0" name=""/>
            <xdr:cNvSpPr>
              <a:spLocks noTextEdit="1"/>
            </xdr:cNvSpPr>
          </xdr:nvSpPr>
          <xdr:spPr>
            <a:xfrm>
              <a:off x="579120" y="14317980"/>
              <a:ext cx="2926080" cy="1402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308.907037847224" createdVersion="8" refreshedVersion="8" minRefreshableVersion="3" recordCount="1000" xr:uid="{F2448467-F592-4E45-B7B8-EFC3E1F1778A}">
  <cacheSource type="worksheet">
    <worksheetSource ref="A1:M1001" sheet="Final_DataSet "/>
  </cacheSource>
  <cacheFields count="13">
    <cacheField name="instant" numFmtId="0">
      <sharedItems containsSemiMixedTypes="0" containsString="0" containsNumber="1" containsInteger="1" minValue="1" maxValue="1000"/>
    </cacheField>
    <cacheField name="Date"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Hou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ount="2">
        <b v="0"/>
        <b v="1"/>
      </sharedItems>
    </cacheField>
    <cacheField name="Weekday" numFmtId="0">
      <sharedItems count="7">
        <s v="Saturday"/>
        <s v="Sunday"/>
        <s v="Monday"/>
        <s v="Tuesday"/>
        <s v="Wednesday"/>
        <s v="Thursday"/>
        <s v="Friday"/>
      </sharedItems>
    </cacheField>
    <cacheField name="Weathersit" numFmtId="0">
      <sharedItems count="4">
        <s v="Normal"/>
        <s v="Yellow Alert"/>
        <s v="Orange Alert"/>
        <s v="Red Alert"/>
      </sharedItems>
    </cacheField>
    <cacheField name="Temp" numFmtId="0">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ssumed_Temp" numFmtId="0">
      <sharedItems containsSemiMixedTypes="0" containsString="0" containsNumber="1" minValue="0" maxValue="0.45450000000000002"/>
    </cacheField>
    <cacheField name="Humidity"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_Customers" numFmtId="0">
      <sharedItems containsSemiMixedTypes="0" containsString="0" containsNumber="1" containsInteger="1" minValue="0" maxValue="62"/>
    </cacheField>
    <cacheField name="Registered_Customers" numFmtId="0">
      <sharedItems containsSemiMixedTypes="0" containsString="0" containsNumber="1" containsInteger="1" minValue="0" maxValue="247"/>
    </cacheField>
    <cacheField name="Total_Count" numFmtId="0">
      <sharedItems containsSemiMixedTypes="0" containsString="0" containsNumber="1" containsInteger="1" minValue="1" maxValue="249"/>
    </cacheField>
  </cacheFields>
  <extLst>
    <ext xmlns:x14="http://schemas.microsoft.com/office/spreadsheetml/2009/9/main" uri="{725AE2AE-9491-48be-B2B4-4EB974FC3084}">
      <x14:pivotCacheDefinition pivotCacheId="68626199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308.931396759261" createdVersion="8" refreshedVersion="8" minRefreshableVersion="3" recordCount="1000" xr:uid="{49355A28-58E6-422A-9AB1-FA88143D7BCA}">
  <cacheSource type="worksheet">
    <worksheetSource name="Final_DataSet_1"/>
  </cacheSource>
  <cacheFields count="18">
    <cacheField name="instant" numFmtId="0">
      <sharedItems containsSemiMixedTypes="0" containsString="0" containsNumber="1" containsInteger="1" minValue="1" maxValue="1000"/>
    </cacheField>
    <cacheField name="Date"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17"/>
    </cacheField>
    <cacheField name="Hou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acheField>
    <cacheField name="Weekday" numFmtId="0">
      <sharedItems/>
    </cacheField>
    <cacheField name="Weathersit" numFmtId="0">
      <sharedItems/>
    </cacheField>
    <cacheField name="Temp" numFmtId="0">
      <sharedItems containsSemiMixedTypes="0" containsString="0" containsNumber="1" minValue="0.02" maxValue="0.46"/>
    </cacheField>
    <cacheField name="Assumed_Temp" numFmtId="0">
      <sharedItems containsSemiMixedTypes="0" containsString="0" containsNumber="1" minValue="0" maxValue="0.45450000000000002"/>
    </cacheField>
    <cacheField name="Humidity" numFmtId="0">
      <sharedItems containsSemiMixedTypes="0" containsString="0" containsNumber="1" minValue="0.21" maxValue="1"/>
    </cacheField>
    <cacheField name="Windspeed" numFmtId="0">
      <sharedItems containsSemiMixedTypes="0" containsString="0" containsNumber="1" minValue="0" maxValue="0.58209999999999995" count="20">
        <n v="0"/>
        <n v="8.9599999999999999E-2"/>
        <n v="0.25369999999999998"/>
        <n v="0.28360000000000002"/>
        <n v="0.29849999999999999"/>
        <n v="0.19400000000000001"/>
        <n v="0.22389999999999999"/>
        <n v="0.1343"/>
        <n v="0.16420000000000001"/>
        <n v="0.32840000000000003"/>
        <n v="0.44779999999999998"/>
        <n v="0.35820000000000002"/>
        <n v="0.41789999999999999"/>
        <n v="0.3881"/>
        <n v="0.1045"/>
        <n v="0.49249999999999999"/>
        <n v="0.55220000000000002"/>
        <n v="0.4627"/>
        <n v="0.52239999999999998"/>
        <n v="0.58209999999999995"/>
      </sharedItems>
      <fieldGroup base="9">
        <rangePr startNum="0" endNum="0.58209999999999995" groupInterval="0.12"/>
        <groupItems count="7">
          <s v="&lt;0"/>
          <s v="0-0.12"/>
          <s v="0.12-0.24"/>
          <s v="0.24-0.36"/>
          <s v="0.36-0.48"/>
          <s v="0.48-0.6"/>
          <s v="&gt;0.6"/>
        </groupItems>
      </fieldGroup>
    </cacheField>
    <cacheField name="Casual_Customers" numFmtId="0">
      <sharedItems containsSemiMixedTypes="0" containsString="0" containsNumber="1" containsInteger="1" minValue="0" maxValue="62" count="42">
        <n v="3"/>
        <n v="8"/>
        <n v="5"/>
        <n v="0"/>
        <n v="2"/>
        <n v="1"/>
        <n v="12"/>
        <n v="26"/>
        <n v="29"/>
        <n v="47"/>
        <n v="35"/>
        <n v="40"/>
        <n v="41"/>
        <n v="15"/>
        <n v="9"/>
        <n v="6"/>
        <n v="11"/>
        <n v="4"/>
        <n v="7"/>
        <n v="16"/>
        <n v="20"/>
        <n v="19"/>
        <n v="10"/>
        <n v="13"/>
        <n v="14"/>
        <n v="18"/>
        <n v="17"/>
        <n v="21"/>
        <n v="33"/>
        <n v="23"/>
        <n v="22"/>
        <n v="24"/>
        <n v="28"/>
        <n v="48"/>
        <n v="52"/>
        <n v="42"/>
        <n v="30"/>
        <n v="27"/>
        <n v="32"/>
        <n v="58"/>
        <n v="62"/>
        <n v="51"/>
      </sharedItems>
    </cacheField>
    <cacheField name="Registered_Customers" numFmtId="0">
      <sharedItems containsSemiMixedTypes="0" containsString="0" containsNumber="1" containsInteger="1" minValue="0" maxValue="247"/>
    </cacheField>
    <cacheField name="Total_Count" numFmtId="0">
      <sharedItems containsSemiMixedTypes="0" containsString="0" containsNumber="1" containsInteger="1" minValue="1" maxValue="249" count="191">
        <n v="16"/>
        <n v="40"/>
        <n v="32"/>
        <n v="13"/>
        <n v="1"/>
        <n v="2"/>
        <n v="3"/>
        <n v="8"/>
        <n v="14"/>
        <n v="36"/>
        <n v="56"/>
        <n v="84"/>
        <n v="94"/>
        <n v="106"/>
        <n v="110"/>
        <n v="93"/>
        <n v="67"/>
        <n v="35"/>
        <n v="37"/>
        <n v="34"/>
        <n v="28"/>
        <n v="39"/>
        <n v="17"/>
        <n v="9"/>
        <n v="6"/>
        <n v="20"/>
        <n v="53"/>
        <n v="70"/>
        <n v="75"/>
        <n v="59"/>
        <n v="74"/>
        <n v="76"/>
        <n v="65"/>
        <n v="30"/>
        <n v="22"/>
        <n v="31"/>
        <n v="5"/>
        <n v="64"/>
        <n v="154"/>
        <n v="88"/>
        <n v="44"/>
        <n v="51"/>
        <n v="61"/>
        <n v="77"/>
        <n v="72"/>
        <n v="157"/>
        <n v="52"/>
        <n v="12"/>
        <n v="4"/>
        <n v="179"/>
        <n v="100"/>
        <n v="42"/>
        <n v="57"/>
        <n v="78"/>
        <n v="97"/>
        <n v="63"/>
        <n v="83"/>
        <n v="212"/>
        <n v="182"/>
        <n v="112"/>
        <n v="54"/>
        <n v="48"/>
        <n v="11"/>
        <n v="33"/>
        <n v="195"/>
        <n v="115"/>
        <n v="46"/>
        <n v="79"/>
        <n v="71"/>
        <n v="62"/>
        <n v="89"/>
        <n v="190"/>
        <n v="169"/>
        <n v="132"/>
        <n v="43"/>
        <n v="19"/>
        <n v="95"/>
        <n v="219"/>
        <n v="122"/>
        <n v="45"/>
        <n v="86"/>
        <n v="172"/>
        <n v="163"/>
        <n v="69"/>
        <n v="23"/>
        <n v="7"/>
        <n v="210"/>
        <n v="134"/>
        <n v="73"/>
        <n v="50"/>
        <n v="87"/>
        <n v="187"/>
        <n v="123"/>
        <n v="15"/>
        <n v="25"/>
        <n v="98"/>
        <n v="102"/>
        <n v="55"/>
        <n v="10"/>
        <n v="49"/>
        <n v="82"/>
        <n v="92"/>
        <n v="41"/>
        <n v="38"/>
        <n v="188"/>
        <n v="47"/>
        <n v="178"/>
        <n v="155"/>
        <n v="24"/>
        <n v="18"/>
        <n v="27"/>
        <n v="99"/>
        <n v="217"/>
        <n v="130"/>
        <n v="136"/>
        <n v="29"/>
        <n v="128"/>
        <n v="81"/>
        <n v="68"/>
        <n v="139"/>
        <n v="137"/>
        <n v="202"/>
        <n v="60"/>
        <n v="162"/>
        <n v="144"/>
        <n v="158"/>
        <n v="117"/>
        <n v="90"/>
        <n v="159"/>
        <n v="101"/>
        <n v="118"/>
        <n v="129"/>
        <n v="26"/>
        <n v="104"/>
        <n v="91"/>
        <n v="113"/>
        <n v="105"/>
        <n v="21"/>
        <n v="80"/>
        <n v="125"/>
        <n v="133"/>
        <n v="197"/>
        <n v="109"/>
        <n v="161"/>
        <n v="249"/>
        <n v="143"/>
        <n v="215"/>
        <n v="185"/>
        <n v="152"/>
        <n v="126"/>
        <n v="166"/>
        <n v="120"/>
        <n v="96"/>
        <n v="103"/>
        <n v="58"/>
        <n v="116"/>
        <n v="177"/>
        <n v="184"/>
        <n v="153"/>
        <n v="108"/>
        <n v="238"/>
        <n v="222"/>
        <n v="225"/>
        <n v="146"/>
        <n v="119"/>
        <n v="149"/>
        <n v="107"/>
        <n v="156"/>
        <n v="111"/>
        <n v="135"/>
        <n v="176"/>
        <n v="168"/>
        <n v="175"/>
        <n v="147"/>
        <n v="220"/>
        <n v="127"/>
        <n v="205"/>
        <n v="174"/>
        <n v="121"/>
        <n v="230"/>
        <n v="66"/>
        <n v="114"/>
        <n v="216"/>
        <n v="243"/>
        <n v="199"/>
        <n v="170"/>
        <n v="165"/>
        <n v="160"/>
        <n v="140"/>
        <n v="211"/>
        <n v="145"/>
      </sharedItems>
      <fieldGroup base="12">
        <rangePr autoStart="0" autoEnd="0" startNum="0" endNum="260" groupInterval="20"/>
        <groupItems count="15">
          <s v="&lt;0"/>
          <s v="0-19"/>
          <s v="20-39"/>
          <s v="40-59"/>
          <s v="60-79"/>
          <s v="80-99"/>
          <s v="100-119"/>
          <s v="120-139"/>
          <s v="140-159"/>
          <s v="160-179"/>
          <s v="180-199"/>
          <s v="200-219"/>
          <s v="220-239"/>
          <s v="240-260"/>
          <s v="&gt;260"/>
        </groupItems>
      </fieldGroup>
    </cacheField>
    <cacheField name="Day_type" numFmtId="0">
      <sharedItems count="2">
        <s v="Weekend"/>
        <s v="Weekday"/>
      </sharedItems>
    </cacheField>
    <cacheField name="Time_category" numFmtId="0">
      <sharedItems count="3">
        <s v="Off-Peak"/>
        <s v="Morning Peak"/>
        <s v="Evening Peak"/>
      </sharedItems>
    </cacheField>
    <cacheField name="Weather_Label" numFmtId="0">
      <sharedItems count="4">
        <s v="Clear/Few Clouds"/>
        <s v="Mist/Cloudy"/>
        <s v="Light Rain/Snow"/>
        <s v="Heavy Rain/Fog"/>
      </sharedItems>
    </cacheField>
    <cacheField name="Days (Date)" numFmtId="0" databaseField="0">
      <fieldGroup base="1">
        <rangePr groupBy="days" startDate="2011-01-01T00:00:00" endDate="2011-02-15T00:00:00"/>
        <groupItems count="368">
          <s v="&lt;01-01-20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2011"/>
        </groupItems>
      </fieldGroup>
    </cacheField>
    <cacheField name="Months (Date)" numFmtId="0" databaseField="0">
      <fieldGroup base="1">
        <rangePr groupBy="months" startDate="2011-01-01T00:00:00" endDate="2011-02-15T00:00:00"/>
        <groupItems count="14">
          <s v="&lt;01-01-2011"/>
          <s v="Jan"/>
          <s v="Feb"/>
          <s v="Mar"/>
          <s v="Apr"/>
          <s v="May"/>
          <s v="Jun"/>
          <s v="Jul"/>
          <s v="Aug"/>
          <s v="Sep"/>
          <s v="Oct"/>
          <s v="Nov"/>
          <s v="Dec"/>
          <s v="&gt;15-02-201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x v="0"/>
    <x v="0"/>
    <x v="0"/>
    <x v="0"/>
    <x v="0"/>
    <n v="0.28789999999999999"/>
    <n v="0.81"/>
    <n v="0"/>
    <n v="3"/>
    <n v="13"/>
    <n v="16"/>
  </r>
  <r>
    <n v="2"/>
    <x v="0"/>
    <x v="1"/>
    <x v="0"/>
    <x v="0"/>
    <x v="0"/>
    <x v="1"/>
    <n v="0.2727"/>
    <n v="0.8"/>
    <n v="0"/>
    <n v="8"/>
    <n v="32"/>
    <n v="40"/>
  </r>
  <r>
    <n v="3"/>
    <x v="0"/>
    <x v="2"/>
    <x v="0"/>
    <x v="0"/>
    <x v="0"/>
    <x v="1"/>
    <n v="0.2727"/>
    <n v="0.8"/>
    <n v="0"/>
    <n v="5"/>
    <n v="27"/>
    <n v="32"/>
  </r>
  <r>
    <n v="4"/>
    <x v="0"/>
    <x v="3"/>
    <x v="0"/>
    <x v="0"/>
    <x v="0"/>
    <x v="0"/>
    <n v="0.28789999999999999"/>
    <n v="0.75"/>
    <n v="0"/>
    <n v="3"/>
    <n v="10"/>
    <n v="13"/>
  </r>
  <r>
    <n v="5"/>
    <x v="0"/>
    <x v="4"/>
    <x v="0"/>
    <x v="0"/>
    <x v="0"/>
    <x v="0"/>
    <n v="0.28789999999999999"/>
    <n v="0.75"/>
    <n v="0"/>
    <n v="0"/>
    <n v="1"/>
    <n v="1"/>
  </r>
  <r>
    <n v="6"/>
    <x v="0"/>
    <x v="5"/>
    <x v="0"/>
    <x v="0"/>
    <x v="1"/>
    <x v="0"/>
    <n v="0.2576"/>
    <n v="0.75"/>
    <n v="8.9599999999999999E-2"/>
    <n v="0"/>
    <n v="1"/>
    <n v="1"/>
  </r>
  <r>
    <n v="7"/>
    <x v="0"/>
    <x v="6"/>
    <x v="0"/>
    <x v="0"/>
    <x v="0"/>
    <x v="1"/>
    <n v="0.2727"/>
    <n v="0.8"/>
    <n v="0"/>
    <n v="2"/>
    <n v="0"/>
    <n v="2"/>
  </r>
  <r>
    <n v="8"/>
    <x v="0"/>
    <x v="7"/>
    <x v="0"/>
    <x v="0"/>
    <x v="0"/>
    <x v="2"/>
    <n v="0.2576"/>
    <n v="0.86"/>
    <n v="0"/>
    <n v="1"/>
    <n v="2"/>
    <n v="3"/>
  </r>
  <r>
    <n v="9"/>
    <x v="0"/>
    <x v="8"/>
    <x v="0"/>
    <x v="0"/>
    <x v="0"/>
    <x v="0"/>
    <n v="0"/>
    <n v="0.75"/>
    <n v="0"/>
    <n v="1"/>
    <n v="7"/>
    <n v="8"/>
  </r>
  <r>
    <n v="10"/>
    <x v="0"/>
    <x v="9"/>
    <x v="0"/>
    <x v="0"/>
    <x v="0"/>
    <x v="3"/>
    <n v="0.34849999999999998"/>
    <n v="0.76"/>
    <n v="0"/>
    <n v="8"/>
    <n v="6"/>
    <n v="14"/>
  </r>
  <r>
    <n v="11"/>
    <x v="0"/>
    <x v="10"/>
    <x v="0"/>
    <x v="0"/>
    <x v="0"/>
    <x v="4"/>
    <n v="0.39389999999999997"/>
    <n v="0.76"/>
    <n v="0.25369999999999998"/>
    <n v="12"/>
    <n v="24"/>
    <n v="36"/>
  </r>
  <r>
    <n v="12"/>
    <x v="0"/>
    <x v="11"/>
    <x v="0"/>
    <x v="0"/>
    <x v="0"/>
    <x v="5"/>
    <n v="0.33329999999999999"/>
    <n v="0.81"/>
    <n v="0.28360000000000002"/>
    <n v="26"/>
    <n v="30"/>
    <n v="56"/>
  </r>
  <r>
    <n v="13"/>
    <x v="0"/>
    <x v="12"/>
    <x v="0"/>
    <x v="0"/>
    <x v="0"/>
    <x v="6"/>
    <n v="0.42420000000000002"/>
    <n v="0.77"/>
    <n v="0.28360000000000002"/>
    <n v="29"/>
    <n v="55"/>
    <n v="84"/>
  </r>
  <r>
    <n v="14"/>
    <x v="0"/>
    <x v="13"/>
    <x v="0"/>
    <x v="0"/>
    <x v="1"/>
    <x v="7"/>
    <n v="0.45450000000000002"/>
    <n v="0.72"/>
    <n v="0.29849999999999999"/>
    <n v="47"/>
    <n v="47"/>
    <n v="94"/>
  </r>
  <r>
    <n v="15"/>
    <x v="0"/>
    <x v="14"/>
    <x v="0"/>
    <x v="0"/>
    <x v="1"/>
    <x v="7"/>
    <n v="0.45450000000000002"/>
    <n v="0.72"/>
    <n v="0.28360000000000002"/>
    <n v="35"/>
    <n v="71"/>
    <n v="106"/>
  </r>
  <r>
    <n v="16"/>
    <x v="0"/>
    <x v="15"/>
    <x v="0"/>
    <x v="0"/>
    <x v="1"/>
    <x v="8"/>
    <n v="0.43940000000000001"/>
    <n v="0.77"/>
    <n v="0.29849999999999999"/>
    <n v="40"/>
    <n v="70"/>
    <n v="110"/>
  </r>
  <r>
    <n v="17"/>
    <x v="0"/>
    <x v="16"/>
    <x v="0"/>
    <x v="0"/>
    <x v="1"/>
    <x v="6"/>
    <n v="0.42420000000000002"/>
    <n v="0.82"/>
    <n v="0.29849999999999999"/>
    <n v="41"/>
    <n v="52"/>
    <n v="93"/>
  </r>
  <r>
    <n v="18"/>
    <x v="0"/>
    <x v="17"/>
    <x v="0"/>
    <x v="0"/>
    <x v="1"/>
    <x v="8"/>
    <n v="0"/>
    <n v="0.82"/>
    <n v="0.28360000000000002"/>
    <n v="15"/>
    <n v="52"/>
    <n v="67"/>
  </r>
  <r>
    <n v="19"/>
    <x v="0"/>
    <x v="18"/>
    <x v="0"/>
    <x v="0"/>
    <x v="2"/>
    <x v="6"/>
    <n v="0.42420000000000002"/>
    <n v="0.88"/>
    <n v="0.25369999999999998"/>
    <n v="9"/>
    <n v="26"/>
    <n v="35"/>
  </r>
  <r>
    <n v="20"/>
    <x v="0"/>
    <x v="19"/>
    <x v="0"/>
    <x v="0"/>
    <x v="2"/>
    <x v="6"/>
    <n v="0.42420000000000002"/>
    <n v="0.88"/>
    <n v="0.25369999999999998"/>
    <n v="6"/>
    <n v="31"/>
    <n v="37"/>
  </r>
  <r>
    <n v="21"/>
    <x v="0"/>
    <x v="20"/>
    <x v="0"/>
    <x v="0"/>
    <x v="1"/>
    <x v="9"/>
    <n v="0.40910000000000002"/>
    <n v="0.87"/>
    <n v="0.25369999999999998"/>
    <n v="11"/>
    <n v="25"/>
    <n v="36"/>
  </r>
  <r>
    <n v="22"/>
    <x v="0"/>
    <x v="21"/>
    <x v="0"/>
    <x v="0"/>
    <x v="1"/>
    <x v="9"/>
    <n v="0.40910000000000002"/>
    <n v="0.87"/>
    <n v="0.19400000000000001"/>
    <n v="3"/>
    <n v="31"/>
    <n v="34"/>
  </r>
  <r>
    <n v="23"/>
    <x v="0"/>
    <x v="22"/>
    <x v="0"/>
    <x v="0"/>
    <x v="1"/>
    <x v="9"/>
    <n v="0.40910000000000002"/>
    <n v="0.94"/>
    <n v="0.22389999999999999"/>
    <n v="11"/>
    <n v="17"/>
    <n v="28"/>
  </r>
  <r>
    <n v="24"/>
    <x v="0"/>
    <x v="23"/>
    <x v="0"/>
    <x v="0"/>
    <x v="1"/>
    <x v="7"/>
    <n v="0"/>
    <n v="0.88"/>
    <n v="0.29849999999999999"/>
    <n v="15"/>
    <n v="24"/>
    <n v="39"/>
  </r>
  <r>
    <n v="25"/>
    <x v="1"/>
    <x v="0"/>
    <x v="0"/>
    <x v="1"/>
    <x v="1"/>
    <x v="7"/>
    <n v="0.45450000000000002"/>
    <n v="0.88"/>
    <n v="0.29849999999999999"/>
    <n v="4"/>
    <n v="13"/>
    <n v="17"/>
  </r>
  <r>
    <n v="26"/>
    <x v="1"/>
    <x v="1"/>
    <x v="0"/>
    <x v="1"/>
    <x v="1"/>
    <x v="8"/>
    <n v="0.43940000000000001"/>
    <n v="0.94"/>
    <n v="0.25369999999999998"/>
    <n v="1"/>
    <n v="16"/>
    <n v="17"/>
  </r>
  <r>
    <n v="27"/>
    <x v="1"/>
    <x v="2"/>
    <x v="0"/>
    <x v="1"/>
    <x v="1"/>
    <x v="6"/>
    <n v="0.42420000000000002"/>
    <n v="1"/>
    <n v="0.28360000000000002"/>
    <n v="1"/>
    <n v="8"/>
    <n v="9"/>
  </r>
  <r>
    <n v="28"/>
    <x v="1"/>
    <x v="3"/>
    <x v="0"/>
    <x v="1"/>
    <x v="1"/>
    <x v="7"/>
    <n v="0.45450000000000002"/>
    <n v="0.94"/>
    <n v="0.19400000000000001"/>
    <n v="2"/>
    <n v="4"/>
    <n v="6"/>
  </r>
  <r>
    <n v="29"/>
    <x v="1"/>
    <x v="4"/>
    <x v="0"/>
    <x v="1"/>
    <x v="1"/>
    <x v="7"/>
    <n v="0"/>
    <n v="0.94"/>
    <n v="0.19400000000000001"/>
    <n v="2"/>
    <n v="1"/>
    <n v="3"/>
  </r>
  <r>
    <n v="30"/>
    <x v="1"/>
    <x v="6"/>
    <x v="0"/>
    <x v="1"/>
    <x v="2"/>
    <x v="6"/>
    <n v="0.42420000000000002"/>
    <n v="0.77"/>
    <n v="0.29849999999999999"/>
    <n v="0"/>
    <n v="2"/>
    <n v="2"/>
  </r>
  <r>
    <n v="31"/>
    <x v="1"/>
    <x v="7"/>
    <x v="0"/>
    <x v="1"/>
    <x v="1"/>
    <x v="9"/>
    <n v="0.40910000000000002"/>
    <n v="0.76"/>
    <n v="0.19400000000000001"/>
    <n v="0"/>
    <n v="1"/>
    <n v="1"/>
  </r>
  <r>
    <n v="32"/>
    <x v="1"/>
    <x v="8"/>
    <x v="0"/>
    <x v="1"/>
    <x v="2"/>
    <x v="9"/>
    <n v="0.40910000000000002"/>
    <n v="0.71"/>
    <n v="0.22389999999999999"/>
    <n v="0"/>
    <n v="8"/>
    <n v="8"/>
  </r>
  <r>
    <n v="33"/>
    <x v="1"/>
    <x v="9"/>
    <x v="0"/>
    <x v="1"/>
    <x v="1"/>
    <x v="4"/>
    <n v="0"/>
    <n v="0.76"/>
    <n v="0.22389999999999999"/>
    <n v="1"/>
    <n v="19"/>
    <n v="20"/>
  </r>
  <r>
    <n v="34"/>
    <x v="1"/>
    <x v="10"/>
    <x v="0"/>
    <x v="1"/>
    <x v="1"/>
    <x v="5"/>
    <n v="0.34849999999999998"/>
    <n v="0.81"/>
    <n v="0.22389999999999999"/>
    <n v="7"/>
    <n v="46"/>
    <n v="53"/>
  </r>
  <r>
    <n v="35"/>
    <x v="1"/>
    <x v="11"/>
    <x v="0"/>
    <x v="1"/>
    <x v="1"/>
    <x v="5"/>
    <n v="0.33329999999999999"/>
    <n v="0.71"/>
    <n v="0.25369999999999998"/>
    <n v="16"/>
    <n v="54"/>
    <n v="70"/>
  </r>
  <r>
    <n v="36"/>
    <x v="1"/>
    <x v="12"/>
    <x v="0"/>
    <x v="1"/>
    <x v="1"/>
    <x v="5"/>
    <n v="0.33329999999999999"/>
    <n v="0.66"/>
    <n v="0.29849999999999999"/>
    <n v="20"/>
    <n v="73"/>
    <n v="93"/>
  </r>
  <r>
    <n v="37"/>
    <x v="1"/>
    <x v="13"/>
    <x v="0"/>
    <x v="1"/>
    <x v="1"/>
    <x v="5"/>
    <n v="0.34849999999999998"/>
    <n v="0.66"/>
    <n v="0.1343"/>
    <n v="11"/>
    <n v="64"/>
    <n v="75"/>
  </r>
  <r>
    <n v="38"/>
    <x v="1"/>
    <x v="14"/>
    <x v="0"/>
    <x v="1"/>
    <x v="2"/>
    <x v="5"/>
    <n v="0"/>
    <n v="0.76"/>
    <n v="0.19400000000000001"/>
    <n v="4"/>
    <n v="55"/>
    <n v="59"/>
  </r>
  <r>
    <n v="39"/>
    <x v="1"/>
    <x v="15"/>
    <x v="0"/>
    <x v="1"/>
    <x v="2"/>
    <x v="10"/>
    <n v="0.33329999999999999"/>
    <n v="0.81"/>
    <n v="0.16420000000000001"/>
    <n v="19"/>
    <n v="55"/>
    <n v="74"/>
  </r>
  <r>
    <n v="40"/>
    <x v="1"/>
    <x v="16"/>
    <x v="0"/>
    <x v="1"/>
    <x v="2"/>
    <x v="10"/>
    <n v="0.33329999999999999"/>
    <n v="0.71"/>
    <n v="0.16420000000000001"/>
    <n v="9"/>
    <n v="67"/>
    <n v="76"/>
  </r>
  <r>
    <n v="41"/>
    <x v="1"/>
    <x v="17"/>
    <x v="0"/>
    <x v="1"/>
    <x v="0"/>
    <x v="10"/>
    <n v="0.33329999999999999"/>
    <n v="0.56999999999999995"/>
    <n v="0.19400000000000001"/>
    <n v="7"/>
    <n v="58"/>
    <n v="65"/>
  </r>
  <r>
    <n v="42"/>
    <x v="1"/>
    <x v="18"/>
    <x v="0"/>
    <x v="1"/>
    <x v="1"/>
    <x v="5"/>
    <n v="0.33329999999999999"/>
    <n v="0.46"/>
    <n v="0.32840000000000003"/>
    <n v="10"/>
    <n v="43"/>
    <n v="53"/>
  </r>
  <r>
    <n v="43"/>
    <x v="1"/>
    <x v="19"/>
    <x v="0"/>
    <x v="1"/>
    <x v="0"/>
    <x v="3"/>
    <n v="0.28789999999999999"/>
    <n v="0.42"/>
    <n v="0.44779999999999998"/>
    <n v="1"/>
    <n v="29"/>
    <n v="30"/>
  </r>
  <r>
    <n v="44"/>
    <x v="1"/>
    <x v="20"/>
    <x v="0"/>
    <x v="1"/>
    <x v="0"/>
    <x v="11"/>
    <n v="0"/>
    <n v="0.39"/>
    <n v="0.35820000000000002"/>
    <n v="5"/>
    <n v="17"/>
    <n v="22"/>
  </r>
  <r>
    <n v="45"/>
    <x v="1"/>
    <x v="21"/>
    <x v="0"/>
    <x v="1"/>
    <x v="0"/>
    <x v="12"/>
    <n v="0.2273"/>
    <n v="0.44"/>
    <n v="0.32840000000000003"/>
    <n v="11"/>
    <n v="20"/>
    <n v="31"/>
  </r>
  <r>
    <n v="46"/>
    <x v="1"/>
    <x v="22"/>
    <x v="0"/>
    <x v="1"/>
    <x v="0"/>
    <x v="0"/>
    <n v="0.21210000000000001"/>
    <n v="0.44"/>
    <n v="0.29849999999999999"/>
    <n v="0"/>
    <n v="9"/>
    <n v="9"/>
  </r>
  <r>
    <n v="47"/>
    <x v="1"/>
    <x v="23"/>
    <x v="0"/>
    <x v="1"/>
    <x v="0"/>
    <x v="1"/>
    <n v="0.2273"/>
    <n v="0.47"/>
    <n v="0.16420000000000001"/>
    <n v="0"/>
    <n v="8"/>
    <n v="8"/>
  </r>
  <r>
    <n v="48"/>
    <x v="2"/>
    <x v="0"/>
    <x v="0"/>
    <x v="2"/>
    <x v="0"/>
    <x v="1"/>
    <n v="0.19700000000000001"/>
    <n v="0.44"/>
    <n v="0.35820000000000002"/>
    <n v="0"/>
    <n v="5"/>
    <n v="5"/>
  </r>
  <r>
    <n v="49"/>
    <x v="2"/>
    <x v="1"/>
    <x v="0"/>
    <x v="2"/>
    <x v="0"/>
    <x v="2"/>
    <n v="0"/>
    <n v="0.44"/>
    <n v="0.41789999999999999"/>
    <n v="0"/>
    <n v="2"/>
    <n v="2"/>
  </r>
  <r>
    <n v="50"/>
    <x v="2"/>
    <x v="4"/>
    <x v="0"/>
    <x v="2"/>
    <x v="0"/>
    <x v="13"/>
    <n v="0.13639999999999999"/>
    <n v="0.47"/>
    <n v="0.3881"/>
    <n v="0"/>
    <n v="1"/>
    <n v="1"/>
  </r>
  <r>
    <n v="51"/>
    <x v="2"/>
    <x v="5"/>
    <x v="0"/>
    <x v="2"/>
    <x v="0"/>
    <x v="13"/>
    <n v="0.13639999999999999"/>
    <n v="0.47"/>
    <n v="0.28360000000000002"/>
    <n v="0"/>
    <n v="3"/>
    <n v="3"/>
  </r>
  <r>
    <n v="52"/>
    <x v="2"/>
    <x v="6"/>
    <x v="0"/>
    <x v="2"/>
    <x v="0"/>
    <x v="14"/>
    <n v="0.1061"/>
    <n v="0.5"/>
    <n v="0.3881"/>
    <n v="0"/>
    <n v="30"/>
    <n v="30"/>
  </r>
  <r>
    <n v="53"/>
    <x v="2"/>
    <x v="7"/>
    <x v="0"/>
    <x v="2"/>
    <x v="0"/>
    <x v="14"/>
    <n v="0.13639999999999999"/>
    <n v="0.5"/>
    <n v="0.19400000000000001"/>
    <n v="1"/>
    <n v="63"/>
    <n v="64"/>
  </r>
  <r>
    <n v="54"/>
    <x v="2"/>
    <x v="8"/>
    <x v="0"/>
    <x v="2"/>
    <x v="0"/>
    <x v="14"/>
    <n v="0.1212"/>
    <n v="0.5"/>
    <n v="0.28360000000000002"/>
    <n v="1"/>
    <n v="153"/>
    <n v="154"/>
  </r>
  <r>
    <n v="55"/>
    <x v="2"/>
    <x v="9"/>
    <x v="0"/>
    <x v="2"/>
    <x v="0"/>
    <x v="13"/>
    <n v="0.13639999999999999"/>
    <n v="0.43"/>
    <n v="0.3881"/>
    <n v="7"/>
    <n v="81"/>
    <n v="88"/>
  </r>
  <r>
    <n v="56"/>
    <x v="2"/>
    <x v="10"/>
    <x v="0"/>
    <x v="2"/>
    <x v="0"/>
    <x v="15"/>
    <n v="0.16669999999999999"/>
    <n v="0.43"/>
    <n v="0.25369999999999998"/>
    <n v="11"/>
    <n v="33"/>
    <n v="44"/>
  </r>
  <r>
    <n v="57"/>
    <x v="2"/>
    <x v="11"/>
    <x v="0"/>
    <x v="2"/>
    <x v="0"/>
    <x v="2"/>
    <n v="0.18179999999999999"/>
    <n v="0.4"/>
    <n v="0.32840000000000003"/>
    <n v="10"/>
    <n v="41"/>
    <n v="51"/>
  </r>
  <r>
    <n v="58"/>
    <x v="2"/>
    <x v="12"/>
    <x v="0"/>
    <x v="2"/>
    <x v="0"/>
    <x v="1"/>
    <n v="0.21210000000000001"/>
    <n v="0.35"/>
    <n v="0.29849999999999999"/>
    <n v="13"/>
    <n v="48"/>
    <n v="61"/>
  </r>
  <r>
    <n v="59"/>
    <x v="2"/>
    <x v="13"/>
    <x v="0"/>
    <x v="2"/>
    <x v="0"/>
    <x v="0"/>
    <n v="0"/>
    <n v="0.35"/>
    <n v="0.28360000000000002"/>
    <n v="8"/>
    <n v="53"/>
    <n v="61"/>
  </r>
  <r>
    <n v="60"/>
    <x v="2"/>
    <x v="14"/>
    <x v="0"/>
    <x v="2"/>
    <x v="0"/>
    <x v="12"/>
    <n v="0.2424"/>
    <n v="0.3"/>
    <n v="0.28360000000000002"/>
    <n v="11"/>
    <n v="66"/>
    <n v="77"/>
  </r>
  <r>
    <n v="61"/>
    <x v="2"/>
    <x v="15"/>
    <x v="0"/>
    <x v="2"/>
    <x v="0"/>
    <x v="12"/>
    <n v="0.2424"/>
    <n v="0.3"/>
    <n v="0.25369999999999998"/>
    <n v="14"/>
    <n v="58"/>
    <n v="72"/>
  </r>
  <r>
    <n v="62"/>
    <x v="2"/>
    <x v="16"/>
    <x v="0"/>
    <x v="2"/>
    <x v="0"/>
    <x v="12"/>
    <n v="0.2424"/>
    <n v="0.3"/>
    <n v="0.25369999999999998"/>
    <n v="9"/>
    <n v="67"/>
    <n v="76"/>
  </r>
  <r>
    <n v="63"/>
    <x v="2"/>
    <x v="17"/>
    <x v="0"/>
    <x v="2"/>
    <x v="0"/>
    <x v="0"/>
    <n v="0.2273"/>
    <n v="0.3"/>
    <n v="0.22389999999999999"/>
    <n v="11"/>
    <n v="146"/>
    <n v="157"/>
  </r>
  <r>
    <n v="64"/>
    <x v="2"/>
    <x v="18"/>
    <x v="0"/>
    <x v="2"/>
    <x v="0"/>
    <x v="0"/>
    <n v="0.2576"/>
    <n v="0.32"/>
    <n v="0.1045"/>
    <n v="9"/>
    <n v="148"/>
    <n v="157"/>
  </r>
  <r>
    <n v="65"/>
    <x v="2"/>
    <x v="19"/>
    <x v="0"/>
    <x v="2"/>
    <x v="0"/>
    <x v="2"/>
    <n v="0.2576"/>
    <n v="0.47"/>
    <n v="0"/>
    <n v="8"/>
    <n v="102"/>
    <n v="110"/>
  </r>
  <r>
    <n v="66"/>
    <x v="2"/>
    <x v="20"/>
    <x v="0"/>
    <x v="2"/>
    <x v="0"/>
    <x v="2"/>
    <n v="0"/>
    <n v="0.47"/>
    <n v="0.1045"/>
    <n v="3"/>
    <n v="49"/>
    <n v="52"/>
  </r>
  <r>
    <n v="67"/>
    <x v="2"/>
    <x v="21"/>
    <x v="0"/>
    <x v="2"/>
    <x v="0"/>
    <x v="15"/>
    <n v="0.19700000000000001"/>
    <n v="0.64"/>
    <n v="0.1343"/>
    <n v="3"/>
    <n v="49"/>
    <n v="52"/>
  </r>
  <r>
    <n v="68"/>
    <x v="2"/>
    <x v="22"/>
    <x v="0"/>
    <x v="2"/>
    <x v="0"/>
    <x v="14"/>
    <n v="0.1515"/>
    <n v="0.69"/>
    <n v="0.1343"/>
    <n v="0"/>
    <n v="20"/>
    <n v="20"/>
  </r>
  <r>
    <n v="69"/>
    <x v="2"/>
    <x v="23"/>
    <x v="0"/>
    <x v="2"/>
    <x v="0"/>
    <x v="15"/>
    <n v="0.21210000000000001"/>
    <n v="0.55000000000000004"/>
    <n v="0.1045"/>
    <n v="1"/>
    <n v="11"/>
    <n v="12"/>
  </r>
  <r>
    <n v="70"/>
    <x v="3"/>
    <x v="0"/>
    <x v="0"/>
    <x v="3"/>
    <x v="0"/>
    <x v="13"/>
    <n v="0"/>
    <n v="0.55000000000000004"/>
    <n v="0.1045"/>
    <n v="0"/>
    <n v="5"/>
    <n v="5"/>
  </r>
  <r>
    <n v="71"/>
    <x v="3"/>
    <x v="1"/>
    <x v="0"/>
    <x v="3"/>
    <x v="0"/>
    <x v="13"/>
    <n v="0.18179999999999999"/>
    <n v="0.59"/>
    <n v="0.1045"/>
    <n v="0"/>
    <n v="2"/>
    <n v="2"/>
  </r>
  <r>
    <n v="72"/>
    <x v="3"/>
    <x v="2"/>
    <x v="0"/>
    <x v="3"/>
    <x v="0"/>
    <x v="14"/>
    <n v="0.1515"/>
    <n v="0.63"/>
    <n v="0.1343"/>
    <n v="0"/>
    <n v="1"/>
    <n v="1"/>
  </r>
  <r>
    <n v="73"/>
    <x v="3"/>
    <x v="4"/>
    <x v="0"/>
    <x v="3"/>
    <x v="0"/>
    <x v="14"/>
    <n v="0.18179999999999999"/>
    <n v="0.63"/>
    <n v="8.9599999999999999E-2"/>
    <n v="0"/>
    <n v="2"/>
    <n v="2"/>
  </r>
  <r>
    <n v="74"/>
    <x v="3"/>
    <x v="5"/>
    <x v="0"/>
    <x v="3"/>
    <x v="0"/>
    <x v="16"/>
    <n v="0.1515"/>
    <n v="0.68"/>
    <n v="0.1045"/>
    <n v="0"/>
    <n v="4"/>
    <n v="4"/>
  </r>
  <r>
    <n v="75"/>
    <x v="3"/>
    <x v="6"/>
    <x v="0"/>
    <x v="3"/>
    <x v="0"/>
    <x v="16"/>
    <n v="0.1515"/>
    <n v="0.74"/>
    <n v="0.1045"/>
    <n v="0"/>
    <n v="36"/>
    <n v="36"/>
  </r>
  <r>
    <n v="76"/>
    <x v="3"/>
    <x v="7"/>
    <x v="0"/>
    <x v="3"/>
    <x v="0"/>
    <x v="16"/>
    <n v="0.1515"/>
    <n v="0.74"/>
    <n v="0.1343"/>
    <n v="2"/>
    <n v="92"/>
    <n v="94"/>
  </r>
  <r>
    <n v="77"/>
    <x v="3"/>
    <x v="8"/>
    <x v="0"/>
    <x v="3"/>
    <x v="0"/>
    <x v="14"/>
    <n v="0.1515"/>
    <n v="0.69"/>
    <n v="0.16420000000000001"/>
    <n v="2"/>
    <n v="177"/>
    <n v="179"/>
  </r>
  <r>
    <n v="78"/>
    <x v="3"/>
    <x v="9"/>
    <x v="0"/>
    <x v="3"/>
    <x v="0"/>
    <x v="13"/>
    <n v="0.1515"/>
    <n v="0.64"/>
    <n v="0.22389999999999999"/>
    <n v="2"/>
    <n v="98"/>
    <n v="100"/>
  </r>
  <r>
    <n v="79"/>
    <x v="3"/>
    <x v="10"/>
    <x v="0"/>
    <x v="3"/>
    <x v="1"/>
    <x v="13"/>
    <n v="0.13639999999999999"/>
    <n v="0.69"/>
    <n v="0.32840000000000003"/>
    <n v="5"/>
    <n v="37"/>
    <n v="42"/>
  </r>
  <r>
    <n v="80"/>
    <x v="3"/>
    <x v="11"/>
    <x v="0"/>
    <x v="3"/>
    <x v="0"/>
    <x v="1"/>
    <n v="0.21210000000000001"/>
    <n v="0.51"/>
    <n v="0.29849999999999999"/>
    <n v="7"/>
    <n v="50"/>
    <n v="57"/>
  </r>
  <r>
    <n v="81"/>
    <x v="3"/>
    <x v="12"/>
    <x v="0"/>
    <x v="3"/>
    <x v="0"/>
    <x v="1"/>
    <n v="0.2273"/>
    <n v="0.51"/>
    <n v="0.16420000000000001"/>
    <n v="12"/>
    <n v="66"/>
    <n v="78"/>
  </r>
  <r>
    <n v="82"/>
    <x v="3"/>
    <x v="13"/>
    <x v="0"/>
    <x v="3"/>
    <x v="0"/>
    <x v="0"/>
    <n v="0.2273"/>
    <n v="0.56000000000000005"/>
    <n v="0.19400000000000001"/>
    <n v="18"/>
    <n v="79"/>
    <n v="97"/>
  </r>
  <r>
    <n v="83"/>
    <x v="3"/>
    <x v="14"/>
    <x v="0"/>
    <x v="3"/>
    <x v="0"/>
    <x v="12"/>
    <n v="0.2576"/>
    <n v="0.52"/>
    <n v="0.22389999999999999"/>
    <n v="9"/>
    <n v="54"/>
    <n v="63"/>
  </r>
  <r>
    <n v="84"/>
    <x v="3"/>
    <x v="15"/>
    <x v="0"/>
    <x v="3"/>
    <x v="0"/>
    <x v="17"/>
    <n v="0.2727"/>
    <n v="0.52"/>
    <n v="0.25369999999999998"/>
    <n v="17"/>
    <n v="48"/>
    <n v="65"/>
  </r>
  <r>
    <n v="85"/>
    <x v="3"/>
    <x v="16"/>
    <x v="0"/>
    <x v="3"/>
    <x v="0"/>
    <x v="11"/>
    <n v="0.28789999999999999"/>
    <n v="0.49"/>
    <n v="0.25369999999999998"/>
    <n v="15"/>
    <n v="68"/>
    <n v="83"/>
  </r>
  <r>
    <n v="86"/>
    <x v="3"/>
    <x v="17"/>
    <x v="0"/>
    <x v="3"/>
    <x v="0"/>
    <x v="17"/>
    <n v="0.2727"/>
    <n v="0.48"/>
    <n v="0.22389999999999999"/>
    <n v="10"/>
    <n v="202"/>
    <n v="212"/>
  </r>
  <r>
    <n v="87"/>
    <x v="3"/>
    <x v="18"/>
    <x v="0"/>
    <x v="3"/>
    <x v="0"/>
    <x v="12"/>
    <n v="0.2576"/>
    <n v="0.48"/>
    <n v="0.19400000000000001"/>
    <n v="3"/>
    <n v="179"/>
    <n v="182"/>
  </r>
  <r>
    <n v="88"/>
    <x v="3"/>
    <x v="19"/>
    <x v="0"/>
    <x v="3"/>
    <x v="0"/>
    <x v="0"/>
    <n v="0.2576"/>
    <n v="0.48"/>
    <n v="0.1045"/>
    <n v="2"/>
    <n v="110"/>
    <n v="112"/>
  </r>
  <r>
    <n v="89"/>
    <x v="3"/>
    <x v="20"/>
    <x v="0"/>
    <x v="3"/>
    <x v="0"/>
    <x v="0"/>
    <n v="0.2576"/>
    <n v="0.48"/>
    <n v="0.1045"/>
    <n v="1"/>
    <n v="53"/>
    <n v="54"/>
  </r>
  <r>
    <n v="90"/>
    <x v="3"/>
    <x v="21"/>
    <x v="0"/>
    <x v="3"/>
    <x v="0"/>
    <x v="1"/>
    <n v="0.2727"/>
    <n v="0.64"/>
    <n v="0"/>
    <n v="0"/>
    <n v="48"/>
    <n v="48"/>
  </r>
  <r>
    <n v="91"/>
    <x v="3"/>
    <x v="22"/>
    <x v="0"/>
    <x v="3"/>
    <x v="0"/>
    <x v="1"/>
    <n v="0.2576"/>
    <n v="0.64"/>
    <n v="8.9599999999999999E-2"/>
    <n v="1"/>
    <n v="34"/>
    <n v="35"/>
  </r>
  <r>
    <n v="92"/>
    <x v="3"/>
    <x v="23"/>
    <x v="0"/>
    <x v="3"/>
    <x v="0"/>
    <x v="2"/>
    <n v="0.2273"/>
    <n v="0.69"/>
    <n v="8.9599999999999999E-2"/>
    <n v="2"/>
    <n v="9"/>
    <n v="11"/>
  </r>
  <r>
    <n v="93"/>
    <x v="4"/>
    <x v="0"/>
    <x v="0"/>
    <x v="4"/>
    <x v="0"/>
    <x v="2"/>
    <n v="0.2576"/>
    <n v="0.64"/>
    <n v="0"/>
    <n v="0"/>
    <n v="6"/>
    <n v="6"/>
  </r>
  <r>
    <n v="94"/>
    <x v="4"/>
    <x v="1"/>
    <x v="0"/>
    <x v="4"/>
    <x v="0"/>
    <x v="13"/>
    <n v="0.19700000000000001"/>
    <n v="0.74"/>
    <n v="8.9599999999999999E-2"/>
    <n v="0"/>
    <n v="6"/>
    <n v="6"/>
  </r>
  <r>
    <n v="95"/>
    <x v="4"/>
    <x v="2"/>
    <x v="0"/>
    <x v="4"/>
    <x v="0"/>
    <x v="13"/>
    <n v="0.19700000000000001"/>
    <n v="0.74"/>
    <n v="8.9599999999999999E-2"/>
    <n v="0"/>
    <n v="2"/>
    <n v="2"/>
  </r>
  <r>
    <n v="96"/>
    <x v="4"/>
    <x v="4"/>
    <x v="0"/>
    <x v="4"/>
    <x v="0"/>
    <x v="0"/>
    <n v="0.2273"/>
    <n v="0.48"/>
    <n v="0.22389999999999999"/>
    <n v="0"/>
    <n v="2"/>
    <n v="2"/>
  </r>
  <r>
    <n v="97"/>
    <x v="4"/>
    <x v="5"/>
    <x v="0"/>
    <x v="4"/>
    <x v="0"/>
    <x v="1"/>
    <n v="0.2273"/>
    <n v="0.47"/>
    <n v="0.16420000000000001"/>
    <n v="0"/>
    <n v="3"/>
    <n v="3"/>
  </r>
  <r>
    <n v="98"/>
    <x v="4"/>
    <x v="6"/>
    <x v="0"/>
    <x v="4"/>
    <x v="0"/>
    <x v="2"/>
    <n v="0.19700000000000001"/>
    <n v="0.47"/>
    <n v="0.22389999999999999"/>
    <n v="0"/>
    <n v="33"/>
    <n v="33"/>
  </r>
  <r>
    <n v="99"/>
    <x v="4"/>
    <x v="7"/>
    <x v="0"/>
    <x v="4"/>
    <x v="0"/>
    <x v="15"/>
    <n v="0.18179999999999999"/>
    <n v="0.43"/>
    <n v="0.19400000000000001"/>
    <n v="1"/>
    <n v="87"/>
    <n v="88"/>
  </r>
  <r>
    <n v="100"/>
    <x v="4"/>
    <x v="8"/>
    <x v="0"/>
    <x v="4"/>
    <x v="0"/>
    <x v="2"/>
    <n v="0.18179999999999999"/>
    <n v="0.4"/>
    <n v="0.29849999999999999"/>
    <n v="3"/>
    <n v="192"/>
    <n v="195"/>
  </r>
  <r>
    <n v="101"/>
    <x v="4"/>
    <x v="9"/>
    <x v="0"/>
    <x v="4"/>
    <x v="0"/>
    <x v="1"/>
    <n v="0.19700000000000001"/>
    <n v="0.37"/>
    <n v="0.32840000000000003"/>
    <n v="6"/>
    <n v="109"/>
    <n v="115"/>
  </r>
  <r>
    <n v="102"/>
    <x v="4"/>
    <x v="10"/>
    <x v="0"/>
    <x v="4"/>
    <x v="0"/>
    <x v="1"/>
    <n v="0.19700000000000001"/>
    <n v="0.37"/>
    <n v="0.32840000000000003"/>
    <n v="4"/>
    <n v="53"/>
    <n v="57"/>
  </r>
  <r>
    <n v="103"/>
    <x v="4"/>
    <x v="11"/>
    <x v="0"/>
    <x v="4"/>
    <x v="0"/>
    <x v="12"/>
    <n v="0.2273"/>
    <n v="0.33"/>
    <n v="0.32840000000000003"/>
    <n v="12"/>
    <n v="34"/>
    <n v="46"/>
  </r>
  <r>
    <n v="104"/>
    <x v="4"/>
    <x v="12"/>
    <x v="0"/>
    <x v="4"/>
    <x v="0"/>
    <x v="12"/>
    <n v="0.2273"/>
    <n v="0.33"/>
    <n v="0.32840000000000003"/>
    <n v="5"/>
    <n v="74"/>
    <n v="79"/>
  </r>
  <r>
    <n v="105"/>
    <x v="4"/>
    <x v="13"/>
    <x v="0"/>
    <x v="4"/>
    <x v="0"/>
    <x v="17"/>
    <n v="0.2576"/>
    <n v="0.3"/>
    <n v="0.29849999999999999"/>
    <n v="6"/>
    <n v="65"/>
    <n v="71"/>
  </r>
  <r>
    <n v="106"/>
    <x v="4"/>
    <x v="14"/>
    <x v="0"/>
    <x v="4"/>
    <x v="0"/>
    <x v="11"/>
    <n v="0.28789999999999999"/>
    <n v="0.28000000000000003"/>
    <n v="0.19400000000000001"/>
    <n v="10"/>
    <n v="52"/>
    <n v="62"/>
  </r>
  <r>
    <n v="107"/>
    <x v="4"/>
    <x v="15"/>
    <x v="0"/>
    <x v="4"/>
    <x v="0"/>
    <x v="11"/>
    <n v="0.28789999999999999"/>
    <n v="0.28000000000000003"/>
    <n v="0.19400000000000001"/>
    <n v="7"/>
    <n v="55"/>
    <n v="62"/>
  </r>
  <r>
    <n v="108"/>
    <x v="4"/>
    <x v="16"/>
    <x v="0"/>
    <x v="4"/>
    <x v="0"/>
    <x v="11"/>
    <n v="0.31819999999999998"/>
    <n v="0.28000000000000003"/>
    <n v="8.9599999999999999E-2"/>
    <n v="4"/>
    <n v="85"/>
    <n v="89"/>
  </r>
  <r>
    <n v="109"/>
    <x v="4"/>
    <x v="17"/>
    <x v="0"/>
    <x v="4"/>
    <x v="0"/>
    <x v="0"/>
    <n v="0.2273"/>
    <n v="0.38"/>
    <n v="0.19400000000000001"/>
    <n v="4"/>
    <n v="186"/>
    <n v="190"/>
  </r>
  <r>
    <n v="110"/>
    <x v="4"/>
    <x v="18"/>
    <x v="0"/>
    <x v="4"/>
    <x v="0"/>
    <x v="0"/>
    <n v="0.2424"/>
    <n v="0.38"/>
    <n v="0.1343"/>
    <n v="3"/>
    <n v="166"/>
    <n v="169"/>
  </r>
  <r>
    <n v="111"/>
    <x v="4"/>
    <x v="19"/>
    <x v="0"/>
    <x v="4"/>
    <x v="0"/>
    <x v="0"/>
    <n v="0.2576"/>
    <n v="0.38"/>
    <n v="0.1045"/>
    <n v="5"/>
    <n v="127"/>
    <n v="132"/>
  </r>
  <r>
    <n v="112"/>
    <x v="4"/>
    <x v="20"/>
    <x v="0"/>
    <x v="4"/>
    <x v="0"/>
    <x v="1"/>
    <n v="0.2273"/>
    <n v="0.47"/>
    <n v="0.16420000000000001"/>
    <n v="7"/>
    <n v="82"/>
    <n v="89"/>
  </r>
  <r>
    <n v="113"/>
    <x v="4"/>
    <x v="21"/>
    <x v="0"/>
    <x v="4"/>
    <x v="0"/>
    <x v="2"/>
    <n v="0.19700000000000001"/>
    <n v="0.51"/>
    <n v="0.19400000000000001"/>
    <n v="3"/>
    <n v="40"/>
    <n v="43"/>
  </r>
  <r>
    <n v="114"/>
    <x v="4"/>
    <x v="22"/>
    <x v="0"/>
    <x v="4"/>
    <x v="0"/>
    <x v="15"/>
    <n v="0.19700000000000001"/>
    <n v="0.55000000000000004"/>
    <n v="0.1343"/>
    <n v="1"/>
    <n v="41"/>
    <n v="42"/>
  </r>
  <r>
    <n v="115"/>
    <x v="4"/>
    <x v="23"/>
    <x v="0"/>
    <x v="4"/>
    <x v="0"/>
    <x v="2"/>
    <n v="0.2576"/>
    <n v="0.47"/>
    <n v="0"/>
    <n v="1"/>
    <n v="18"/>
    <n v="19"/>
  </r>
  <r>
    <n v="116"/>
    <x v="5"/>
    <x v="0"/>
    <x v="0"/>
    <x v="5"/>
    <x v="0"/>
    <x v="15"/>
    <n v="0.2424"/>
    <n v="0.55000000000000004"/>
    <n v="0"/>
    <n v="0"/>
    <n v="11"/>
    <n v="11"/>
  </r>
  <r>
    <n v="117"/>
    <x v="5"/>
    <x v="1"/>
    <x v="0"/>
    <x v="5"/>
    <x v="0"/>
    <x v="13"/>
    <n v="0.2273"/>
    <n v="0.64"/>
    <n v="0"/>
    <n v="0"/>
    <n v="4"/>
    <n v="4"/>
  </r>
  <r>
    <n v="118"/>
    <x v="5"/>
    <x v="2"/>
    <x v="0"/>
    <x v="5"/>
    <x v="0"/>
    <x v="13"/>
    <n v="0.2273"/>
    <n v="0.64"/>
    <n v="0"/>
    <n v="0"/>
    <n v="2"/>
    <n v="2"/>
  </r>
  <r>
    <n v="119"/>
    <x v="5"/>
    <x v="4"/>
    <x v="0"/>
    <x v="5"/>
    <x v="1"/>
    <x v="13"/>
    <n v="0.19700000000000001"/>
    <n v="0.64"/>
    <n v="8.9599999999999999E-2"/>
    <n v="0"/>
    <n v="1"/>
    <n v="1"/>
  </r>
  <r>
    <n v="120"/>
    <x v="5"/>
    <x v="5"/>
    <x v="0"/>
    <x v="5"/>
    <x v="1"/>
    <x v="14"/>
    <n v="0.18179999999999999"/>
    <n v="0.69"/>
    <n v="8.9599999999999999E-2"/>
    <n v="0"/>
    <n v="4"/>
    <n v="4"/>
  </r>
  <r>
    <n v="121"/>
    <x v="5"/>
    <x v="6"/>
    <x v="0"/>
    <x v="5"/>
    <x v="1"/>
    <x v="14"/>
    <n v="0.16669999999999999"/>
    <n v="0.63"/>
    <n v="0.1045"/>
    <n v="0"/>
    <n v="36"/>
    <n v="36"/>
  </r>
  <r>
    <n v="122"/>
    <x v="5"/>
    <x v="7"/>
    <x v="0"/>
    <x v="5"/>
    <x v="1"/>
    <x v="13"/>
    <n v="0.2273"/>
    <n v="0.59"/>
    <n v="0"/>
    <n v="0"/>
    <n v="95"/>
    <n v="95"/>
  </r>
  <r>
    <n v="123"/>
    <x v="5"/>
    <x v="8"/>
    <x v="0"/>
    <x v="5"/>
    <x v="0"/>
    <x v="13"/>
    <n v="0.2273"/>
    <n v="0.59"/>
    <n v="0"/>
    <n v="3"/>
    <n v="216"/>
    <n v="219"/>
  </r>
  <r>
    <n v="124"/>
    <x v="5"/>
    <x v="9"/>
    <x v="0"/>
    <x v="5"/>
    <x v="1"/>
    <x v="15"/>
    <n v="0.2424"/>
    <n v="0.51"/>
    <n v="0"/>
    <n v="6"/>
    <n v="116"/>
    <n v="122"/>
  </r>
  <r>
    <n v="125"/>
    <x v="5"/>
    <x v="10"/>
    <x v="0"/>
    <x v="5"/>
    <x v="0"/>
    <x v="2"/>
    <n v="0.2576"/>
    <n v="0.47"/>
    <n v="0"/>
    <n v="3"/>
    <n v="42"/>
    <n v="45"/>
  </r>
  <r>
    <n v="126"/>
    <x v="5"/>
    <x v="11"/>
    <x v="0"/>
    <x v="5"/>
    <x v="0"/>
    <x v="1"/>
    <n v="0.2576"/>
    <n v="0.44"/>
    <n v="8.9599999999999999E-2"/>
    <n v="2"/>
    <n v="57"/>
    <n v="59"/>
  </r>
  <r>
    <n v="127"/>
    <x v="5"/>
    <x v="12"/>
    <x v="0"/>
    <x v="5"/>
    <x v="0"/>
    <x v="12"/>
    <n v="0.28789999999999999"/>
    <n v="0.35"/>
    <n v="0"/>
    <n v="6"/>
    <n v="78"/>
    <n v="84"/>
  </r>
  <r>
    <n v="128"/>
    <x v="5"/>
    <x v="13"/>
    <x v="0"/>
    <x v="5"/>
    <x v="0"/>
    <x v="12"/>
    <n v="0.2727"/>
    <n v="0.35"/>
    <n v="0.1045"/>
    <n v="12"/>
    <n v="55"/>
    <n v="67"/>
  </r>
  <r>
    <n v="129"/>
    <x v="5"/>
    <x v="14"/>
    <x v="0"/>
    <x v="5"/>
    <x v="0"/>
    <x v="17"/>
    <n v="0.2727"/>
    <n v="0.36"/>
    <n v="0.16420000000000001"/>
    <n v="11"/>
    <n v="59"/>
    <n v="70"/>
  </r>
  <r>
    <n v="130"/>
    <x v="5"/>
    <x v="15"/>
    <x v="0"/>
    <x v="5"/>
    <x v="0"/>
    <x v="17"/>
    <n v="0.2727"/>
    <n v="0.36"/>
    <n v="0"/>
    <n v="8"/>
    <n v="54"/>
    <n v="62"/>
  </r>
  <r>
    <n v="131"/>
    <x v="5"/>
    <x v="16"/>
    <x v="0"/>
    <x v="5"/>
    <x v="0"/>
    <x v="12"/>
    <n v="0.2576"/>
    <n v="0.38"/>
    <n v="0.16420000000000001"/>
    <n v="12"/>
    <n v="74"/>
    <n v="86"/>
  </r>
  <r>
    <n v="132"/>
    <x v="5"/>
    <x v="17"/>
    <x v="0"/>
    <x v="5"/>
    <x v="0"/>
    <x v="1"/>
    <n v="0.2273"/>
    <n v="0.51"/>
    <n v="0.16420000000000001"/>
    <n v="9"/>
    <n v="163"/>
    <n v="172"/>
  </r>
  <r>
    <n v="133"/>
    <x v="5"/>
    <x v="18"/>
    <x v="0"/>
    <x v="5"/>
    <x v="0"/>
    <x v="1"/>
    <n v="0.2273"/>
    <n v="0.51"/>
    <n v="0.1343"/>
    <n v="5"/>
    <n v="158"/>
    <n v="163"/>
  </r>
  <r>
    <n v="134"/>
    <x v="5"/>
    <x v="19"/>
    <x v="0"/>
    <x v="5"/>
    <x v="0"/>
    <x v="1"/>
    <n v="0.2576"/>
    <n v="0.55000000000000004"/>
    <n v="8.9599999999999999E-2"/>
    <n v="3"/>
    <n v="109"/>
    <n v="112"/>
  </r>
  <r>
    <n v="135"/>
    <x v="5"/>
    <x v="20"/>
    <x v="0"/>
    <x v="5"/>
    <x v="0"/>
    <x v="2"/>
    <n v="0.21210000000000001"/>
    <n v="0.51"/>
    <n v="0.16420000000000001"/>
    <n v="3"/>
    <n v="66"/>
    <n v="69"/>
  </r>
  <r>
    <n v="136"/>
    <x v="5"/>
    <x v="21"/>
    <x v="0"/>
    <x v="5"/>
    <x v="1"/>
    <x v="1"/>
    <n v="0.21210000000000001"/>
    <n v="0.55000000000000004"/>
    <n v="0.22389999999999999"/>
    <n v="0"/>
    <n v="48"/>
    <n v="48"/>
  </r>
  <r>
    <n v="137"/>
    <x v="5"/>
    <x v="22"/>
    <x v="0"/>
    <x v="5"/>
    <x v="1"/>
    <x v="1"/>
    <n v="0.21210000000000001"/>
    <n v="0.51"/>
    <n v="0.28360000000000002"/>
    <n v="1"/>
    <n v="51"/>
    <n v="52"/>
  </r>
  <r>
    <n v="138"/>
    <x v="5"/>
    <x v="23"/>
    <x v="0"/>
    <x v="5"/>
    <x v="1"/>
    <x v="2"/>
    <n v="0.19700000000000001"/>
    <n v="0.59"/>
    <n v="0.19400000000000001"/>
    <n v="4"/>
    <n v="19"/>
    <n v="23"/>
  </r>
  <r>
    <n v="139"/>
    <x v="6"/>
    <x v="0"/>
    <x v="0"/>
    <x v="6"/>
    <x v="1"/>
    <x v="2"/>
    <n v="0.19700000000000001"/>
    <n v="0.64"/>
    <n v="0.19400000000000001"/>
    <n v="4"/>
    <n v="13"/>
    <n v="17"/>
  </r>
  <r>
    <n v="140"/>
    <x v="6"/>
    <x v="1"/>
    <x v="0"/>
    <x v="6"/>
    <x v="1"/>
    <x v="2"/>
    <n v="0.19700000000000001"/>
    <n v="0.69"/>
    <n v="0.22389999999999999"/>
    <n v="2"/>
    <n v="5"/>
    <n v="7"/>
  </r>
  <r>
    <n v="141"/>
    <x v="6"/>
    <x v="2"/>
    <x v="0"/>
    <x v="6"/>
    <x v="1"/>
    <x v="2"/>
    <n v="0.19700000000000001"/>
    <n v="0.69"/>
    <n v="0.22389999999999999"/>
    <n v="0"/>
    <n v="1"/>
    <n v="1"/>
  </r>
  <r>
    <n v="142"/>
    <x v="6"/>
    <x v="4"/>
    <x v="0"/>
    <x v="6"/>
    <x v="1"/>
    <x v="2"/>
    <n v="0.21210000000000001"/>
    <n v="0.69"/>
    <n v="0.1343"/>
    <n v="0"/>
    <n v="1"/>
    <n v="1"/>
  </r>
  <r>
    <n v="143"/>
    <x v="6"/>
    <x v="5"/>
    <x v="0"/>
    <x v="6"/>
    <x v="2"/>
    <x v="1"/>
    <n v="0.2727"/>
    <n v="0.55000000000000004"/>
    <n v="0"/>
    <n v="0"/>
    <n v="5"/>
    <n v="5"/>
  </r>
  <r>
    <n v="144"/>
    <x v="6"/>
    <x v="6"/>
    <x v="0"/>
    <x v="6"/>
    <x v="1"/>
    <x v="2"/>
    <n v="0.2576"/>
    <n v="0.69"/>
    <n v="0"/>
    <n v="8"/>
    <n v="26"/>
    <n v="34"/>
  </r>
  <r>
    <n v="145"/>
    <x v="6"/>
    <x v="7"/>
    <x v="0"/>
    <x v="6"/>
    <x v="0"/>
    <x v="2"/>
    <n v="0.21210000000000001"/>
    <n v="0.69"/>
    <n v="0.1343"/>
    <n v="8"/>
    <n v="76"/>
    <n v="84"/>
  </r>
  <r>
    <n v="146"/>
    <x v="6"/>
    <x v="8"/>
    <x v="0"/>
    <x v="6"/>
    <x v="0"/>
    <x v="2"/>
    <n v="0.19700000000000001"/>
    <n v="0.51"/>
    <n v="0.25369999999999998"/>
    <n v="20"/>
    <n v="190"/>
    <n v="210"/>
  </r>
  <r>
    <n v="147"/>
    <x v="6"/>
    <x v="9"/>
    <x v="0"/>
    <x v="6"/>
    <x v="0"/>
    <x v="2"/>
    <n v="0.18179999999999999"/>
    <n v="0.47"/>
    <n v="0.29849999999999999"/>
    <n v="9"/>
    <n v="125"/>
    <n v="134"/>
  </r>
  <r>
    <n v="148"/>
    <x v="6"/>
    <x v="10"/>
    <x v="0"/>
    <x v="6"/>
    <x v="0"/>
    <x v="1"/>
    <n v="0.19700000000000001"/>
    <n v="0.37"/>
    <n v="0.32840000000000003"/>
    <n v="16"/>
    <n v="47"/>
    <n v="63"/>
  </r>
  <r>
    <n v="149"/>
    <x v="6"/>
    <x v="11"/>
    <x v="0"/>
    <x v="6"/>
    <x v="1"/>
    <x v="2"/>
    <n v="0.19700000000000001"/>
    <n v="0.4"/>
    <n v="0.22389999999999999"/>
    <n v="19"/>
    <n v="48"/>
    <n v="67"/>
  </r>
  <r>
    <n v="150"/>
    <x v="6"/>
    <x v="12"/>
    <x v="0"/>
    <x v="6"/>
    <x v="1"/>
    <x v="2"/>
    <n v="0.19700000000000001"/>
    <n v="0.37"/>
    <n v="0.25369999999999998"/>
    <n v="9"/>
    <n v="50"/>
    <n v="59"/>
  </r>
  <r>
    <n v="151"/>
    <x v="6"/>
    <x v="13"/>
    <x v="0"/>
    <x v="6"/>
    <x v="1"/>
    <x v="2"/>
    <n v="0.18179999999999999"/>
    <n v="0.37"/>
    <n v="0.28360000000000002"/>
    <n v="9"/>
    <n v="64"/>
    <n v="73"/>
  </r>
  <r>
    <n v="152"/>
    <x v="6"/>
    <x v="14"/>
    <x v="0"/>
    <x v="6"/>
    <x v="1"/>
    <x v="2"/>
    <n v="0.19700000000000001"/>
    <n v="0.4"/>
    <n v="0.25369999999999998"/>
    <n v="7"/>
    <n v="43"/>
    <n v="50"/>
  </r>
  <r>
    <n v="153"/>
    <x v="6"/>
    <x v="15"/>
    <x v="0"/>
    <x v="6"/>
    <x v="1"/>
    <x v="2"/>
    <n v="0.21210000000000001"/>
    <n v="0.37"/>
    <n v="0.16420000000000001"/>
    <n v="9"/>
    <n v="63"/>
    <n v="72"/>
  </r>
  <r>
    <n v="154"/>
    <x v="6"/>
    <x v="16"/>
    <x v="0"/>
    <x v="6"/>
    <x v="1"/>
    <x v="2"/>
    <n v="0.21210000000000001"/>
    <n v="0.37"/>
    <n v="0.16420000000000001"/>
    <n v="5"/>
    <n v="82"/>
    <n v="87"/>
  </r>
  <r>
    <n v="155"/>
    <x v="6"/>
    <x v="17"/>
    <x v="0"/>
    <x v="6"/>
    <x v="1"/>
    <x v="2"/>
    <n v="0.2576"/>
    <n v="0.37"/>
    <n v="0"/>
    <n v="9"/>
    <n v="178"/>
    <n v="187"/>
  </r>
  <r>
    <n v="156"/>
    <x v="6"/>
    <x v="18"/>
    <x v="0"/>
    <x v="6"/>
    <x v="0"/>
    <x v="2"/>
    <n v="0.2273"/>
    <n v="0.4"/>
    <n v="8.9599999999999999E-2"/>
    <n v="7"/>
    <n v="116"/>
    <n v="123"/>
  </r>
  <r>
    <n v="157"/>
    <x v="6"/>
    <x v="19"/>
    <x v="0"/>
    <x v="6"/>
    <x v="0"/>
    <x v="13"/>
    <n v="0.19700000000000001"/>
    <n v="0.55000000000000004"/>
    <n v="8.9599999999999999E-2"/>
    <n v="3"/>
    <n v="92"/>
    <n v="95"/>
  </r>
  <r>
    <n v="158"/>
    <x v="6"/>
    <x v="20"/>
    <x v="0"/>
    <x v="6"/>
    <x v="0"/>
    <x v="15"/>
    <n v="0.21210000000000001"/>
    <n v="0.47"/>
    <n v="0.1045"/>
    <n v="1"/>
    <n v="50"/>
    <n v="51"/>
  </r>
  <r>
    <n v="159"/>
    <x v="6"/>
    <x v="21"/>
    <x v="0"/>
    <x v="6"/>
    <x v="0"/>
    <x v="15"/>
    <n v="0.19700000000000001"/>
    <n v="0.47"/>
    <n v="0.1343"/>
    <n v="0"/>
    <n v="39"/>
    <n v="39"/>
  </r>
  <r>
    <n v="160"/>
    <x v="6"/>
    <x v="22"/>
    <x v="0"/>
    <x v="6"/>
    <x v="1"/>
    <x v="15"/>
    <n v="0.19700000000000001"/>
    <n v="0.43"/>
    <n v="0.16420000000000001"/>
    <n v="2"/>
    <n v="34"/>
    <n v="36"/>
  </r>
  <r>
    <n v="161"/>
    <x v="6"/>
    <x v="23"/>
    <x v="0"/>
    <x v="6"/>
    <x v="1"/>
    <x v="15"/>
    <n v="0.19700000000000001"/>
    <n v="0.51"/>
    <n v="0.16420000000000001"/>
    <n v="1"/>
    <n v="14"/>
    <n v="15"/>
  </r>
  <r>
    <n v="162"/>
    <x v="7"/>
    <x v="0"/>
    <x v="0"/>
    <x v="0"/>
    <x v="1"/>
    <x v="15"/>
    <n v="0.19700000000000001"/>
    <n v="0.51"/>
    <n v="0.16420000000000001"/>
    <n v="1"/>
    <n v="24"/>
    <n v="25"/>
  </r>
  <r>
    <n v="163"/>
    <x v="7"/>
    <x v="1"/>
    <x v="0"/>
    <x v="0"/>
    <x v="1"/>
    <x v="15"/>
    <n v="0.21210000000000001"/>
    <n v="0.55000000000000004"/>
    <n v="8.9599999999999999E-2"/>
    <n v="1"/>
    <n v="15"/>
    <n v="16"/>
  </r>
  <r>
    <n v="164"/>
    <x v="7"/>
    <x v="2"/>
    <x v="0"/>
    <x v="0"/>
    <x v="1"/>
    <x v="15"/>
    <n v="0.2424"/>
    <n v="0.55000000000000004"/>
    <n v="0"/>
    <n v="3"/>
    <n v="13"/>
    <n v="16"/>
  </r>
  <r>
    <n v="165"/>
    <x v="7"/>
    <x v="3"/>
    <x v="0"/>
    <x v="0"/>
    <x v="2"/>
    <x v="15"/>
    <n v="0.19700000000000001"/>
    <n v="0.55000000000000004"/>
    <n v="0.16420000000000001"/>
    <n v="0"/>
    <n v="7"/>
    <n v="7"/>
  </r>
  <r>
    <n v="166"/>
    <x v="7"/>
    <x v="4"/>
    <x v="0"/>
    <x v="0"/>
    <x v="2"/>
    <x v="15"/>
    <n v="0.19700000000000001"/>
    <n v="0.55000000000000004"/>
    <n v="0.16420000000000001"/>
    <n v="0"/>
    <n v="1"/>
    <n v="1"/>
  </r>
  <r>
    <n v="167"/>
    <x v="7"/>
    <x v="5"/>
    <x v="0"/>
    <x v="0"/>
    <x v="1"/>
    <x v="13"/>
    <n v="0.16669999999999999"/>
    <n v="0.74"/>
    <n v="0.16420000000000001"/>
    <n v="0"/>
    <n v="5"/>
    <n v="5"/>
  </r>
  <r>
    <n v="168"/>
    <x v="7"/>
    <x v="6"/>
    <x v="0"/>
    <x v="0"/>
    <x v="1"/>
    <x v="13"/>
    <n v="0.16669999999999999"/>
    <n v="0.74"/>
    <n v="0.16420000000000001"/>
    <n v="0"/>
    <n v="2"/>
    <n v="2"/>
  </r>
  <r>
    <n v="169"/>
    <x v="7"/>
    <x v="7"/>
    <x v="0"/>
    <x v="0"/>
    <x v="1"/>
    <x v="13"/>
    <n v="0.18179999999999999"/>
    <n v="0.74"/>
    <n v="0.1045"/>
    <n v="1"/>
    <n v="8"/>
    <n v="9"/>
  </r>
  <r>
    <n v="170"/>
    <x v="7"/>
    <x v="8"/>
    <x v="0"/>
    <x v="0"/>
    <x v="2"/>
    <x v="13"/>
    <n v="0.18179999999999999"/>
    <n v="0.93"/>
    <n v="0.1045"/>
    <n v="0"/>
    <n v="15"/>
    <n v="15"/>
  </r>
  <r>
    <n v="171"/>
    <x v="7"/>
    <x v="9"/>
    <x v="0"/>
    <x v="0"/>
    <x v="2"/>
    <x v="13"/>
    <n v="0.18179999999999999"/>
    <n v="0.93"/>
    <n v="0.1045"/>
    <n v="0"/>
    <n v="20"/>
    <n v="20"/>
  </r>
  <r>
    <n v="172"/>
    <x v="7"/>
    <x v="10"/>
    <x v="0"/>
    <x v="0"/>
    <x v="1"/>
    <x v="15"/>
    <n v="0.19700000000000001"/>
    <n v="0.8"/>
    <n v="0.16420000000000001"/>
    <n v="5"/>
    <n v="56"/>
    <n v="61"/>
  </r>
  <r>
    <n v="173"/>
    <x v="7"/>
    <x v="11"/>
    <x v="0"/>
    <x v="0"/>
    <x v="1"/>
    <x v="2"/>
    <n v="0.18179999999999999"/>
    <n v="0.69"/>
    <n v="0.3881"/>
    <n v="2"/>
    <n v="60"/>
    <n v="62"/>
  </r>
  <r>
    <n v="174"/>
    <x v="7"/>
    <x v="12"/>
    <x v="0"/>
    <x v="0"/>
    <x v="1"/>
    <x v="2"/>
    <n v="0.18179999999999999"/>
    <n v="0.59"/>
    <n v="0.35820000000000002"/>
    <n v="8"/>
    <n v="90"/>
    <n v="98"/>
  </r>
  <r>
    <n v="175"/>
    <x v="7"/>
    <x v="13"/>
    <x v="0"/>
    <x v="0"/>
    <x v="0"/>
    <x v="2"/>
    <n v="0.18179999999999999"/>
    <n v="0.44"/>
    <n v="0.32840000000000003"/>
    <n v="7"/>
    <n v="95"/>
    <n v="102"/>
  </r>
  <r>
    <n v="176"/>
    <x v="7"/>
    <x v="14"/>
    <x v="0"/>
    <x v="0"/>
    <x v="0"/>
    <x v="2"/>
    <n v="0.16669999999999999"/>
    <n v="0.32"/>
    <n v="0.49249999999999999"/>
    <n v="12"/>
    <n v="83"/>
    <n v="95"/>
  </r>
  <r>
    <n v="177"/>
    <x v="7"/>
    <x v="15"/>
    <x v="0"/>
    <x v="0"/>
    <x v="0"/>
    <x v="2"/>
    <n v="0.16669999999999999"/>
    <n v="0.32"/>
    <n v="0.44779999999999998"/>
    <n v="5"/>
    <n v="69"/>
    <n v="74"/>
  </r>
  <r>
    <n v="178"/>
    <x v="7"/>
    <x v="16"/>
    <x v="0"/>
    <x v="0"/>
    <x v="0"/>
    <x v="15"/>
    <n v="0.13639999999999999"/>
    <n v="0.28999999999999998"/>
    <n v="0.44779999999999998"/>
    <n v="8"/>
    <n v="68"/>
    <n v="76"/>
  </r>
  <r>
    <n v="179"/>
    <x v="7"/>
    <x v="17"/>
    <x v="0"/>
    <x v="0"/>
    <x v="0"/>
    <x v="13"/>
    <n v="0.1212"/>
    <n v="0.37"/>
    <n v="0.55220000000000002"/>
    <n v="5"/>
    <n v="64"/>
    <n v="69"/>
  </r>
  <r>
    <n v="180"/>
    <x v="7"/>
    <x v="18"/>
    <x v="0"/>
    <x v="0"/>
    <x v="0"/>
    <x v="14"/>
    <n v="0.1212"/>
    <n v="0.39"/>
    <n v="0.29849999999999999"/>
    <n v="3"/>
    <n v="52"/>
    <n v="55"/>
  </r>
  <r>
    <n v="181"/>
    <x v="7"/>
    <x v="19"/>
    <x v="0"/>
    <x v="0"/>
    <x v="0"/>
    <x v="14"/>
    <n v="0.1212"/>
    <n v="0.36"/>
    <n v="0.25369999999999998"/>
    <n v="4"/>
    <n v="26"/>
    <n v="30"/>
  </r>
  <r>
    <n v="182"/>
    <x v="7"/>
    <x v="20"/>
    <x v="0"/>
    <x v="0"/>
    <x v="0"/>
    <x v="16"/>
    <n v="0.1212"/>
    <n v="0.36"/>
    <n v="0.25369999999999998"/>
    <n v="0"/>
    <n v="28"/>
    <n v="28"/>
  </r>
  <r>
    <n v="183"/>
    <x v="7"/>
    <x v="21"/>
    <x v="0"/>
    <x v="0"/>
    <x v="0"/>
    <x v="16"/>
    <n v="0.1061"/>
    <n v="0.39"/>
    <n v="0.35820000000000002"/>
    <n v="2"/>
    <n v="35"/>
    <n v="37"/>
  </r>
  <r>
    <n v="184"/>
    <x v="7"/>
    <x v="22"/>
    <x v="0"/>
    <x v="0"/>
    <x v="0"/>
    <x v="16"/>
    <n v="0.1061"/>
    <n v="0.36"/>
    <n v="0.3881"/>
    <n v="1"/>
    <n v="33"/>
    <n v="34"/>
  </r>
  <r>
    <n v="185"/>
    <x v="7"/>
    <x v="23"/>
    <x v="0"/>
    <x v="0"/>
    <x v="0"/>
    <x v="18"/>
    <n v="6.0600000000000001E-2"/>
    <n v="0.39"/>
    <n v="0.44779999999999998"/>
    <n v="0"/>
    <n v="22"/>
    <n v="22"/>
  </r>
  <r>
    <n v="186"/>
    <x v="8"/>
    <x v="0"/>
    <x v="0"/>
    <x v="1"/>
    <x v="0"/>
    <x v="18"/>
    <n v="7.5800000000000006E-2"/>
    <n v="0.42"/>
    <n v="0.3881"/>
    <n v="1"/>
    <n v="24"/>
    <n v="25"/>
  </r>
  <r>
    <n v="187"/>
    <x v="8"/>
    <x v="1"/>
    <x v="0"/>
    <x v="1"/>
    <x v="0"/>
    <x v="18"/>
    <n v="6.0600000000000001E-2"/>
    <n v="0.42"/>
    <n v="0.4627"/>
    <n v="0"/>
    <n v="12"/>
    <n v="12"/>
  </r>
  <r>
    <n v="188"/>
    <x v="8"/>
    <x v="2"/>
    <x v="0"/>
    <x v="1"/>
    <x v="0"/>
    <x v="18"/>
    <n v="6.0600000000000001E-2"/>
    <n v="0.46"/>
    <n v="0.4627"/>
    <n v="0"/>
    <n v="11"/>
    <n v="11"/>
  </r>
  <r>
    <n v="189"/>
    <x v="8"/>
    <x v="3"/>
    <x v="0"/>
    <x v="1"/>
    <x v="0"/>
    <x v="18"/>
    <n v="7.5800000000000006E-2"/>
    <n v="0.46"/>
    <n v="0.41789999999999999"/>
    <n v="0"/>
    <n v="4"/>
    <n v="4"/>
  </r>
  <r>
    <n v="190"/>
    <x v="8"/>
    <x v="4"/>
    <x v="0"/>
    <x v="1"/>
    <x v="0"/>
    <x v="19"/>
    <n v="9.0899999999999995E-2"/>
    <n v="0.53"/>
    <n v="0.19400000000000001"/>
    <n v="0"/>
    <n v="1"/>
    <n v="1"/>
  </r>
  <r>
    <n v="191"/>
    <x v="8"/>
    <x v="5"/>
    <x v="0"/>
    <x v="1"/>
    <x v="0"/>
    <x v="19"/>
    <n v="9.0899999999999995E-2"/>
    <n v="0.53"/>
    <n v="0.19400000000000001"/>
    <n v="0"/>
    <n v="1"/>
    <n v="1"/>
  </r>
  <r>
    <n v="192"/>
    <x v="8"/>
    <x v="6"/>
    <x v="0"/>
    <x v="1"/>
    <x v="0"/>
    <x v="18"/>
    <n v="9.0899999999999995E-2"/>
    <n v="0.49"/>
    <n v="0.28360000000000002"/>
    <n v="0"/>
    <n v="1"/>
    <n v="1"/>
  </r>
  <r>
    <n v="193"/>
    <x v="8"/>
    <x v="7"/>
    <x v="0"/>
    <x v="1"/>
    <x v="0"/>
    <x v="19"/>
    <n v="9.0899999999999995E-2"/>
    <n v="0.53"/>
    <n v="0.19400000000000001"/>
    <n v="1"/>
    <n v="5"/>
    <n v="6"/>
  </r>
  <r>
    <n v="194"/>
    <x v="8"/>
    <x v="8"/>
    <x v="0"/>
    <x v="1"/>
    <x v="0"/>
    <x v="18"/>
    <n v="9.0899999999999995E-2"/>
    <n v="0.49"/>
    <n v="0.28360000000000002"/>
    <n v="0"/>
    <n v="10"/>
    <n v="10"/>
  </r>
  <r>
    <n v="195"/>
    <x v="8"/>
    <x v="9"/>
    <x v="0"/>
    <x v="1"/>
    <x v="0"/>
    <x v="16"/>
    <n v="7.5800000000000006E-2"/>
    <n v="0.46"/>
    <n v="0.52239999999999998"/>
    <n v="0"/>
    <n v="19"/>
    <n v="19"/>
  </r>
  <r>
    <n v="196"/>
    <x v="8"/>
    <x v="10"/>
    <x v="0"/>
    <x v="1"/>
    <x v="0"/>
    <x v="14"/>
    <n v="0.1061"/>
    <n v="0.43"/>
    <n v="0.3881"/>
    <n v="0"/>
    <n v="49"/>
    <n v="49"/>
  </r>
  <r>
    <n v="197"/>
    <x v="8"/>
    <x v="11"/>
    <x v="0"/>
    <x v="1"/>
    <x v="0"/>
    <x v="13"/>
    <n v="0.1212"/>
    <n v="0.4"/>
    <n v="0.52239999999999998"/>
    <n v="2"/>
    <n v="47"/>
    <n v="49"/>
  </r>
  <r>
    <n v="198"/>
    <x v="8"/>
    <x v="12"/>
    <x v="0"/>
    <x v="1"/>
    <x v="0"/>
    <x v="15"/>
    <n v="0.13639999999999999"/>
    <n v="0.37"/>
    <n v="0.44779999999999998"/>
    <n v="4"/>
    <n v="79"/>
    <n v="83"/>
  </r>
  <r>
    <n v="199"/>
    <x v="8"/>
    <x v="13"/>
    <x v="0"/>
    <x v="1"/>
    <x v="0"/>
    <x v="2"/>
    <n v="0.16669999999999999"/>
    <n v="0.34"/>
    <n v="0.44779999999999998"/>
    <n v="6"/>
    <n v="69"/>
    <n v="75"/>
  </r>
  <r>
    <n v="200"/>
    <x v="8"/>
    <x v="14"/>
    <x v="0"/>
    <x v="1"/>
    <x v="0"/>
    <x v="1"/>
    <n v="0.18179999999999999"/>
    <n v="0.32"/>
    <n v="0.4627"/>
    <n v="8"/>
    <n v="64"/>
    <n v="72"/>
  </r>
  <r>
    <n v="201"/>
    <x v="8"/>
    <x v="15"/>
    <x v="0"/>
    <x v="1"/>
    <x v="0"/>
    <x v="1"/>
    <n v="0.19700000000000001"/>
    <n v="0.35"/>
    <n v="0.35820000000000002"/>
    <n v="5"/>
    <n v="77"/>
    <n v="82"/>
  </r>
  <r>
    <n v="202"/>
    <x v="8"/>
    <x v="16"/>
    <x v="0"/>
    <x v="1"/>
    <x v="0"/>
    <x v="2"/>
    <n v="0.16669999999999999"/>
    <n v="0.34"/>
    <n v="0.44779999999999998"/>
    <n v="13"/>
    <n v="79"/>
    <n v="92"/>
  </r>
  <r>
    <n v="203"/>
    <x v="8"/>
    <x v="17"/>
    <x v="0"/>
    <x v="1"/>
    <x v="0"/>
    <x v="15"/>
    <n v="0.1515"/>
    <n v="0.37"/>
    <n v="0.3881"/>
    <n v="3"/>
    <n v="59"/>
    <n v="62"/>
  </r>
  <r>
    <n v="204"/>
    <x v="8"/>
    <x v="18"/>
    <x v="0"/>
    <x v="1"/>
    <x v="0"/>
    <x v="13"/>
    <n v="0.13639999999999999"/>
    <n v="0.4"/>
    <n v="0.32840000000000003"/>
    <n v="4"/>
    <n v="44"/>
    <n v="48"/>
  </r>
  <r>
    <n v="205"/>
    <x v="8"/>
    <x v="19"/>
    <x v="0"/>
    <x v="1"/>
    <x v="0"/>
    <x v="13"/>
    <n v="0.13639999999999999"/>
    <n v="0.43"/>
    <n v="0.32840000000000003"/>
    <n v="1"/>
    <n v="40"/>
    <n v="41"/>
  </r>
  <r>
    <n v="206"/>
    <x v="8"/>
    <x v="20"/>
    <x v="0"/>
    <x v="1"/>
    <x v="0"/>
    <x v="14"/>
    <n v="0.1212"/>
    <n v="0.46"/>
    <n v="0.25369999999999998"/>
    <n v="0"/>
    <n v="38"/>
    <n v="38"/>
  </r>
  <r>
    <n v="207"/>
    <x v="8"/>
    <x v="21"/>
    <x v="0"/>
    <x v="1"/>
    <x v="0"/>
    <x v="14"/>
    <n v="0.1061"/>
    <n v="0.46"/>
    <n v="0.41789999999999999"/>
    <n v="1"/>
    <n v="19"/>
    <n v="20"/>
  </r>
  <r>
    <n v="208"/>
    <x v="8"/>
    <x v="22"/>
    <x v="0"/>
    <x v="1"/>
    <x v="0"/>
    <x v="14"/>
    <n v="0.1212"/>
    <n v="0.46"/>
    <n v="0.29849999999999999"/>
    <n v="5"/>
    <n v="10"/>
    <n v="15"/>
  </r>
  <r>
    <n v="209"/>
    <x v="8"/>
    <x v="23"/>
    <x v="0"/>
    <x v="1"/>
    <x v="0"/>
    <x v="16"/>
    <n v="0.13639999999999999"/>
    <n v="0.5"/>
    <n v="0.19400000000000001"/>
    <n v="0"/>
    <n v="6"/>
    <n v="6"/>
  </r>
  <r>
    <n v="210"/>
    <x v="9"/>
    <x v="0"/>
    <x v="0"/>
    <x v="2"/>
    <x v="0"/>
    <x v="16"/>
    <n v="0.1212"/>
    <n v="0.5"/>
    <n v="0.28360000000000002"/>
    <n v="2"/>
    <n v="3"/>
    <n v="5"/>
  </r>
  <r>
    <n v="211"/>
    <x v="9"/>
    <x v="1"/>
    <x v="0"/>
    <x v="2"/>
    <x v="0"/>
    <x v="16"/>
    <n v="0.1212"/>
    <n v="0.5"/>
    <n v="0.28360000000000002"/>
    <n v="1"/>
    <n v="0"/>
    <n v="1"/>
  </r>
  <r>
    <n v="212"/>
    <x v="9"/>
    <x v="2"/>
    <x v="0"/>
    <x v="2"/>
    <x v="0"/>
    <x v="16"/>
    <n v="0.1212"/>
    <n v="0.5"/>
    <n v="0.22389999999999999"/>
    <n v="0"/>
    <n v="3"/>
    <n v="3"/>
  </r>
  <r>
    <n v="213"/>
    <x v="9"/>
    <x v="3"/>
    <x v="0"/>
    <x v="2"/>
    <x v="0"/>
    <x v="16"/>
    <n v="0.1212"/>
    <n v="0.5"/>
    <n v="0.22389999999999999"/>
    <n v="0"/>
    <n v="1"/>
    <n v="1"/>
  </r>
  <r>
    <n v="214"/>
    <x v="9"/>
    <x v="4"/>
    <x v="0"/>
    <x v="2"/>
    <x v="0"/>
    <x v="18"/>
    <n v="0.1212"/>
    <n v="0.54"/>
    <n v="0.1343"/>
    <n v="1"/>
    <n v="2"/>
    <n v="3"/>
  </r>
  <r>
    <n v="215"/>
    <x v="9"/>
    <x v="5"/>
    <x v="0"/>
    <x v="2"/>
    <x v="0"/>
    <x v="18"/>
    <n v="0.1061"/>
    <n v="0.54"/>
    <n v="0.25369999999999998"/>
    <n v="0"/>
    <n v="3"/>
    <n v="3"/>
  </r>
  <r>
    <n v="216"/>
    <x v="9"/>
    <x v="6"/>
    <x v="0"/>
    <x v="2"/>
    <x v="0"/>
    <x v="16"/>
    <n v="0.1212"/>
    <n v="0.5"/>
    <n v="0.28360000000000002"/>
    <n v="0"/>
    <n v="31"/>
    <n v="31"/>
  </r>
  <r>
    <n v="217"/>
    <x v="9"/>
    <x v="7"/>
    <x v="0"/>
    <x v="2"/>
    <x v="0"/>
    <x v="16"/>
    <n v="0.1212"/>
    <n v="0.5"/>
    <n v="0.22389999999999999"/>
    <n v="2"/>
    <n v="75"/>
    <n v="77"/>
  </r>
  <r>
    <n v="218"/>
    <x v="9"/>
    <x v="8"/>
    <x v="0"/>
    <x v="2"/>
    <x v="1"/>
    <x v="16"/>
    <n v="0.1212"/>
    <n v="0.5"/>
    <n v="0.28360000000000002"/>
    <n v="4"/>
    <n v="184"/>
    <n v="188"/>
  </r>
  <r>
    <n v="219"/>
    <x v="9"/>
    <x v="9"/>
    <x v="0"/>
    <x v="2"/>
    <x v="1"/>
    <x v="14"/>
    <n v="0.1212"/>
    <n v="0.5"/>
    <n v="0.25369999999999998"/>
    <n v="2"/>
    <n v="92"/>
    <n v="94"/>
  </r>
  <r>
    <n v="220"/>
    <x v="9"/>
    <x v="10"/>
    <x v="0"/>
    <x v="2"/>
    <x v="1"/>
    <x v="14"/>
    <n v="0.1212"/>
    <n v="0.5"/>
    <n v="0.29849999999999999"/>
    <n v="0"/>
    <n v="31"/>
    <n v="31"/>
  </r>
  <r>
    <n v="221"/>
    <x v="9"/>
    <x v="11"/>
    <x v="0"/>
    <x v="2"/>
    <x v="1"/>
    <x v="13"/>
    <n v="0.13639999999999999"/>
    <n v="0.47"/>
    <n v="0.28360000000000002"/>
    <n v="2"/>
    <n v="28"/>
    <n v="30"/>
  </r>
  <r>
    <n v="222"/>
    <x v="9"/>
    <x v="12"/>
    <x v="0"/>
    <x v="2"/>
    <x v="1"/>
    <x v="2"/>
    <n v="0.18179999999999999"/>
    <n v="0.4"/>
    <n v="0.28360000000000002"/>
    <n v="5"/>
    <n v="47"/>
    <n v="52"/>
  </r>
  <r>
    <n v="223"/>
    <x v="9"/>
    <x v="13"/>
    <x v="0"/>
    <x v="2"/>
    <x v="1"/>
    <x v="2"/>
    <n v="0.18179999999999999"/>
    <n v="0.4"/>
    <n v="0.28360000000000002"/>
    <n v="4"/>
    <n v="50"/>
    <n v="54"/>
  </r>
  <r>
    <n v="224"/>
    <x v="9"/>
    <x v="14"/>
    <x v="0"/>
    <x v="2"/>
    <x v="1"/>
    <x v="2"/>
    <n v="0.19700000000000001"/>
    <n v="0.4"/>
    <n v="0.22389999999999999"/>
    <n v="0"/>
    <n v="47"/>
    <n v="47"/>
  </r>
  <r>
    <n v="225"/>
    <x v="9"/>
    <x v="15"/>
    <x v="0"/>
    <x v="2"/>
    <x v="1"/>
    <x v="2"/>
    <n v="0.19700000000000001"/>
    <n v="0.4"/>
    <n v="0.22389999999999999"/>
    <n v="2"/>
    <n v="43"/>
    <n v="45"/>
  </r>
  <r>
    <n v="226"/>
    <x v="9"/>
    <x v="16"/>
    <x v="0"/>
    <x v="2"/>
    <x v="0"/>
    <x v="2"/>
    <n v="0.21210000000000001"/>
    <n v="0.4"/>
    <n v="0.1343"/>
    <n v="4"/>
    <n v="70"/>
    <n v="74"/>
  </r>
  <r>
    <n v="227"/>
    <x v="9"/>
    <x v="17"/>
    <x v="0"/>
    <x v="2"/>
    <x v="0"/>
    <x v="2"/>
    <n v="0.2273"/>
    <n v="0.4"/>
    <n v="0.1045"/>
    <n v="4"/>
    <n v="174"/>
    <n v="178"/>
  </r>
  <r>
    <n v="228"/>
    <x v="9"/>
    <x v="18"/>
    <x v="0"/>
    <x v="2"/>
    <x v="0"/>
    <x v="2"/>
    <n v="0.19700000000000001"/>
    <n v="0.4"/>
    <n v="0.22389999999999999"/>
    <n v="1"/>
    <n v="154"/>
    <n v="155"/>
  </r>
  <r>
    <n v="229"/>
    <x v="9"/>
    <x v="19"/>
    <x v="0"/>
    <x v="2"/>
    <x v="0"/>
    <x v="13"/>
    <n v="0.16669999999999999"/>
    <n v="0.47"/>
    <n v="0.16420000000000001"/>
    <n v="3"/>
    <n v="92"/>
    <n v="95"/>
  </r>
  <r>
    <n v="230"/>
    <x v="9"/>
    <x v="20"/>
    <x v="0"/>
    <x v="2"/>
    <x v="0"/>
    <x v="13"/>
    <n v="0.16669999999999999"/>
    <n v="0.5"/>
    <n v="0.16420000000000001"/>
    <n v="1"/>
    <n v="73"/>
    <n v="74"/>
  </r>
  <r>
    <n v="231"/>
    <x v="9"/>
    <x v="21"/>
    <x v="0"/>
    <x v="2"/>
    <x v="0"/>
    <x v="14"/>
    <n v="0.13639999999999999"/>
    <n v="0.59"/>
    <n v="0.19400000000000001"/>
    <n v="1"/>
    <n v="37"/>
    <n v="38"/>
  </r>
  <r>
    <n v="232"/>
    <x v="9"/>
    <x v="22"/>
    <x v="0"/>
    <x v="2"/>
    <x v="0"/>
    <x v="14"/>
    <n v="0.1515"/>
    <n v="0.59"/>
    <n v="0.16420000000000001"/>
    <n v="2"/>
    <n v="22"/>
    <n v="24"/>
  </r>
  <r>
    <n v="233"/>
    <x v="9"/>
    <x v="23"/>
    <x v="0"/>
    <x v="2"/>
    <x v="0"/>
    <x v="14"/>
    <n v="0.1515"/>
    <n v="0.59"/>
    <n v="0.16420000000000001"/>
    <n v="0"/>
    <n v="18"/>
    <n v="18"/>
  </r>
  <r>
    <n v="234"/>
    <x v="10"/>
    <x v="0"/>
    <x v="0"/>
    <x v="3"/>
    <x v="0"/>
    <x v="14"/>
    <n v="0.16669999999999999"/>
    <n v="0.59"/>
    <n v="0.1045"/>
    <n v="2"/>
    <n v="10"/>
    <n v="12"/>
  </r>
  <r>
    <n v="235"/>
    <x v="10"/>
    <x v="1"/>
    <x v="0"/>
    <x v="3"/>
    <x v="0"/>
    <x v="14"/>
    <n v="0.1515"/>
    <n v="0.59"/>
    <n v="0.16420000000000001"/>
    <n v="0"/>
    <n v="3"/>
    <n v="3"/>
  </r>
  <r>
    <n v="236"/>
    <x v="10"/>
    <x v="2"/>
    <x v="0"/>
    <x v="3"/>
    <x v="1"/>
    <x v="13"/>
    <n v="0.1515"/>
    <n v="0.55000000000000004"/>
    <n v="0.19400000000000001"/>
    <n v="0"/>
    <n v="3"/>
    <n v="3"/>
  </r>
  <r>
    <n v="237"/>
    <x v="10"/>
    <x v="5"/>
    <x v="0"/>
    <x v="3"/>
    <x v="1"/>
    <x v="13"/>
    <n v="0.18179999999999999"/>
    <n v="0.55000000000000004"/>
    <n v="0.1343"/>
    <n v="0"/>
    <n v="6"/>
    <n v="6"/>
  </r>
  <r>
    <n v="238"/>
    <x v="10"/>
    <x v="6"/>
    <x v="0"/>
    <x v="3"/>
    <x v="1"/>
    <x v="13"/>
    <n v="0.18179999999999999"/>
    <n v="0.55000000000000004"/>
    <n v="0.1343"/>
    <n v="0"/>
    <n v="27"/>
    <n v="27"/>
  </r>
  <r>
    <n v="239"/>
    <x v="10"/>
    <x v="7"/>
    <x v="0"/>
    <x v="3"/>
    <x v="1"/>
    <x v="13"/>
    <n v="0.2273"/>
    <n v="0.55000000000000004"/>
    <n v="0"/>
    <n v="2"/>
    <n v="97"/>
    <n v="99"/>
  </r>
  <r>
    <n v="240"/>
    <x v="10"/>
    <x v="8"/>
    <x v="0"/>
    <x v="3"/>
    <x v="1"/>
    <x v="15"/>
    <n v="0.21210000000000001"/>
    <n v="0.51"/>
    <n v="8.9599999999999999E-2"/>
    <n v="3"/>
    <n v="214"/>
    <n v="217"/>
  </r>
  <r>
    <n v="241"/>
    <x v="10"/>
    <x v="9"/>
    <x v="0"/>
    <x v="3"/>
    <x v="1"/>
    <x v="15"/>
    <n v="0.19700000000000001"/>
    <n v="0.51"/>
    <n v="0.16420000000000001"/>
    <n v="3"/>
    <n v="127"/>
    <n v="130"/>
  </r>
  <r>
    <n v="242"/>
    <x v="10"/>
    <x v="10"/>
    <x v="0"/>
    <x v="3"/>
    <x v="1"/>
    <x v="2"/>
    <n v="0.21210000000000001"/>
    <n v="0.51"/>
    <n v="0.16420000000000001"/>
    <n v="3"/>
    <n v="51"/>
    <n v="54"/>
  </r>
  <r>
    <n v="243"/>
    <x v="10"/>
    <x v="11"/>
    <x v="0"/>
    <x v="3"/>
    <x v="1"/>
    <x v="2"/>
    <n v="0.21210000000000001"/>
    <n v="0.47"/>
    <n v="0.1343"/>
    <n v="4"/>
    <n v="31"/>
    <n v="35"/>
  </r>
  <r>
    <n v="244"/>
    <x v="10"/>
    <x v="12"/>
    <x v="0"/>
    <x v="3"/>
    <x v="1"/>
    <x v="2"/>
    <n v="0.2273"/>
    <n v="0.51"/>
    <n v="0.1045"/>
    <n v="2"/>
    <n v="55"/>
    <n v="57"/>
  </r>
  <r>
    <n v="245"/>
    <x v="10"/>
    <x v="13"/>
    <x v="0"/>
    <x v="3"/>
    <x v="1"/>
    <x v="2"/>
    <n v="0.2273"/>
    <n v="0.59"/>
    <n v="8.9599999999999999E-2"/>
    <n v="6"/>
    <n v="46"/>
    <n v="52"/>
  </r>
  <r>
    <n v="246"/>
    <x v="10"/>
    <x v="14"/>
    <x v="0"/>
    <x v="3"/>
    <x v="1"/>
    <x v="2"/>
    <n v="0.2273"/>
    <n v="0.59"/>
    <n v="8.9599999999999999E-2"/>
    <n v="3"/>
    <n v="60"/>
    <n v="63"/>
  </r>
  <r>
    <n v="247"/>
    <x v="10"/>
    <x v="15"/>
    <x v="0"/>
    <x v="3"/>
    <x v="1"/>
    <x v="13"/>
    <n v="0.19700000000000001"/>
    <n v="0.8"/>
    <n v="8.9599999999999999E-2"/>
    <n v="2"/>
    <n v="45"/>
    <n v="47"/>
  </r>
  <r>
    <n v="248"/>
    <x v="10"/>
    <x v="16"/>
    <x v="0"/>
    <x v="3"/>
    <x v="1"/>
    <x v="13"/>
    <n v="0.1515"/>
    <n v="0.86"/>
    <n v="0.22389999999999999"/>
    <n v="4"/>
    <n v="72"/>
    <n v="76"/>
  </r>
  <r>
    <n v="249"/>
    <x v="10"/>
    <x v="17"/>
    <x v="0"/>
    <x v="3"/>
    <x v="1"/>
    <x v="13"/>
    <n v="0.1515"/>
    <n v="0.86"/>
    <n v="0.22389999999999999"/>
    <n v="6"/>
    <n v="130"/>
    <n v="136"/>
  </r>
  <r>
    <n v="250"/>
    <x v="10"/>
    <x v="18"/>
    <x v="0"/>
    <x v="3"/>
    <x v="2"/>
    <x v="13"/>
    <n v="0.18179999999999999"/>
    <n v="0.93"/>
    <n v="0.1045"/>
    <n v="1"/>
    <n v="94"/>
    <n v="95"/>
  </r>
  <r>
    <n v="251"/>
    <x v="10"/>
    <x v="19"/>
    <x v="0"/>
    <x v="3"/>
    <x v="2"/>
    <x v="13"/>
    <n v="0.2273"/>
    <n v="0.93"/>
    <n v="0"/>
    <n v="0"/>
    <n v="51"/>
    <n v="51"/>
  </r>
  <r>
    <n v="252"/>
    <x v="10"/>
    <x v="20"/>
    <x v="0"/>
    <x v="3"/>
    <x v="2"/>
    <x v="13"/>
    <n v="0.1515"/>
    <n v="0.93"/>
    <n v="0.19400000000000001"/>
    <n v="0"/>
    <n v="32"/>
    <n v="32"/>
  </r>
  <r>
    <n v="253"/>
    <x v="10"/>
    <x v="21"/>
    <x v="0"/>
    <x v="3"/>
    <x v="2"/>
    <x v="13"/>
    <n v="0.19700000000000001"/>
    <n v="0.86"/>
    <n v="8.9599999999999999E-2"/>
    <n v="0"/>
    <n v="20"/>
    <n v="20"/>
  </r>
  <r>
    <n v="254"/>
    <x v="10"/>
    <x v="22"/>
    <x v="0"/>
    <x v="3"/>
    <x v="2"/>
    <x v="13"/>
    <n v="0.18179999999999999"/>
    <n v="0.93"/>
    <n v="0.1045"/>
    <n v="1"/>
    <n v="28"/>
    <n v="29"/>
  </r>
  <r>
    <n v="255"/>
    <x v="10"/>
    <x v="23"/>
    <x v="0"/>
    <x v="3"/>
    <x v="2"/>
    <x v="13"/>
    <n v="0.19700000000000001"/>
    <n v="0.93"/>
    <n v="8.9599999999999999E-2"/>
    <n v="1"/>
    <n v="18"/>
    <n v="19"/>
  </r>
  <r>
    <n v="256"/>
    <x v="11"/>
    <x v="0"/>
    <x v="0"/>
    <x v="4"/>
    <x v="1"/>
    <x v="13"/>
    <n v="0.19700000000000001"/>
    <n v="0.86"/>
    <n v="8.9599999999999999E-2"/>
    <n v="0"/>
    <n v="7"/>
    <n v="7"/>
  </r>
  <r>
    <n v="257"/>
    <x v="11"/>
    <x v="1"/>
    <x v="0"/>
    <x v="4"/>
    <x v="1"/>
    <x v="13"/>
    <n v="0.18179999999999999"/>
    <n v="0.86"/>
    <n v="0.1045"/>
    <n v="0"/>
    <n v="6"/>
    <n v="6"/>
  </r>
  <r>
    <n v="258"/>
    <x v="11"/>
    <x v="2"/>
    <x v="0"/>
    <x v="4"/>
    <x v="0"/>
    <x v="14"/>
    <n v="0.1515"/>
    <n v="0.86"/>
    <n v="0.1343"/>
    <n v="0"/>
    <n v="1"/>
    <n v="1"/>
  </r>
  <r>
    <n v="259"/>
    <x v="11"/>
    <x v="5"/>
    <x v="0"/>
    <x v="4"/>
    <x v="0"/>
    <x v="14"/>
    <n v="0.1515"/>
    <n v="0.86"/>
    <n v="0.16420000000000001"/>
    <n v="0"/>
    <n v="5"/>
    <n v="5"/>
  </r>
  <r>
    <n v="260"/>
    <x v="11"/>
    <x v="6"/>
    <x v="0"/>
    <x v="4"/>
    <x v="0"/>
    <x v="16"/>
    <n v="0.1515"/>
    <n v="0.93"/>
    <n v="0.1343"/>
    <n v="0"/>
    <n v="16"/>
    <n v="16"/>
  </r>
  <r>
    <n v="261"/>
    <x v="11"/>
    <x v="7"/>
    <x v="0"/>
    <x v="4"/>
    <x v="0"/>
    <x v="14"/>
    <n v="0.1515"/>
    <n v="0.69"/>
    <n v="0.1343"/>
    <n v="0"/>
    <n v="54"/>
    <n v="54"/>
  </r>
  <r>
    <n v="262"/>
    <x v="11"/>
    <x v="8"/>
    <x v="0"/>
    <x v="4"/>
    <x v="0"/>
    <x v="13"/>
    <n v="0.16669999999999999"/>
    <n v="0.59"/>
    <n v="0.16420000000000001"/>
    <n v="3"/>
    <n v="125"/>
    <n v="128"/>
  </r>
  <r>
    <n v="263"/>
    <x v="11"/>
    <x v="9"/>
    <x v="0"/>
    <x v="4"/>
    <x v="0"/>
    <x v="13"/>
    <n v="0.13639999999999999"/>
    <n v="0.59"/>
    <n v="0.32840000000000003"/>
    <n v="3"/>
    <n v="78"/>
    <n v="81"/>
  </r>
  <r>
    <n v="264"/>
    <x v="11"/>
    <x v="10"/>
    <x v="0"/>
    <x v="4"/>
    <x v="0"/>
    <x v="15"/>
    <n v="0.18179999999999999"/>
    <n v="0.55000000000000004"/>
    <n v="0.22389999999999999"/>
    <n v="0"/>
    <n v="39"/>
    <n v="39"/>
  </r>
  <r>
    <n v="265"/>
    <x v="11"/>
    <x v="11"/>
    <x v="0"/>
    <x v="4"/>
    <x v="0"/>
    <x v="2"/>
    <n v="0.18179999999999999"/>
    <n v="0.51"/>
    <n v="0.3881"/>
    <n v="3"/>
    <n v="32"/>
    <n v="35"/>
  </r>
  <r>
    <n v="266"/>
    <x v="11"/>
    <x v="12"/>
    <x v="0"/>
    <x v="4"/>
    <x v="0"/>
    <x v="2"/>
    <n v="0.1515"/>
    <n v="0.47"/>
    <n v="0.58209999999999995"/>
    <n v="3"/>
    <n v="52"/>
    <n v="55"/>
  </r>
  <r>
    <n v="267"/>
    <x v="11"/>
    <x v="13"/>
    <x v="0"/>
    <x v="4"/>
    <x v="0"/>
    <x v="1"/>
    <n v="0.19700000000000001"/>
    <n v="0.44"/>
    <n v="0.35820000000000002"/>
    <n v="0"/>
    <n v="49"/>
    <n v="49"/>
  </r>
  <r>
    <n v="268"/>
    <x v="11"/>
    <x v="14"/>
    <x v="0"/>
    <x v="4"/>
    <x v="0"/>
    <x v="2"/>
    <n v="0.18179999999999999"/>
    <n v="0.47"/>
    <n v="0.32840000000000003"/>
    <n v="0"/>
    <n v="44"/>
    <n v="44"/>
  </r>
  <r>
    <n v="269"/>
    <x v="11"/>
    <x v="15"/>
    <x v="0"/>
    <x v="4"/>
    <x v="0"/>
    <x v="2"/>
    <n v="0.16669999999999999"/>
    <n v="0.47"/>
    <n v="0.41789999999999999"/>
    <n v="1"/>
    <n v="48"/>
    <n v="49"/>
  </r>
  <r>
    <n v="270"/>
    <x v="11"/>
    <x v="16"/>
    <x v="0"/>
    <x v="4"/>
    <x v="0"/>
    <x v="1"/>
    <n v="0.19700000000000001"/>
    <n v="0.44"/>
    <n v="0.32840000000000003"/>
    <n v="5"/>
    <n v="63"/>
    <n v="68"/>
  </r>
  <r>
    <n v="271"/>
    <x v="11"/>
    <x v="17"/>
    <x v="0"/>
    <x v="4"/>
    <x v="0"/>
    <x v="2"/>
    <n v="0.18179999999999999"/>
    <n v="0.47"/>
    <n v="0.35820000000000002"/>
    <n v="0"/>
    <n v="139"/>
    <n v="139"/>
  </r>
  <r>
    <n v="272"/>
    <x v="11"/>
    <x v="18"/>
    <x v="0"/>
    <x v="4"/>
    <x v="0"/>
    <x v="2"/>
    <n v="0.1515"/>
    <n v="0.47"/>
    <n v="0.52239999999999998"/>
    <n v="2"/>
    <n v="135"/>
    <n v="137"/>
  </r>
  <r>
    <n v="273"/>
    <x v="11"/>
    <x v="19"/>
    <x v="0"/>
    <x v="4"/>
    <x v="0"/>
    <x v="15"/>
    <n v="0.1515"/>
    <n v="0.47"/>
    <n v="0.41789999999999999"/>
    <n v="1"/>
    <n v="82"/>
    <n v="83"/>
  </r>
  <r>
    <n v="274"/>
    <x v="11"/>
    <x v="20"/>
    <x v="0"/>
    <x v="4"/>
    <x v="0"/>
    <x v="13"/>
    <n v="0.13639999999999999"/>
    <n v="0.5"/>
    <n v="0.32840000000000003"/>
    <n v="2"/>
    <n v="54"/>
    <n v="56"/>
  </r>
  <r>
    <n v="275"/>
    <x v="11"/>
    <x v="21"/>
    <x v="0"/>
    <x v="4"/>
    <x v="0"/>
    <x v="13"/>
    <n v="0.13639999999999999"/>
    <n v="0.55000000000000004"/>
    <n v="0.32840000000000003"/>
    <n v="0"/>
    <n v="57"/>
    <n v="57"/>
  </r>
  <r>
    <n v="276"/>
    <x v="11"/>
    <x v="22"/>
    <x v="0"/>
    <x v="4"/>
    <x v="0"/>
    <x v="13"/>
    <n v="0.1212"/>
    <n v="0.55000000000000004"/>
    <n v="0.44779999999999998"/>
    <n v="1"/>
    <n v="32"/>
    <n v="33"/>
  </r>
  <r>
    <n v="277"/>
    <x v="11"/>
    <x v="23"/>
    <x v="0"/>
    <x v="4"/>
    <x v="0"/>
    <x v="14"/>
    <n v="0.1061"/>
    <n v="0.59"/>
    <n v="0.41789999999999999"/>
    <n v="1"/>
    <n v="19"/>
    <n v="20"/>
  </r>
  <r>
    <n v="278"/>
    <x v="12"/>
    <x v="0"/>
    <x v="0"/>
    <x v="5"/>
    <x v="0"/>
    <x v="14"/>
    <n v="0.1212"/>
    <n v="0.59"/>
    <n v="0.28360000000000002"/>
    <n v="1"/>
    <n v="6"/>
    <n v="7"/>
  </r>
  <r>
    <n v="279"/>
    <x v="12"/>
    <x v="1"/>
    <x v="0"/>
    <x v="5"/>
    <x v="0"/>
    <x v="14"/>
    <n v="0.1212"/>
    <n v="0.5"/>
    <n v="0.28360000000000002"/>
    <n v="0"/>
    <n v="2"/>
    <n v="2"/>
  </r>
  <r>
    <n v="280"/>
    <x v="12"/>
    <x v="2"/>
    <x v="0"/>
    <x v="5"/>
    <x v="0"/>
    <x v="14"/>
    <n v="0.1212"/>
    <n v="0.5"/>
    <n v="0.35820000000000002"/>
    <n v="0"/>
    <n v="2"/>
    <n v="2"/>
  </r>
  <r>
    <n v="281"/>
    <x v="12"/>
    <x v="3"/>
    <x v="0"/>
    <x v="5"/>
    <x v="0"/>
    <x v="14"/>
    <n v="0.1212"/>
    <n v="0.5"/>
    <n v="0.32840000000000003"/>
    <n v="0"/>
    <n v="3"/>
    <n v="3"/>
  </r>
  <r>
    <n v="282"/>
    <x v="12"/>
    <x v="4"/>
    <x v="0"/>
    <x v="5"/>
    <x v="0"/>
    <x v="14"/>
    <n v="0.1212"/>
    <n v="0.5"/>
    <n v="0.25369999999999998"/>
    <n v="0"/>
    <n v="4"/>
    <n v="4"/>
  </r>
  <r>
    <n v="283"/>
    <x v="12"/>
    <x v="5"/>
    <x v="0"/>
    <x v="5"/>
    <x v="0"/>
    <x v="14"/>
    <n v="0.1212"/>
    <n v="0.5"/>
    <n v="0.29849999999999999"/>
    <n v="0"/>
    <n v="3"/>
    <n v="3"/>
  </r>
  <r>
    <n v="284"/>
    <x v="12"/>
    <x v="6"/>
    <x v="0"/>
    <x v="5"/>
    <x v="0"/>
    <x v="16"/>
    <n v="0.1515"/>
    <n v="0.54"/>
    <n v="0.1343"/>
    <n v="0"/>
    <n v="28"/>
    <n v="28"/>
  </r>
  <r>
    <n v="285"/>
    <x v="12"/>
    <x v="7"/>
    <x v="0"/>
    <x v="5"/>
    <x v="0"/>
    <x v="16"/>
    <n v="0.1515"/>
    <n v="0.54"/>
    <n v="0.1343"/>
    <n v="0"/>
    <n v="72"/>
    <n v="72"/>
  </r>
  <r>
    <n v="286"/>
    <x v="12"/>
    <x v="8"/>
    <x v="0"/>
    <x v="5"/>
    <x v="0"/>
    <x v="14"/>
    <n v="0.13639999999999999"/>
    <n v="0.5"/>
    <n v="0.19400000000000001"/>
    <n v="5"/>
    <n v="197"/>
    <n v="202"/>
  </r>
  <r>
    <n v="287"/>
    <x v="12"/>
    <x v="9"/>
    <x v="0"/>
    <x v="5"/>
    <x v="0"/>
    <x v="14"/>
    <n v="0.1212"/>
    <n v="0.5"/>
    <n v="0.32840000000000003"/>
    <n v="2"/>
    <n v="137"/>
    <n v="139"/>
  </r>
  <r>
    <n v="288"/>
    <x v="12"/>
    <x v="10"/>
    <x v="0"/>
    <x v="5"/>
    <x v="1"/>
    <x v="13"/>
    <n v="0.13639999999999999"/>
    <n v="0.5"/>
    <n v="0.35820000000000002"/>
    <n v="2"/>
    <n v="36"/>
    <n v="38"/>
  </r>
  <r>
    <n v="289"/>
    <x v="12"/>
    <x v="11"/>
    <x v="0"/>
    <x v="5"/>
    <x v="1"/>
    <x v="2"/>
    <n v="0.16669999999999999"/>
    <n v="0.44"/>
    <n v="0.44779999999999998"/>
    <n v="4"/>
    <n v="33"/>
    <n v="37"/>
  </r>
  <r>
    <n v="290"/>
    <x v="12"/>
    <x v="12"/>
    <x v="0"/>
    <x v="5"/>
    <x v="0"/>
    <x v="2"/>
    <n v="0.16669999999999999"/>
    <n v="0.44"/>
    <n v="0.41789999999999999"/>
    <n v="3"/>
    <n v="49"/>
    <n v="52"/>
  </r>
  <r>
    <n v="291"/>
    <x v="12"/>
    <x v="13"/>
    <x v="0"/>
    <x v="5"/>
    <x v="0"/>
    <x v="1"/>
    <n v="0.19700000000000001"/>
    <n v="0.41"/>
    <n v="0.44779999999999998"/>
    <n v="2"/>
    <n v="81"/>
    <n v="83"/>
  </r>
  <r>
    <n v="292"/>
    <x v="12"/>
    <x v="14"/>
    <x v="0"/>
    <x v="5"/>
    <x v="0"/>
    <x v="1"/>
    <n v="0.19700000000000001"/>
    <n v="0.41"/>
    <n v="0.3881"/>
    <n v="3"/>
    <n v="39"/>
    <n v="42"/>
  </r>
  <r>
    <n v="293"/>
    <x v="12"/>
    <x v="15"/>
    <x v="0"/>
    <x v="5"/>
    <x v="0"/>
    <x v="0"/>
    <n v="0.21210000000000001"/>
    <n v="0.38"/>
    <n v="0.29849999999999999"/>
    <n v="5"/>
    <n v="55"/>
    <n v="60"/>
  </r>
  <r>
    <n v="294"/>
    <x v="12"/>
    <x v="16"/>
    <x v="0"/>
    <x v="5"/>
    <x v="0"/>
    <x v="0"/>
    <n v="0.21210000000000001"/>
    <n v="0.38"/>
    <n v="0.35820000000000002"/>
    <n v="2"/>
    <n v="76"/>
    <n v="78"/>
  </r>
  <r>
    <n v="295"/>
    <x v="12"/>
    <x v="17"/>
    <x v="0"/>
    <x v="5"/>
    <x v="0"/>
    <x v="2"/>
    <n v="0.18179999999999999"/>
    <n v="0.4"/>
    <n v="0.28360000000000002"/>
    <n v="4"/>
    <n v="158"/>
    <n v="162"/>
  </r>
  <r>
    <n v="296"/>
    <x v="12"/>
    <x v="18"/>
    <x v="0"/>
    <x v="5"/>
    <x v="0"/>
    <x v="2"/>
    <n v="0.18179999999999999"/>
    <n v="0.4"/>
    <n v="0.32840000000000003"/>
    <n v="3"/>
    <n v="141"/>
    <n v="144"/>
  </r>
  <r>
    <n v="297"/>
    <x v="12"/>
    <x v="19"/>
    <x v="0"/>
    <x v="5"/>
    <x v="0"/>
    <x v="13"/>
    <n v="0.1515"/>
    <n v="0.47"/>
    <n v="0.25369999999999998"/>
    <n v="1"/>
    <n v="98"/>
    <n v="99"/>
  </r>
  <r>
    <n v="298"/>
    <x v="12"/>
    <x v="20"/>
    <x v="0"/>
    <x v="5"/>
    <x v="0"/>
    <x v="13"/>
    <n v="0.1515"/>
    <n v="0.47"/>
    <n v="0.22389999999999999"/>
    <n v="0"/>
    <n v="64"/>
    <n v="64"/>
  </r>
  <r>
    <n v="299"/>
    <x v="12"/>
    <x v="21"/>
    <x v="0"/>
    <x v="5"/>
    <x v="0"/>
    <x v="14"/>
    <n v="0.1212"/>
    <n v="0.46"/>
    <n v="0.29849999999999999"/>
    <n v="0"/>
    <n v="40"/>
    <n v="40"/>
  </r>
  <r>
    <n v="300"/>
    <x v="12"/>
    <x v="22"/>
    <x v="0"/>
    <x v="5"/>
    <x v="0"/>
    <x v="14"/>
    <n v="0.1212"/>
    <n v="0.46"/>
    <n v="0.32840000000000003"/>
    <n v="0"/>
    <n v="30"/>
    <n v="30"/>
  </r>
  <r>
    <n v="301"/>
    <x v="12"/>
    <x v="23"/>
    <x v="0"/>
    <x v="5"/>
    <x v="0"/>
    <x v="16"/>
    <n v="0.13639999999999999"/>
    <n v="0.5"/>
    <n v="0.19400000000000001"/>
    <n v="1"/>
    <n v="14"/>
    <n v="15"/>
  </r>
  <r>
    <n v="302"/>
    <x v="13"/>
    <x v="0"/>
    <x v="0"/>
    <x v="6"/>
    <x v="0"/>
    <x v="16"/>
    <n v="0.13639999999999999"/>
    <n v="0.5"/>
    <n v="0.19400000000000001"/>
    <n v="0"/>
    <n v="14"/>
    <n v="14"/>
  </r>
  <r>
    <n v="303"/>
    <x v="13"/>
    <x v="1"/>
    <x v="0"/>
    <x v="6"/>
    <x v="0"/>
    <x v="18"/>
    <n v="0.1212"/>
    <n v="0.54"/>
    <n v="0.16420000000000001"/>
    <n v="0"/>
    <n v="5"/>
    <n v="5"/>
  </r>
  <r>
    <n v="304"/>
    <x v="13"/>
    <x v="2"/>
    <x v="0"/>
    <x v="6"/>
    <x v="0"/>
    <x v="18"/>
    <n v="0.1212"/>
    <n v="0.54"/>
    <n v="0.1343"/>
    <n v="0"/>
    <n v="1"/>
    <n v="1"/>
  </r>
  <r>
    <n v="305"/>
    <x v="13"/>
    <x v="3"/>
    <x v="0"/>
    <x v="6"/>
    <x v="0"/>
    <x v="18"/>
    <n v="0.13639999999999999"/>
    <n v="0.54"/>
    <n v="0.1045"/>
    <n v="0"/>
    <n v="1"/>
    <n v="1"/>
  </r>
  <r>
    <n v="306"/>
    <x v="13"/>
    <x v="5"/>
    <x v="0"/>
    <x v="6"/>
    <x v="0"/>
    <x v="18"/>
    <n v="0.13639999999999999"/>
    <n v="0.54"/>
    <n v="8.9599999999999999E-2"/>
    <n v="0"/>
    <n v="8"/>
    <n v="8"/>
  </r>
  <r>
    <n v="307"/>
    <x v="13"/>
    <x v="6"/>
    <x v="0"/>
    <x v="6"/>
    <x v="0"/>
    <x v="18"/>
    <n v="0.18179999999999999"/>
    <n v="0.54"/>
    <n v="0"/>
    <n v="0"/>
    <n v="17"/>
    <n v="17"/>
  </r>
  <r>
    <n v="308"/>
    <x v="13"/>
    <x v="7"/>
    <x v="0"/>
    <x v="6"/>
    <x v="0"/>
    <x v="18"/>
    <n v="0.1212"/>
    <n v="0.74"/>
    <n v="0.16420000000000001"/>
    <n v="0"/>
    <n v="70"/>
    <n v="70"/>
  </r>
  <r>
    <n v="309"/>
    <x v="13"/>
    <x v="8"/>
    <x v="0"/>
    <x v="6"/>
    <x v="0"/>
    <x v="16"/>
    <n v="0.16669999999999999"/>
    <n v="0.68"/>
    <n v="0"/>
    <n v="2"/>
    <n v="156"/>
    <n v="158"/>
  </r>
  <r>
    <n v="310"/>
    <x v="13"/>
    <x v="9"/>
    <x v="0"/>
    <x v="6"/>
    <x v="0"/>
    <x v="14"/>
    <n v="0.1515"/>
    <n v="0.69"/>
    <n v="0.1343"/>
    <n v="0"/>
    <n v="117"/>
    <n v="117"/>
  </r>
  <r>
    <n v="311"/>
    <x v="13"/>
    <x v="10"/>
    <x v="0"/>
    <x v="6"/>
    <x v="0"/>
    <x v="15"/>
    <n v="0.18179999999999999"/>
    <n v="0.55000000000000004"/>
    <n v="0.19400000000000001"/>
    <n v="4"/>
    <n v="40"/>
    <n v="44"/>
  </r>
  <r>
    <n v="312"/>
    <x v="13"/>
    <x v="11"/>
    <x v="0"/>
    <x v="6"/>
    <x v="0"/>
    <x v="15"/>
    <n v="0.16669999999999999"/>
    <n v="0.51"/>
    <n v="0.28360000000000002"/>
    <n v="6"/>
    <n v="47"/>
    <n v="53"/>
  </r>
  <r>
    <n v="313"/>
    <x v="13"/>
    <x v="12"/>
    <x v="0"/>
    <x v="6"/>
    <x v="0"/>
    <x v="2"/>
    <n v="0.19700000000000001"/>
    <n v="0.44"/>
    <n v="0.25369999999999998"/>
    <n v="2"/>
    <n v="59"/>
    <n v="61"/>
  </r>
  <r>
    <n v="314"/>
    <x v="13"/>
    <x v="13"/>
    <x v="0"/>
    <x v="6"/>
    <x v="0"/>
    <x v="1"/>
    <n v="0.19700000000000001"/>
    <n v="0.37"/>
    <n v="0.3881"/>
    <n v="4"/>
    <n v="73"/>
    <n v="77"/>
  </r>
  <r>
    <n v="315"/>
    <x v="13"/>
    <x v="14"/>
    <x v="0"/>
    <x v="6"/>
    <x v="0"/>
    <x v="1"/>
    <n v="0.21210000000000001"/>
    <n v="0.41"/>
    <n v="0.28360000000000002"/>
    <n v="5"/>
    <n v="59"/>
    <n v="64"/>
  </r>
  <r>
    <n v="316"/>
    <x v="13"/>
    <x v="15"/>
    <x v="0"/>
    <x v="6"/>
    <x v="0"/>
    <x v="0"/>
    <n v="0.2424"/>
    <n v="0.38"/>
    <n v="0.16420000000000001"/>
    <n v="9"/>
    <n v="59"/>
    <n v="68"/>
  </r>
  <r>
    <n v="317"/>
    <x v="13"/>
    <x v="16"/>
    <x v="0"/>
    <x v="6"/>
    <x v="0"/>
    <x v="1"/>
    <n v="0.2424"/>
    <n v="0.41"/>
    <n v="0.1045"/>
    <n v="3"/>
    <n v="87"/>
    <n v="90"/>
  </r>
  <r>
    <n v="318"/>
    <x v="13"/>
    <x v="17"/>
    <x v="0"/>
    <x v="6"/>
    <x v="0"/>
    <x v="1"/>
    <n v="0.2273"/>
    <n v="0.41"/>
    <n v="0.16420000000000001"/>
    <n v="4"/>
    <n v="155"/>
    <n v="159"/>
  </r>
  <r>
    <n v="319"/>
    <x v="13"/>
    <x v="18"/>
    <x v="0"/>
    <x v="6"/>
    <x v="0"/>
    <x v="2"/>
    <n v="0.2576"/>
    <n v="0.47"/>
    <n v="0"/>
    <n v="5"/>
    <n v="134"/>
    <n v="139"/>
  </r>
  <r>
    <n v="320"/>
    <x v="13"/>
    <x v="19"/>
    <x v="0"/>
    <x v="6"/>
    <x v="0"/>
    <x v="13"/>
    <n v="0.19700000000000001"/>
    <n v="0.59"/>
    <n v="8.9599999999999999E-2"/>
    <n v="3"/>
    <n v="89"/>
    <n v="92"/>
  </r>
  <r>
    <n v="321"/>
    <x v="13"/>
    <x v="20"/>
    <x v="0"/>
    <x v="6"/>
    <x v="0"/>
    <x v="15"/>
    <n v="0.2424"/>
    <n v="0.59"/>
    <n v="0"/>
    <n v="0"/>
    <n v="68"/>
    <n v="68"/>
  </r>
  <r>
    <n v="322"/>
    <x v="13"/>
    <x v="21"/>
    <x v="0"/>
    <x v="6"/>
    <x v="0"/>
    <x v="13"/>
    <n v="0.2273"/>
    <n v="0.69"/>
    <n v="0"/>
    <n v="4"/>
    <n v="48"/>
    <n v="52"/>
  </r>
  <r>
    <n v="323"/>
    <x v="13"/>
    <x v="22"/>
    <x v="0"/>
    <x v="6"/>
    <x v="1"/>
    <x v="13"/>
    <n v="0.2273"/>
    <n v="0.69"/>
    <n v="0"/>
    <n v="2"/>
    <n v="34"/>
    <n v="36"/>
  </r>
  <r>
    <n v="324"/>
    <x v="13"/>
    <x v="23"/>
    <x v="0"/>
    <x v="6"/>
    <x v="1"/>
    <x v="15"/>
    <n v="0.2424"/>
    <n v="0.55000000000000004"/>
    <n v="0"/>
    <n v="1"/>
    <n v="26"/>
    <n v="27"/>
  </r>
  <r>
    <n v="325"/>
    <x v="14"/>
    <x v="0"/>
    <x v="0"/>
    <x v="0"/>
    <x v="0"/>
    <x v="15"/>
    <n v="0.2424"/>
    <n v="0.55000000000000004"/>
    <n v="0"/>
    <n v="3"/>
    <n v="25"/>
    <n v="28"/>
  </r>
  <r>
    <n v="326"/>
    <x v="14"/>
    <x v="1"/>
    <x v="0"/>
    <x v="0"/>
    <x v="1"/>
    <x v="13"/>
    <n v="0.19700000000000001"/>
    <n v="0.59"/>
    <n v="8.9599999999999999E-2"/>
    <n v="2"/>
    <n v="18"/>
    <n v="20"/>
  </r>
  <r>
    <n v="327"/>
    <x v="14"/>
    <x v="2"/>
    <x v="0"/>
    <x v="0"/>
    <x v="1"/>
    <x v="13"/>
    <n v="0.19700000000000001"/>
    <n v="0.59"/>
    <n v="8.9599999999999999E-2"/>
    <n v="0"/>
    <n v="12"/>
    <n v="12"/>
  </r>
  <r>
    <n v="328"/>
    <x v="14"/>
    <x v="3"/>
    <x v="0"/>
    <x v="0"/>
    <x v="1"/>
    <x v="13"/>
    <n v="0.2273"/>
    <n v="0.59"/>
    <n v="0"/>
    <n v="1"/>
    <n v="7"/>
    <n v="8"/>
  </r>
  <r>
    <n v="329"/>
    <x v="14"/>
    <x v="4"/>
    <x v="0"/>
    <x v="0"/>
    <x v="1"/>
    <x v="13"/>
    <n v="0.2273"/>
    <n v="0.59"/>
    <n v="0"/>
    <n v="0"/>
    <n v="5"/>
    <n v="5"/>
  </r>
  <r>
    <n v="330"/>
    <x v="14"/>
    <x v="5"/>
    <x v="0"/>
    <x v="0"/>
    <x v="0"/>
    <x v="13"/>
    <n v="0.2273"/>
    <n v="0.59"/>
    <n v="0"/>
    <n v="0"/>
    <n v="1"/>
    <n v="1"/>
  </r>
  <r>
    <n v="331"/>
    <x v="14"/>
    <x v="6"/>
    <x v="0"/>
    <x v="0"/>
    <x v="0"/>
    <x v="14"/>
    <n v="0.16669999999999999"/>
    <n v="0.63"/>
    <n v="0.1045"/>
    <n v="1"/>
    <n v="2"/>
    <n v="3"/>
  </r>
  <r>
    <n v="332"/>
    <x v="14"/>
    <x v="7"/>
    <x v="0"/>
    <x v="0"/>
    <x v="0"/>
    <x v="14"/>
    <n v="0.21210000000000001"/>
    <n v="0.63"/>
    <n v="0"/>
    <n v="1"/>
    <n v="9"/>
    <n v="10"/>
  </r>
  <r>
    <n v="333"/>
    <x v="14"/>
    <x v="8"/>
    <x v="0"/>
    <x v="0"/>
    <x v="0"/>
    <x v="14"/>
    <n v="0.1515"/>
    <n v="0.63"/>
    <n v="0.1343"/>
    <n v="1"/>
    <n v="22"/>
    <n v="23"/>
  </r>
  <r>
    <n v="334"/>
    <x v="14"/>
    <x v="9"/>
    <x v="0"/>
    <x v="0"/>
    <x v="0"/>
    <x v="13"/>
    <n v="0.18179999999999999"/>
    <n v="0.64"/>
    <n v="0.1343"/>
    <n v="2"/>
    <n v="31"/>
    <n v="33"/>
  </r>
  <r>
    <n v="335"/>
    <x v="14"/>
    <x v="10"/>
    <x v="0"/>
    <x v="0"/>
    <x v="0"/>
    <x v="15"/>
    <n v="0.19700000000000001"/>
    <n v="0.59"/>
    <n v="0.16420000000000001"/>
    <n v="2"/>
    <n v="57"/>
    <n v="59"/>
  </r>
  <r>
    <n v="336"/>
    <x v="14"/>
    <x v="11"/>
    <x v="0"/>
    <x v="0"/>
    <x v="0"/>
    <x v="2"/>
    <n v="0.19700000000000001"/>
    <n v="0.55000000000000004"/>
    <n v="0.22389999999999999"/>
    <n v="18"/>
    <n v="54"/>
    <n v="72"/>
  </r>
  <r>
    <n v="337"/>
    <x v="14"/>
    <x v="12"/>
    <x v="0"/>
    <x v="0"/>
    <x v="0"/>
    <x v="0"/>
    <n v="0.2273"/>
    <n v="0.48"/>
    <n v="0.22389999999999999"/>
    <n v="15"/>
    <n v="74"/>
    <n v="89"/>
  </r>
  <r>
    <n v="338"/>
    <x v="14"/>
    <x v="13"/>
    <x v="0"/>
    <x v="0"/>
    <x v="0"/>
    <x v="17"/>
    <n v="0.2576"/>
    <n v="0.38"/>
    <n v="0.29849999999999999"/>
    <n v="21"/>
    <n v="80"/>
    <n v="101"/>
  </r>
  <r>
    <n v="339"/>
    <x v="14"/>
    <x v="14"/>
    <x v="0"/>
    <x v="0"/>
    <x v="0"/>
    <x v="11"/>
    <n v="0.28789999999999999"/>
    <n v="0.39"/>
    <n v="0.28360000000000002"/>
    <n v="26"/>
    <n v="92"/>
    <n v="118"/>
  </r>
  <r>
    <n v="340"/>
    <x v="14"/>
    <x v="15"/>
    <x v="0"/>
    <x v="0"/>
    <x v="1"/>
    <x v="3"/>
    <n v="0.31819999999999998"/>
    <n v="0.36"/>
    <n v="0.19400000000000001"/>
    <n v="21"/>
    <n v="108"/>
    <n v="129"/>
  </r>
  <r>
    <n v="341"/>
    <x v="14"/>
    <x v="16"/>
    <x v="0"/>
    <x v="0"/>
    <x v="1"/>
    <x v="10"/>
    <n v="0.33329999999999999"/>
    <n v="0.34"/>
    <n v="0.19400000000000001"/>
    <n v="33"/>
    <n v="95"/>
    <n v="128"/>
  </r>
  <r>
    <n v="342"/>
    <x v="14"/>
    <x v="17"/>
    <x v="0"/>
    <x v="0"/>
    <x v="1"/>
    <x v="3"/>
    <n v="0.30299999999999999"/>
    <n v="0.36"/>
    <n v="0.28360000000000002"/>
    <n v="29"/>
    <n v="54"/>
    <n v="83"/>
  </r>
  <r>
    <n v="343"/>
    <x v="14"/>
    <x v="18"/>
    <x v="0"/>
    <x v="0"/>
    <x v="1"/>
    <x v="11"/>
    <n v="0.28789999999999999"/>
    <n v="0.45"/>
    <n v="0.25369999999999998"/>
    <n v="15"/>
    <n v="69"/>
    <n v="84"/>
  </r>
  <r>
    <n v="344"/>
    <x v="14"/>
    <x v="19"/>
    <x v="0"/>
    <x v="0"/>
    <x v="1"/>
    <x v="3"/>
    <n v="0.30299999999999999"/>
    <n v="0.39"/>
    <n v="0.25369999999999998"/>
    <n v="14"/>
    <n v="60"/>
    <n v="74"/>
  </r>
  <r>
    <n v="345"/>
    <x v="14"/>
    <x v="20"/>
    <x v="0"/>
    <x v="0"/>
    <x v="1"/>
    <x v="3"/>
    <n v="0.30299999999999999"/>
    <n v="0.39"/>
    <n v="0.25369999999999998"/>
    <n v="6"/>
    <n v="35"/>
    <n v="41"/>
  </r>
  <r>
    <n v="346"/>
    <x v="14"/>
    <x v="21"/>
    <x v="0"/>
    <x v="0"/>
    <x v="1"/>
    <x v="3"/>
    <n v="0.30299999999999999"/>
    <n v="0.39"/>
    <n v="0.22389999999999999"/>
    <n v="6"/>
    <n v="51"/>
    <n v="57"/>
  </r>
  <r>
    <n v="347"/>
    <x v="14"/>
    <x v="22"/>
    <x v="0"/>
    <x v="0"/>
    <x v="1"/>
    <x v="11"/>
    <n v="0.31819999999999998"/>
    <n v="0.42"/>
    <n v="0.1045"/>
    <n v="0"/>
    <n v="26"/>
    <n v="26"/>
  </r>
  <r>
    <n v="348"/>
    <x v="14"/>
    <x v="23"/>
    <x v="0"/>
    <x v="0"/>
    <x v="0"/>
    <x v="11"/>
    <n v="0.28789999999999999"/>
    <n v="0.45"/>
    <n v="0.28360000000000002"/>
    <n v="5"/>
    <n v="39"/>
    <n v="44"/>
  </r>
  <r>
    <n v="349"/>
    <x v="15"/>
    <x v="0"/>
    <x v="0"/>
    <x v="1"/>
    <x v="0"/>
    <x v="12"/>
    <n v="0.30299999999999999"/>
    <n v="0.56000000000000005"/>
    <n v="0"/>
    <n v="6"/>
    <n v="33"/>
    <n v="39"/>
  </r>
  <r>
    <n v="350"/>
    <x v="15"/>
    <x v="1"/>
    <x v="0"/>
    <x v="1"/>
    <x v="0"/>
    <x v="12"/>
    <n v="0.2727"/>
    <n v="0.56000000000000005"/>
    <n v="0.1343"/>
    <n v="4"/>
    <n v="19"/>
    <n v="23"/>
  </r>
  <r>
    <n v="351"/>
    <x v="15"/>
    <x v="2"/>
    <x v="0"/>
    <x v="1"/>
    <x v="0"/>
    <x v="12"/>
    <n v="0.28789999999999999"/>
    <n v="0.56000000000000005"/>
    <n v="8.9599999999999999E-2"/>
    <n v="3"/>
    <n v="13"/>
    <n v="16"/>
  </r>
  <r>
    <n v="352"/>
    <x v="15"/>
    <x v="3"/>
    <x v="0"/>
    <x v="1"/>
    <x v="0"/>
    <x v="1"/>
    <n v="0.2727"/>
    <n v="0.69"/>
    <n v="0"/>
    <n v="9"/>
    <n v="6"/>
    <n v="15"/>
  </r>
  <r>
    <n v="353"/>
    <x v="15"/>
    <x v="4"/>
    <x v="0"/>
    <x v="1"/>
    <x v="0"/>
    <x v="12"/>
    <n v="0.2576"/>
    <n v="0.56000000000000005"/>
    <n v="0.16420000000000001"/>
    <n v="0"/>
    <n v="1"/>
    <n v="1"/>
  </r>
  <r>
    <n v="354"/>
    <x v="15"/>
    <x v="5"/>
    <x v="0"/>
    <x v="1"/>
    <x v="1"/>
    <x v="12"/>
    <n v="0.2576"/>
    <n v="0.56000000000000005"/>
    <n v="0.16420000000000001"/>
    <n v="1"/>
    <n v="1"/>
    <n v="2"/>
  </r>
  <r>
    <n v="355"/>
    <x v="15"/>
    <x v="6"/>
    <x v="0"/>
    <x v="1"/>
    <x v="1"/>
    <x v="12"/>
    <n v="0.2576"/>
    <n v="0.56000000000000005"/>
    <n v="0.16420000000000001"/>
    <n v="0"/>
    <n v="1"/>
    <n v="1"/>
  </r>
  <r>
    <n v="356"/>
    <x v="15"/>
    <x v="7"/>
    <x v="0"/>
    <x v="1"/>
    <x v="1"/>
    <x v="0"/>
    <n v="0.21210000000000001"/>
    <n v="0.56000000000000005"/>
    <n v="0.29849999999999999"/>
    <n v="0"/>
    <n v="3"/>
    <n v="3"/>
  </r>
  <r>
    <n v="357"/>
    <x v="15"/>
    <x v="8"/>
    <x v="0"/>
    <x v="1"/>
    <x v="0"/>
    <x v="1"/>
    <n v="0.21210000000000001"/>
    <n v="0.55000000000000004"/>
    <n v="0.28360000000000002"/>
    <n v="0"/>
    <n v="18"/>
    <n v="18"/>
  </r>
  <r>
    <n v="358"/>
    <x v="15"/>
    <x v="9"/>
    <x v="0"/>
    <x v="1"/>
    <x v="0"/>
    <x v="1"/>
    <n v="0.21210000000000001"/>
    <n v="0.51"/>
    <n v="0.25369999999999998"/>
    <n v="3"/>
    <n v="29"/>
    <n v="32"/>
  </r>
  <r>
    <n v="359"/>
    <x v="15"/>
    <x v="10"/>
    <x v="0"/>
    <x v="1"/>
    <x v="0"/>
    <x v="1"/>
    <n v="0.21210000000000001"/>
    <n v="0.51"/>
    <n v="0.28360000000000002"/>
    <n v="8"/>
    <n v="71"/>
    <n v="79"/>
  </r>
  <r>
    <n v="360"/>
    <x v="15"/>
    <x v="11"/>
    <x v="0"/>
    <x v="1"/>
    <x v="0"/>
    <x v="0"/>
    <n v="0.2273"/>
    <n v="0.44"/>
    <n v="0.25369999999999998"/>
    <n v="23"/>
    <n v="70"/>
    <n v="93"/>
  </r>
  <r>
    <n v="361"/>
    <x v="15"/>
    <x v="12"/>
    <x v="0"/>
    <x v="1"/>
    <x v="0"/>
    <x v="0"/>
    <n v="0.21210000000000001"/>
    <n v="0.41"/>
    <n v="0.28360000000000002"/>
    <n v="29"/>
    <n v="75"/>
    <n v="104"/>
  </r>
  <r>
    <n v="362"/>
    <x v="15"/>
    <x v="13"/>
    <x v="0"/>
    <x v="1"/>
    <x v="0"/>
    <x v="12"/>
    <n v="0.2273"/>
    <n v="0.35"/>
    <n v="0.29849999999999999"/>
    <n v="23"/>
    <n v="95"/>
    <n v="118"/>
  </r>
  <r>
    <n v="363"/>
    <x v="15"/>
    <x v="14"/>
    <x v="0"/>
    <x v="1"/>
    <x v="0"/>
    <x v="17"/>
    <n v="0.2727"/>
    <n v="0.36"/>
    <n v="0.25369999999999998"/>
    <n v="22"/>
    <n v="69"/>
    <n v="91"/>
  </r>
  <r>
    <n v="364"/>
    <x v="15"/>
    <x v="15"/>
    <x v="0"/>
    <x v="1"/>
    <x v="0"/>
    <x v="12"/>
    <n v="0.2424"/>
    <n v="0.38"/>
    <n v="0.25369999999999998"/>
    <n v="35"/>
    <n v="78"/>
    <n v="113"/>
  </r>
  <r>
    <n v="365"/>
    <x v="15"/>
    <x v="16"/>
    <x v="0"/>
    <x v="1"/>
    <x v="0"/>
    <x v="0"/>
    <n v="0.2273"/>
    <n v="0.38"/>
    <n v="0.22389999999999999"/>
    <n v="22"/>
    <n v="77"/>
    <n v="99"/>
  </r>
  <r>
    <n v="366"/>
    <x v="15"/>
    <x v="17"/>
    <x v="0"/>
    <x v="1"/>
    <x v="0"/>
    <x v="1"/>
    <n v="0.21210000000000001"/>
    <n v="0.37"/>
    <n v="0.25369999999999998"/>
    <n v="23"/>
    <n v="82"/>
    <n v="105"/>
  </r>
  <r>
    <n v="367"/>
    <x v="15"/>
    <x v="18"/>
    <x v="0"/>
    <x v="1"/>
    <x v="0"/>
    <x v="2"/>
    <n v="0.21210000000000001"/>
    <n v="0.4"/>
    <n v="0.16420000000000001"/>
    <n v="11"/>
    <n v="56"/>
    <n v="67"/>
  </r>
  <r>
    <n v="368"/>
    <x v="15"/>
    <x v="19"/>
    <x v="0"/>
    <x v="1"/>
    <x v="0"/>
    <x v="15"/>
    <n v="0.19700000000000001"/>
    <n v="0.47"/>
    <n v="0.1343"/>
    <n v="14"/>
    <n v="47"/>
    <n v="61"/>
  </r>
  <r>
    <n v="369"/>
    <x v="15"/>
    <x v="20"/>
    <x v="0"/>
    <x v="1"/>
    <x v="0"/>
    <x v="15"/>
    <n v="0.19700000000000001"/>
    <n v="0.47"/>
    <n v="0.16420000000000001"/>
    <n v="7"/>
    <n v="50"/>
    <n v="57"/>
  </r>
  <r>
    <n v="370"/>
    <x v="15"/>
    <x v="21"/>
    <x v="0"/>
    <x v="1"/>
    <x v="0"/>
    <x v="15"/>
    <n v="0.19700000000000001"/>
    <n v="0.51"/>
    <n v="0.16420000000000001"/>
    <n v="6"/>
    <n v="22"/>
    <n v="28"/>
  </r>
  <r>
    <n v="371"/>
    <x v="15"/>
    <x v="22"/>
    <x v="0"/>
    <x v="1"/>
    <x v="1"/>
    <x v="2"/>
    <n v="0.21210000000000001"/>
    <n v="0.49"/>
    <n v="0.1343"/>
    <n v="2"/>
    <n v="19"/>
    <n v="21"/>
  </r>
  <r>
    <n v="372"/>
    <x v="15"/>
    <x v="23"/>
    <x v="0"/>
    <x v="1"/>
    <x v="1"/>
    <x v="2"/>
    <n v="0.2273"/>
    <n v="0.4"/>
    <n v="0.1045"/>
    <n v="0"/>
    <n v="18"/>
    <n v="18"/>
  </r>
  <r>
    <n v="373"/>
    <x v="16"/>
    <x v="0"/>
    <x v="1"/>
    <x v="2"/>
    <x v="1"/>
    <x v="2"/>
    <n v="0.19700000000000001"/>
    <n v="0.47"/>
    <n v="0.22389999999999999"/>
    <n v="1"/>
    <n v="16"/>
    <n v="17"/>
  </r>
  <r>
    <n v="374"/>
    <x v="16"/>
    <x v="1"/>
    <x v="1"/>
    <x v="2"/>
    <x v="1"/>
    <x v="2"/>
    <n v="0.19700000000000001"/>
    <n v="0.44"/>
    <n v="0.19400000000000001"/>
    <n v="1"/>
    <n v="15"/>
    <n v="16"/>
  </r>
  <r>
    <n v="375"/>
    <x v="16"/>
    <x v="2"/>
    <x v="1"/>
    <x v="2"/>
    <x v="1"/>
    <x v="15"/>
    <n v="0.16669999999999999"/>
    <n v="0.43"/>
    <n v="0.25369999999999998"/>
    <n v="0"/>
    <n v="8"/>
    <n v="8"/>
  </r>
  <r>
    <n v="376"/>
    <x v="16"/>
    <x v="3"/>
    <x v="1"/>
    <x v="2"/>
    <x v="1"/>
    <x v="15"/>
    <n v="0.18179999999999999"/>
    <n v="0.43"/>
    <n v="0.19400000000000001"/>
    <n v="0"/>
    <n v="2"/>
    <n v="2"/>
  </r>
  <r>
    <n v="377"/>
    <x v="16"/>
    <x v="4"/>
    <x v="1"/>
    <x v="2"/>
    <x v="1"/>
    <x v="15"/>
    <n v="0.19700000000000001"/>
    <n v="0.43"/>
    <n v="0.1343"/>
    <n v="1"/>
    <n v="2"/>
    <n v="3"/>
  </r>
  <r>
    <n v="378"/>
    <x v="16"/>
    <x v="5"/>
    <x v="1"/>
    <x v="2"/>
    <x v="1"/>
    <x v="15"/>
    <n v="0.19700000000000001"/>
    <n v="0.43"/>
    <n v="0.16420000000000001"/>
    <n v="0"/>
    <n v="1"/>
    <n v="1"/>
  </r>
  <r>
    <n v="379"/>
    <x v="16"/>
    <x v="6"/>
    <x v="1"/>
    <x v="2"/>
    <x v="1"/>
    <x v="15"/>
    <n v="0.18179999999999999"/>
    <n v="0.43"/>
    <n v="0.19400000000000001"/>
    <n v="0"/>
    <n v="5"/>
    <n v="5"/>
  </r>
  <r>
    <n v="380"/>
    <x v="16"/>
    <x v="7"/>
    <x v="1"/>
    <x v="2"/>
    <x v="1"/>
    <x v="13"/>
    <n v="0.18179999999999999"/>
    <n v="0.5"/>
    <n v="0.1343"/>
    <n v="4"/>
    <n v="9"/>
    <n v="13"/>
  </r>
  <r>
    <n v="381"/>
    <x v="16"/>
    <x v="8"/>
    <x v="1"/>
    <x v="2"/>
    <x v="1"/>
    <x v="13"/>
    <n v="0.1515"/>
    <n v="0.47"/>
    <n v="0.22389999999999999"/>
    <n v="3"/>
    <n v="30"/>
    <n v="33"/>
  </r>
  <r>
    <n v="382"/>
    <x v="16"/>
    <x v="9"/>
    <x v="1"/>
    <x v="2"/>
    <x v="1"/>
    <x v="13"/>
    <n v="0.1515"/>
    <n v="0.47"/>
    <n v="0.22389999999999999"/>
    <n v="8"/>
    <n v="39"/>
    <n v="47"/>
  </r>
  <r>
    <n v="383"/>
    <x v="16"/>
    <x v="10"/>
    <x v="1"/>
    <x v="2"/>
    <x v="1"/>
    <x v="13"/>
    <n v="0.1515"/>
    <n v="0.5"/>
    <n v="0.25369999999999998"/>
    <n v="7"/>
    <n v="50"/>
    <n v="57"/>
  </r>
  <r>
    <n v="384"/>
    <x v="16"/>
    <x v="11"/>
    <x v="1"/>
    <x v="2"/>
    <x v="1"/>
    <x v="13"/>
    <n v="0.1515"/>
    <n v="0.55000000000000004"/>
    <n v="0.19400000000000001"/>
    <n v="9"/>
    <n v="55"/>
    <n v="64"/>
  </r>
  <r>
    <n v="385"/>
    <x v="16"/>
    <x v="12"/>
    <x v="1"/>
    <x v="2"/>
    <x v="1"/>
    <x v="15"/>
    <n v="0.19700000000000001"/>
    <n v="0.47"/>
    <n v="0.1343"/>
    <n v="10"/>
    <n v="70"/>
    <n v="80"/>
  </r>
  <r>
    <n v="386"/>
    <x v="16"/>
    <x v="13"/>
    <x v="1"/>
    <x v="2"/>
    <x v="1"/>
    <x v="15"/>
    <n v="0.19700000000000001"/>
    <n v="0.47"/>
    <n v="0.1343"/>
    <n v="13"/>
    <n v="80"/>
    <n v="93"/>
  </r>
  <r>
    <n v="387"/>
    <x v="16"/>
    <x v="14"/>
    <x v="1"/>
    <x v="2"/>
    <x v="1"/>
    <x v="15"/>
    <n v="0.21210000000000001"/>
    <n v="0.43"/>
    <n v="0.1045"/>
    <n v="12"/>
    <n v="74"/>
    <n v="86"/>
  </r>
  <r>
    <n v="388"/>
    <x v="16"/>
    <x v="15"/>
    <x v="1"/>
    <x v="2"/>
    <x v="1"/>
    <x v="2"/>
    <n v="0.21210000000000001"/>
    <n v="0.47"/>
    <n v="0.16420000000000001"/>
    <n v="21"/>
    <n v="72"/>
    <n v="93"/>
  </r>
  <r>
    <n v="389"/>
    <x v="16"/>
    <x v="16"/>
    <x v="1"/>
    <x v="2"/>
    <x v="1"/>
    <x v="2"/>
    <n v="0.21210000000000001"/>
    <n v="0.47"/>
    <n v="0.16420000000000001"/>
    <n v="6"/>
    <n v="76"/>
    <n v="82"/>
  </r>
  <r>
    <n v="390"/>
    <x v="16"/>
    <x v="17"/>
    <x v="1"/>
    <x v="2"/>
    <x v="0"/>
    <x v="2"/>
    <n v="0.19700000000000001"/>
    <n v="0.51"/>
    <n v="0.19400000000000001"/>
    <n v="4"/>
    <n v="67"/>
    <n v="71"/>
  </r>
  <r>
    <n v="391"/>
    <x v="16"/>
    <x v="18"/>
    <x v="1"/>
    <x v="2"/>
    <x v="1"/>
    <x v="15"/>
    <n v="0.16669999999999999"/>
    <n v="0.55000000000000004"/>
    <n v="0.25369999999999998"/>
    <n v="7"/>
    <n v="85"/>
    <n v="92"/>
  </r>
  <r>
    <n v="392"/>
    <x v="16"/>
    <x v="19"/>
    <x v="1"/>
    <x v="2"/>
    <x v="2"/>
    <x v="15"/>
    <n v="0.18179999999999999"/>
    <n v="0.59"/>
    <n v="0.19400000000000001"/>
    <n v="2"/>
    <n v="58"/>
    <n v="60"/>
  </r>
  <r>
    <n v="393"/>
    <x v="16"/>
    <x v="20"/>
    <x v="1"/>
    <x v="2"/>
    <x v="2"/>
    <x v="13"/>
    <n v="0.1515"/>
    <n v="0.8"/>
    <n v="0.19400000000000001"/>
    <n v="4"/>
    <n v="29"/>
    <n v="33"/>
  </r>
  <r>
    <n v="394"/>
    <x v="16"/>
    <x v="21"/>
    <x v="1"/>
    <x v="2"/>
    <x v="2"/>
    <x v="13"/>
    <n v="0.1515"/>
    <n v="0.8"/>
    <n v="0.19400000000000001"/>
    <n v="3"/>
    <n v="24"/>
    <n v="27"/>
  </r>
  <r>
    <n v="395"/>
    <x v="16"/>
    <x v="22"/>
    <x v="1"/>
    <x v="2"/>
    <x v="2"/>
    <x v="14"/>
    <n v="0.1212"/>
    <n v="0.93"/>
    <n v="0.25369999999999998"/>
    <n v="0"/>
    <n v="13"/>
    <n v="13"/>
  </r>
  <r>
    <n v="396"/>
    <x v="16"/>
    <x v="23"/>
    <x v="1"/>
    <x v="2"/>
    <x v="2"/>
    <x v="13"/>
    <n v="0.13639999999999999"/>
    <n v="0.86"/>
    <n v="0.28360000000000002"/>
    <n v="1"/>
    <n v="3"/>
    <n v="4"/>
  </r>
  <r>
    <n v="397"/>
    <x v="17"/>
    <x v="12"/>
    <x v="0"/>
    <x v="3"/>
    <x v="1"/>
    <x v="2"/>
    <n v="0.18179999999999999"/>
    <n v="0.86"/>
    <n v="0.32840000000000003"/>
    <n v="0"/>
    <n v="3"/>
    <n v="3"/>
  </r>
  <r>
    <n v="398"/>
    <x v="17"/>
    <x v="13"/>
    <x v="0"/>
    <x v="3"/>
    <x v="1"/>
    <x v="2"/>
    <n v="0.19700000000000001"/>
    <n v="0.86"/>
    <n v="0.22389999999999999"/>
    <n v="0"/>
    <n v="22"/>
    <n v="22"/>
  </r>
  <r>
    <n v="399"/>
    <x v="17"/>
    <x v="14"/>
    <x v="0"/>
    <x v="3"/>
    <x v="1"/>
    <x v="1"/>
    <n v="0.2273"/>
    <n v="0.8"/>
    <n v="0.16420000000000001"/>
    <n v="2"/>
    <n v="26"/>
    <n v="28"/>
  </r>
  <r>
    <n v="400"/>
    <x v="17"/>
    <x v="15"/>
    <x v="0"/>
    <x v="3"/>
    <x v="1"/>
    <x v="1"/>
    <n v="0.2273"/>
    <n v="0.87"/>
    <n v="0.16420000000000001"/>
    <n v="3"/>
    <n v="32"/>
    <n v="35"/>
  </r>
  <r>
    <n v="401"/>
    <x v="17"/>
    <x v="16"/>
    <x v="0"/>
    <x v="3"/>
    <x v="1"/>
    <x v="1"/>
    <n v="0.2273"/>
    <n v="0.87"/>
    <n v="0.19400000000000001"/>
    <n v="0"/>
    <n v="61"/>
    <n v="61"/>
  </r>
  <r>
    <n v="402"/>
    <x v="17"/>
    <x v="17"/>
    <x v="0"/>
    <x v="3"/>
    <x v="1"/>
    <x v="1"/>
    <n v="0.2273"/>
    <n v="0.82"/>
    <n v="0.19400000000000001"/>
    <n v="1"/>
    <n v="124"/>
    <n v="125"/>
  </r>
  <r>
    <n v="403"/>
    <x v="17"/>
    <x v="18"/>
    <x v="0"/>
    <x v="3"/>
    <x v="1"/>
    <x v="1"/>
    <n v="0.2273"/>
    <n v="0.8"/>
    <n v="0.16420000000000001"/>
    <n v="1"/>
    <n v="132"/>
    <n v="133"/>
  </r>
  <r>
    <n v="404"/>
    <x v="17"/>
    <x v="19"/>
    <x v="0"/>
    <x v="3"/>
    <x v="1"/>
    <x v="1"/>
    <n v="0.2273"/>
    <n v="0.8"/>
    <n v="0.1343"/>
    <n v="1"/>
    <n v="98"/>
    <n v="99"/>
  </r>
  <r>
    <n v="405"/>
    <x v="17"/>
    <x v="20"/>
    <x v="0"/>
    <x v="3"/>
    <x v="1"/>
    <x v="1"/>
    <n v="0.2727"/>
    <n v="0.87"/>
    <n v="0"/>
    <n v="0"/>
    <n v="83"/>
    <n v="83"/>
  </r>
  <r>
    <n v="406"/>
    <x v="17"/>
    <x v="21"/>
    <x v="0"/>
    <x v="3"/>
    <x v="1"/>
    <x v="1"/>
    <n v="0.2424"/>
    <n v="0.93"/>
    <n v="0.1045"/>
    <n v="0"/>
    <n v="41"/>
    <n v="41"/>
  </r>
  <r>
    <n v="407"/>
    <x v="17"/>
    <x v="22"/>
    <x v="0"/>
    <x v="3"/>
    <x v="1"/>
    <x v="1"/>
    <n v="0.2576"/>
    <n v="0.93"/>
    <n v="8.9599999999999999E-2"/>
    <n v="0"/>
    <n v="33"/>
    <n v="33"/>
  </r>
  <r>
    <n v="408"/>
    <x v="17"/>
    <x v="23"/>
    <x v="0"/>
    <x v="3"/>
    <x v="1"/>
    <x v="1"/>
    <n v="0.2727"/>
    <n v="0.93"/>
    <n v="0"/>
    <n v="1"/>
    <n v="19"/>
    <n v="20"/>
  </r>
  <r>
    <n v="409"/>
    <x v="18"/>
    <x v="0"/>
    <x v="0"/>
    <x v="4"/>
    <x v="1"/>
    <x v="1"/>
    <n v="0.2727"/>
    <n v="0.93"/>
    <n v="0"/>
    <n v="0"/>
    <n v="3"/>
    <n v="3"/>
  </r>
  <r>
    <n v="410"/>
    <x v="18"/>
    <x v="1"/>
    <x v="0"/>
    <x v="4"/>
    <x v="2"/>
    <x v="1"/>
    <n v="0.2273"/>
    <n v="0.93"/>
    <n v="0.1343"/>
    <n v="1"/>
    <n v="6"/>
    <n v="7"/>
  </r>
  <r>
    <n v="411"/>
    <x v="18"/>
    <x v="2"/>
    <x v="0"/>
    <x v="4"/>
    <x v="2"/>
    <x v="1"/>
    <n v="0.2273"/>
    <n v="0.93"/>
    <n v="0.1343"/>
    <n v="0"/>
    <n v="3"/>
    <n v="3"/>
  </r>
  <r>
    <n v="412"/>
    <x v="18"/>
    <x v="4"/>
    <x v="0"/>
    <x v="4"/>
    <x v="2"/>
    <x v="1"/>
    <n v="0.2273"/>
    <n v="0.93"/>
    <n v="0.1343"/>
    <n v="1"/>
    <n v="1"/>
    <n v="2"/>
  </r>
  <r>
    <n v="413"/>
    <x v="18"/>
    <x v="5"/>
    <x v="0"/>
    <x v="4"/>
    <x v="1"/>
    <x v="1"/>
    <n v="0.2576"/>
    <n v="0.93"/>
    <n v="8.9599999999999999E-2"/>
    <n v="0"/>
    <n v="7"/>
    <n v="7"/>
  </r>
  <r>
    <n v="414"/>
    <x v="18"/>
    <x v="6"/>
    <x v="0"/>
    <x v="4"/>
    <x v="1"/>
    <x v="1"/>
    <n v="0.2576"/>
    <n v="0.93"/>
    <n v="8.9599999999999999E-2"/>
    <n v="0"/>
    <n v="32"/>
    <n v="32"/>
  </r>
  <r>
    <n v="415"/>
    <x v="18"/>
    <x v="7"/>
    <x v="0"/>
    <x v="4"/>
    <x v="1"/>
    <x v="0"/>
    <n v="0.2576"/>
    <n v="0.92"/>
    <n v="0.1045"/>
    <n v="1"/>
    <n v="89"/>
    <n v="90"/>
  </r>
  <r>
    <n v="416"/>
    <x v="18"/>
    <x v="8"/>
    <x v="0"/>
    <x v="4"/>
    <x v="1"/>
    <x v="0"/>
    <n v="0.2576"/>
    <n v="0.93"/>
    <n v="0.1045"/>
    <n v="1"/>
    <n v="196"/>
    <n v="197"/>
  </r>
  <r>
    <n v="417"/>
    <x v="18"/>
    <x v="9"/>
    <x v="0"/>
    <x v="4"/>
    <x v="1"/>
    <x v="0"/>
    <n v="0.2576"/>
    <n v="0.93"/>
    <n v="0.1045"/>
    <n v="2"/>
    <n v="107"/>
    <n v="109"/>
  </r>
  <r>
    <n v="418"/>
    <x v="18"/>
    <x v="10"/>
    <x v="0"/>
    <x v="4"/>
    <x v="1"/>
    <x v="12"/>
    <n v="0.2727"/>
    <n v="0.93"/>
    <n v="0.1343"/>
    <n v="1"/>
    <n v="46"/>
    <n v="47"/>
  </r>
  <r>
    <n v="419"/>
    <x v="18"/>
    <x v="11"/>
    <x v="0"/>
    <x v="4"/>
    <x v="1"/>
    <x v="17"/>
    <n v="0.30299999999999999"/>
    <n v="0.87"/>
    <n v="8.9599999999999999E-2"/>
    <n v="5"/>
    <n v="47"/>
    <n v="52"/>
  </r>
  <r>
    <n v="420"/>
    <x v="18"/>
    <x v="12"/>
    <x v="0"/>
    <x v="4"/>
    <x v="1"/>
    <x v="11"/>
    <n v="0.31819999999999998"/>
    <n v="0.81"/>
    <n v="8.9599999999999999E-2"/>
    <n v="5"/>
    <n v="65"/>
    <n v="70"/>
  </r>
  <r>
    <n v="421"/>
    <x v="18"/>
    <x v="13"/>
    <x v="0"/>
    <x v="4"/>
    <x v="0"/>
    <x v="9"/>
    <n v="0.40910000000000002"/>
    <n v="0.62"/>
    <n v="0.28360000000000002"/>
    <n v="11"/>
    <n v="67"/>
    <n v="78"/>
  </r>
  <r>
    <n v="422"/>
    <x v="18"/>
    <x v="14"/>
    <x v="0"/>
    <x v="4"/>
    <x v="0"/>
    <x v="9"/>
    <n v="0.40910000000000002"/>
    <n v="0.57999999999999996"/>
    <n v="0.25369999999999998"/>
    <n v="7"/>
    <n v="68"/>
    <n v="75"/>
  </r>
  <r>
    <n v="423"/>
    <x v="18"/>
    <x v="15"/>
    <x v="0"/>
    <x v="4"/>
    <x v="0"/>
    <x v="9"/>
    <n v="0.40910000000000002"/>
    <n v="0.54"/>
    <n v="0.28360000000000002"/>
    <n v="4"/>
    <n v="78"/>
    <n v="82"/>
  </r>
  <r>
    <n v="424"/>
    <x v="18"/>
    <x v="16"/>
    <x v="0"/>
    <x v="4"/>
    <x v="0"/>
    <x v="4"/>
    <n v="0.39389999999999997"/>
    <n v="0.57999999999999996"/>
    <n v="0.3881"/>
    <n v="10"/>
    <n v="94"/>
    <n v="104"/>
  </r>
  <r>
    <n v="425"/>
    <x v="18"/>
    <x v="17"/>
    <x v="0"/>
    <x v="4"/>
    <x v="0"/>
    <x v="5"/>
    <n v="0.33329999999999999"/>
    <n v="0.56999999999999995"/>
    <n v="0.32840000000000003"/>
    <n v="7"/>
    <n v="190"/>
    <n v="197"/>
  </r>
  <r>
    <n v="426"/>
    <x v="18"/>
    <x v="18"/>
    <x v="0"/>
    <x v="4"/>
    <x v="0"/>
    <x v="10"/>
    <n v="0.31819999999999998"/>
    <n v="0.61"/>
    <n v="0.28360000000000002"/>
    <n v="5"/>
    <n v="156"/>
    <n v="161"/>
  </r>
  <r>
    <n v="427"/>
    <x v="18"/>
    <x v="19"/>
    <x v="0"/>
    <x v="4"/>
    <x v="0"/>
    <x v="3"/>
    <n v="0.28789999999999999"/>
    <n v="0.56999999999999995"/>
    <n v="0.41789999999999999"/>
    <n v="4"/>
    <n v="108"/>
    <n v="112"/>
  </r>
  <r>
    <n v="428"/>
    <x v="18"/>
    <x v="20"/>
    <x v="0"/>
    <x v="4"/>
    <x v="0"/>
    <x v="3"/>
    <n v="0.30299999999999999"/>
    <n v="0.49"/>
    <n v="0.29849999999999999"/>
    <n v="2"/>
    <n v="74"/>
    <n v="76"/>
  </r>
  <r>
    <n v="429"/>
    <x v="18"/>
    <x v="21"/>
    <x v="0"/>
    <x v="4"/>
    <x v="0"/>
    <x v="3"/>
    <n v="0.28789999999999999"/>
    <n v="0.49"/>
    <n v="0.41789999999999999"/>
    <n v="4"/>
    <n v="55"/>
    <n v="59"/>
  </r>
  <r>
    <n v="430"/>
    <x v="18"/>
    <x v="22"/>
    <x v="0"/>
    <x v="4"/>
    <x v="0"/>
    <x v="11"/>
    <n v="0.30299999999999999"/>
    <n v="0.52"/>
    <n v="0.16420000000000001"/>
    <n v="6"/>
    <n v="53"/>
    <n v="59"/>
  </r>
  <r>
    <n v="431"/>
    <x v="18"/>
    <x v="23"/>
    <x v="0"/>
    <x v="4"/>
    <x v="0"/>
    <x v="11"/>
    <n v="0.2727"/>
    <n v="0.52"/>
    <n v="0.4627"/>
    <n v="1"/>
    <n v="27"/>
    <n v="28"/>
  </r>
  <r>
    <n v="432"/>
    <x v="19"/>
    <x v="0"/>
    <x v="0"/>
    <x v="5"/>
    <x v="0"/>
    <x v="12"/>
    <n v="0.2273"/>
    <n v="0.56000000000000005"/>
    <n v="0.3881"/>
    <n v="5"/>
    <n v="8"/>
    <n v="13"/>
  </r>
  <r>
    <n v="433"/>
    <x v="19"/>
    <x v="1"/>
    <x v="0"/>
    <x v="5"/>
    <x v="0"/>
    <x v="12"/>
    <n v="0.2727"/>
    <n v="0.56000000000000005"/>
    <n v="0"/>
    <n v="2"/>
    <n v="3"/>
    <n v="5"/>
  </r>
  <r>
    <n v="434"/>
    <x v="19"/>
    <x v="2"/>
    <x v="0"/>
    <x v="5"/>
    <x v="0"/>
    <x v="12"/>
    <n v="0.2727"/>
    <n v="0.56000000000000005"/>
    <n v="0"/>
    <n v="0"/>
    <n v="2"/>
    <n v="2"/>
  </r>
  <r>
    <n v="435"/>
    <x v="19"/>
    <x v="3"/>
    <x v="0"/>
    <x v="5"/>
    <x v="0"/>
    <x v="12"/>
    <n v="0.2576"/>
    <n v="0.56000000000000005"/>
    <n v="0.16420000000000001"/>
    <n v="0"/>
    <n v="1"/>
    <n v="1"/>
  </r>
  <r>
    <n v="436"/>
    <x v="19"/>
    <x v="4"/>
    <x v="0"/>
    <x v="5"/>
    <x v="0"/>
    <x v="12"/>
    <n v="0.2576"/>
    <n v="0.56000000000000005"/>
    <n v="0.16420000000000001"/>
    <n v="0"/>
    <n v="1"/>
    <n v="1"/>
  </r>
  <r>
    <n v="437"/>
    <x v="19"/>
    <x v="5"/>
    <x v="0"/>
    <x v="5"/>
    <x v="0"/>
    <x v="0"/>
    <n v="0.2273"/>
    <n v="0.6"/>
    <n v="0.22389999999999999"/>
    <n v="0"/>
    <n v="6"/>
    <n v="6"/>
  </r>
  <r>
    <n v="438"/>
    <x v="19"/>
    <x v="6"/>
    <x v="0"/>
    <x v="5"/>
    <x v="0"/>
    <x v="1"/>
    <n v="0.21210000000000001"/>
    <n v="0.6"/>
    <n v="0.22389999999999999"/>
    <n v="0"/>
    <n v="35"/>
    <n v="35"/>
  </r>
  <r>
    <n v="439"/>
    <x v="19"/>
    <x v="7"/>
    <x v="0"/>
    <x v="5"/>
    <x v="0"/>
    <x v="1"/>
    <n v="0.21210000000000001"/>
    <n v="0.55000000000000004"/>
    <n v="0.22389999999999999"/>
    <n v="1"/>
    <n v="100"/>
    <n v="101"/>
  </r>
  <r>
    <n v="440"/>
    <x v="19"/>
    <x v="8"/>
    <x v="0"/>
    <x v="5"/>
    <x v="0"/>
    <x v="1"/>
    <n v="0.21210000000000001"/>
    <n v="0.55000000000000004"/>
    <n v="0.28360000000000002"/>
    <n v="2"/>
    <n v="247"/>
    <n v="249"/>
  </r>
  <r>
    <n v="441"/>
    <x v="19"/>
    <x v="9"/>
    <x v="0"/>
    <x v="5"/>
    <x v="1"/>
    <x v="0"/>
    <n v="0.2273"/>
    <n v="0.52"/>
    <n v="0.22389999999999999"/>
    <n v="3"/>
    <n v="140"/>
    <n v="143"/>
  </r>
  <r>
    <n v="442"/>
    <x v="19"/>
    <x v="10"/>
    <x v="0"/>
    <x v="5"/>
    <x v="0"/>
    <x v="12"/>
    <n v="0.2273"/>
    <n v="0.48"/>
    <n v="0.29849999999999999"/>
    <n v="1"/>
    <n v="56"/>
    <n v="57"/>
  </r>
  <r>
    <n v="443"/>
    <x v="19"/>
    <x v="11"/>
    <x v="0"/>
    <x v="5"/>
    <x v="1"/>
    <x v="17"/>
    <n v="0.2727"/>
    <n v="0.45"/>
    <n v="0.16420000000000001"/>
    <n v="5"/>
    <n v="63"/>
    <n v="68"/>
  </r>
  <r>
    <n v="444"/>
    <x v="19"/>
    <x v="12"/>
    <x v="0"/>
    <x v="5"/>
    <x v="1"/>
    <x v="11"/>
    <n v="0.33329999999999999"/>
    <n v="0.42"/>
    <n v="0"/>
    <n v="7"/>
    <n v="77"/>
    <n v="84"/>
  </r>
  <r>
    <n v="445"/>
    <x v="19"/>
    <x v="13"/>
    <x v="0"/>
    <x v="5"/>
    <x v="1"/>
    <x v="17"/>
    <n v="0.28789999999999999"/>
    <n v="0.45"/>
    <n v="0.1045"/>
    <n v="12"/>
    <n v="86"/>
    <n v="98"/>
  </r>
  <r>
    <n v="446"/>
    <x v="19"/>
    <x v="14"/>
    <x v="0"/>
    <x v="5"/>
    <x v="1"/>
    <x v="11"/>
    <n v="0.30299999999999999"/>
    <n v="0.45"/>
    <n v="0.1343"/>
    <n v="6"/>
    <n v="75"/>
    <n v="81"/>
  </r>
  <r>
    <n v="447"/>
    <x v="19"/>
    <x v="15"/>
    <x v="0"/>
    <x v="5"/>
    <x v="1"/>
    <x v="3"/>
    <n v="0.31819999999999998"/>
    <n v="0.45"/>
    <n v="0.19400000000000001"/>
    <n v="8"/>
    <n v="62"/>
    <n v="70"/>
  </r>
  <r>
    <n v="448"/>
    <x v="19"/>
    <x v="16"/>
    <x v="0"/>
    <x v="5"/>
    <x v="1"/>
    <x v="11"/>
    <n v="0.30299999999999999"/>
    <n v="0.49"/>
    <n v="0.1343"/>
    <n v="8"/>
    <n v="83"/>
    <n v="91"/>
  </r>
  <r>
    <n v="449"/>
    <x v="19"/>
    <x v="17"/>
    <x v="0"/>
    <x v="5"/>
    <x v="1"/>
    <x v="11"/>
    <n v="0.31819999999999998"/>
    <n v="0.49"/>
    <n v="0.1045"/>
    <n v="8"/>
    <n v="207"/>
    <n v="215"/>
  </r>
  <r>
    <n v="450"/>
    <x v="19"/>
    <x v="18"/>
    <x v="0"/>
    <x v="5"/>
    <x v="1"/>
    <x v="12"/>
    <n v="0.2576"/>
    <n v="0.56000000000000005"/>
    <n v="0.19400000000000001"/>
    <n v="1"/>
    <n v="184"/>
    <n v="185"/>
  </r>
  <r>
    <n v="451"/>
    <x v="19"/>
    <x v="19"/>
    <x v="0"/>
    <x v="5"/>
    <x v="0"/>
    <x v="12"/>
    <n v="0.2273"/>
    <n v="0.56000000000000005"/>
    <n v="0.32840000000000003"/>
    <n v="6"/>
    <n v="146"/>
    <n v="152"/>
  </r>
  <r>
    <n v="452"/>
    <x v="19"/>
    <x v="20"/>
    <x v="0"/>
    <x v="5"/>
    <x v="1"/>
    <x v="12"/>
    <n v="0.2424"/>
    <n v="0.6"/>
    <n v="0.28360000000000002"/>
    <n v="2"/>
    <n v="124"/>
    <n v="126"/>
  </r>
  <r>
    <n v="453"/>
    <x v="19"/>
    <x v="21"/>
    <x v="0"/>
    <x v="5"/>
    <x v="1"/>
    <x v="0"/>
    <n v="0.2273"/>
    <n v="0.6"/>
    <n v="0.25369999999999998"/>
    <n v="3"/>
    <n v="54"/>
    <n v="57"/>
  </r>
  <r>
    <n v="454"/>
    <x v="19"/>
    <x v="22"/>
    <x v="0"/>
    <x v="5"/>
    <x v="1"/>
    <x v="0"/>
    <n v="0.21210000000000001"/>
    <n v="0.65"/>
    <n v="0.28360000000000002"/>
    <n v="0"/>
    <n v="56"/>
    <n v="56"/>
  </r>
  <r>
    <n v="455"/>
    <x v="19"/>
    <x v="23"/>
    <x v="0"/>
    <x v="5"/>
    <x v="1"/>
    <x v="0"/>
    <n v="0.21210000000000001"/>
    <n v="0.65"/>
    <n v="0.32840000000000003"/>
    <n v="3"/>
    <n v="28"/>
    <n v="31"/>
  </r>
  <r>
    <n v="456"/>
    <x v="20"/>
    <x v="0"/>
    <x v="0"/>
    <x v="6"/>
    <x v="1"/>
    <x v="0"/>
    <n v="0.2273"/>
    <n v="0.7"/>
    <n v="0.25369999999999998"/>
    <n v="1"/>
    <n v="20"/>
    <n v="21"/>
  </r>
  <r>
    <n v="457"/>
    <x v="20"/>
    <x v="1"/>
    <x v="0"/>
    <x v="6"/>
    <x v="1"/>
    <x v="0"/>
    <n v="0.2273"/>
    <n v="0.7"/>
    <n v="0.25369999999999998"/>
    <n v="0"/>
    <n v="6"/>
    <n v="6"/>
  </r>
  <r>
    <n v="458"/>
    <x v="20"/>
    <x v="2"/>
    <x v="0"/>
    <x v="6"/>
    <x v="2"/>
    <x v="0"/>
    <n v="0.2424"/>
    <n v="0.75"/>
    <n v="0.16420000000000001"/>
    <n v="0"/>
    <n v="2"/>
    <n v="2"/>
  </r>
  <r>
    <n v="459"/>
    <x v="20"/>
    <x v="3"/>
    <x v="0"/>
    <x v="6"/>
    <x v="2"/>
    <x v="1"/>
    <n v="0.21210000000000001"/>
    <n v="0.8"/>
    <n v="0.29849999999999999"/>
    <n v="0"/>
    <n v="1"/>
    <n v="1"/>
  </r>
  <r>
    <n v="460"/>
    <x v="20"/>
    <x v="4"/>
    <x v="0"/>
    <x v="6"/>
    <x v="1"/>
    <x v="1"/>
    <n v="0.2576"/>
    <n v="0.87"/>
    <n v="8.9599999999999999E-2"/>
    <n v="0"/>
    <n v="1"/>
    <n v="1"/>
  </r>
  <r>
    <n v="461"/>
    <x v="20"/>
    <x v="5"/>
    <x v="0"/>
    <x v="6"/>
    <x v="0"/>
    <x v="0"/>
    <n v="0.19700000000000001"/>
    <n v="0.6"/>
    <n v="0.41789999999999999"/>
    <n v="1"/>
    <n v="4"/>
    <n v="5"/>
  </r>
  <r>
    <n v="462"/>
    <x v="20"/>
    <x v="6"/>
    <x v="0"/>
    <x v="6"/>
    <x v="0"/>
    <x v="1"/>
    <n v="0.21210000000000001"/>
    <n v="0.55000000000000004"/>
    <n v="0.25369999999999998"/>
    <n v="0"/>
    <n v="27"/>
    <n v="27"/>
  </r>
  <r>
    <n v="463"/>
    <x v="20"/>
    <x v="7"/>
    <x v="0"/>
    <x v="6"/>
    <x v="0"/>
    <x v="2"/>
    <n v="0.18179999999999999"/>
    <n v="0.51"/>
    <n v="0.28360000000000002"/>
    <n v="2"/>
    <n v="66"/>
    <n v="68"/>
  </r>
  <r>
    <n v="464"/>
    <x v="20"/>
    <x v="8"/>
    <x v="0"/>
    <x v="6"/>
    <x v="0"/>
    <x v="2"/>
    <n v="0.18179999999999999"/>
    <n v="0.47"/>
    <n v="0.32840000000000003"/>
    <n v="7"/>
    <n v="210"/>
    <n v="217"/>
  </r>
  <r>
    <n v="465"/>
    <x v="20"/>
    <x v="9"/>
    <x v="0"/>
    <x v="6"/>
    <x v="0"/>
    <x v="2"/>
    <n v="0.18179999999999999"/>
    <n v="0.51"/>
    <n v="0.35820000000000002"/>
    <n v="7"/>
    <n v="159"/>
    <n v="166"/>
  </r>
  <r>
    <n v="466"/>
    <x v="20"/>
    <x v="10"/>
    <x v="0"/>
    <x v="6"/>
    <x v="0"/>
    <x v="2"/>
    <n v="0.16669999999999999"/>
    <n v="0.47"/>
    <n v="0.4627"/>
    <n v="6"/>
    <n v="57"/>
    <n v="63"/>
  </r>
  <r>
    <n v="467"/>
    <x v="20"/>
    <x v="11"/>
    <x v="0"/>
    <x v="6"/>
    <x v="0"/>
    <x v="1"/>
    <n v="0.18179999999999999"/>
    <n v="0.41"/>
    <n v="0.4627"/>
    <n v="6"/>
    <n v="53"/>
    <n v="59"/>
  </r>
  <r>
    <n v="468"/>
    <x v="20"/>
    <x v="12"/>
    <x v="0"/>
    <x v="6"/>
    <x v="0"/>
    <x v="1"/>
    <n v="0.18179999999999999"/>
    <n v="0.27"/>
    <n v="0.58209999999999995"/>
    <n v="11"/>
    <n v="67"/>
    <n v="78"/>
  </r>
  <r>
    <n v="469"/>
    <x v="20"/>
    <x v="13"/>
    <x v="0"/>
    <x v="6"/>
    <x v="0"/>
    <x v="2"/>
    <n v="0.1515"/>
    <n v="0.21"/>
    <n v="0.58209999999999995"/>
    <n v="8"/>
    <n v="65"/>
    <n v="73"/>
  </r>
  <r>
    <n v="470"/>
    <x v="20"/>
    <x v="14"/>
    <x v="0"/>
    <x v="6"/>
    <x v="0"/>
    <x v="2"/>
    <n v="0.1515"/>
    <n v="0.25"/>
    <n v="0.52239999999999998"/>
    <n v="6"/>
    <n v="56"/>
    <n v="62"/>
  </r>
  <r>
    <n v="471"/>
    <x v="20"/>
    <x v="15"/>
    <x v="0"/>
    <x v="6"/>
    <x v="0"/>
    <x v="13"/>
    <n v="0.1212"/>
    <n v="0.26"/>
    <n v="0.44779999999999998"/>
    <n v="4"/>
    <n v="61"/>
    <n v="65"/>
  </r>
  <r>
    <n v="472"/>
    <x v="20"/>
    <x v="16"/>
    <x v="0"/>
    <x v="6"/>
    <x v="0"/>
    <x v="13"/>
    <n v="0.13639999999999999"/>
    <n v="0.26"/>
    <n v="0.35820000000000002"/>
    <n v="0"/>
    <n v="97"/>
    <n v="97"/>
  </r>
  <r>
    <n v="473"/>
    <x v="20"/>
    <x v="17"/>
    <x v="0"/>
    <x v="6"/>
    <x v="0"/>
    <x v="14"/>
    <n v="0.1212"/>
    <n v="0.28000000000000003"/>
    <n v="0.35820000000000002"/>
    <n v="10"/>
    <n v="151"/>
    <n v="161"/>
  </r>
  <r>
    <n v="474"/>
    <x v="20"/>
    <x v="18"/>
    <x v="0"/>
    <x v="6"/>
    <x v="0"/>
    <x v="16"/>
    <n v="0.1212"/>
    <n v="0.3"/>
    <n v="0.25369999999999998"/>
    <n v="1"/>
    <n v="119"/>
    <n v="120"/>
  </r>
  <r>
    <n v="475"/>
    <x v="20"/>
    <x v="19"/>
    <x v="0"/>
    <x v="6"/>
    <x v="0"/>
    <x v="16"/>
    <n v="0.1061"/>
    <n v="0.3"/>
    <n v="0.32840000000000003"/>
    <n v="3"/>
    <n v="93"/>
    <n v="96"/>
  </r>
  <r>
    <n v="476"/>
    <x v="20"/>
    <x v="20"/>
    <x v="0"/>
    <x v="6"/>
    <x v="0"/>
    <x v="18"/>
    <n v="7.5800000000000006E-2"/>
    <n v="0.33"/>
    <n v="0.41789999999999999"/>
    <n v="1"/>
    <n v="52"/>
    <n v="53"/>
  </r>
  <r>
    <n v="477"/>
    <x v="20"/>
    <x v="21"/>
    <x v="0"/>
    <x v="6"/>
    <x v="0"/>
    <x v="19"/>
    <n v="7.5800000000000006E-2"/>
    <n v="0.38"/>
    <n v="0.28360000000000002"/>
    <n v="0"/>
    <n v="41"/>
    <n v="41"/>
  </r>
  <r>
    <n v="478"/>
    <x v="20"/>
    <x v="22"/>
    <x v="0"/>
    <x v="6"/>
    <x v="0"/>
    <x v="20"/>
    <n v="3.0300000000000001E-2"/>
    <n v="0.41"/>
    <n v="0.3881"/>
    <n v="1"/>
    <n v="33"/>
    <n v="34"/>
  </r>
  <r>
    <n v="479"/>
    <x v="20"/>
    <x v="23"/>
    <x v="0"/>
    <x v="6"/>
    <x v="0"/>
    <x v="20"/>
    <n v="4.5499999999999999E-2"/>
    <n v="0.38"/>
    <n v="0.32840000000000003"/>
    <n v="0"/>
    <n v="27"/>
    <n v="27"/>
  </r>
  <r>
    <n v="480"/>
    <x v="21"/>
    <x v="0"/>
    <x v="0"/>
    <x v="0"/>
    <x v="0"/>
    <x v="21"/>
    <n v="3.0300000000000001E-2"/>
    <n v="0.45"/>
    <n v="0.25369999999999998"/>
    <n v="0"/>
    <n v="13"/>
    <n v="13"/>
  </r>
  <r>
    <n v="481"/>
    <x v="21"/>
    <x v="1"/>
    <x v="0"/>
    <x v="0"/>
    <x v="1"/>
    <x v="21"/>
    <n v="0"/>
    <n v="0.41"/>
    <n v="0.3881"/>
    <n v="3"/>
    <n v="9"/>
    <n v="12"/>
  </r>
  <r>
    <n v="482"/>
    <x v="21"/>
    <x v="2"/>
    <x v="0"/>
    <x v="0"/>
    <x v="1"/>
    <x v="21"/>
    <n v="3.0300000000000001E-2"/>
    <n v="0.41"/>
    <n v="0.25369999999999998"/>
    <n v="0"/>
    <n v="11"/>
    <n v="11"/>
  </r>
  <r>
    <n v="483"/>
    <x v="21"/>
    <x v="3"/>
    <x v="0"/>
    <x v="0"/>
    <x v="1"/>
    <x v="21"/>
    <n v="3.0300000000000001E-2"/>
    <n v="0.41"/>
    <n v="0.28360000000000002"/>
    <n v="1"/>
    <n v="6"/>
    <n v="7"/>
  </r>
  <r>
    <n v="484"/>
    <x v="21"/>
    <x v="4"/>
    <x v="0"/>
    <x v="0"/>
    <x v="1"/>
    <x v="22"/>
    <n v="1.52E-2"/>
    <n v="0.48"/>
    <n v="0.29849999999999999"/>
    <n v="0"/>
    <n v="3"/>
    <n v="3"/>
  </r>
  <r>
    <n v="485"/>
    <x v="21"/>
    <x v="6"/>
    <x v="0"/>
    <x v="0"/>
    <x v="1"/>
    <x v="22"/>
    <n v="3.0300000000000001E-2"/>
    <n v="0.44"/>
    <n v="0.22389999999999999"/>
    <n v="0"/>
    <n v="2"/>
    <n v="2"/>
  </r>
  <r>
    <n v="486"/>
    <x v="21"/>
    <x v="7"/>
    <x v="0"/>
    <x v="0"/>
    <x v="0"/>
    <x v="22"/>
    <n v="1.52E-2"/>
    <n v="0.44"/>
    <n v="0.28360000000000002"/>
    <n v="0"/>
    <n v="8"/>
    <n v="8"/>
  </r>
  <r>
    <n v="487"/>
    <x v="21"/>
    <x v="8"/>
    <x v="0"/>
    <x v="0"/>
    <x v="0"/>
    <x v="22"/>
    <n v="0"/>
    <n v="0.44"/>
    <n v="0.32840000000000003"/>
    <n v="1"/>
    <n v="26"/>
    <n v="27"/>
  </r>
  <r>
    <n v="488"/>
    <x v="21"/>
    <x v="9"/>
    <x v="0"/>
    <x v="0"/>
    <x v="0"/>
    <x v="21"/>
    <n v="3.0300000000000001E-2"/>
    <n v="0.41"/>
    <n v="0.25369999999999998"/>
    <n v="3"/>
    <n v="37"/>
    <n v="40"/>
  </r>
  <r>
    <n v="489"/>
    <x v="21"/>
    <x v="10"/>
    <x v="0"/>
    <x v="0"/>
    <x v="1"/>
    <x v="21"/>
    <n v="6.0600000000000001E-2"/>
    <n v="0.41"/>
    <n v="0.16420000000000001"/>
    <n v="3"/>
    <n v="50"/>
    <n v="53"/>
  </r>
  <r>
    <n v="490"/>
    <x v="21"/>
    <x v="11"/>
    <x v="0"/>
    <x v="0"/>
    <x v="1"/>
    <x v="20"/>
    <n v="7.5800000000000006E-2"/>
    <n v="0.38"/>
    <n v="0.1343"/>
    <n v="4"/>
    <n v="59"/>
    <n v="63"/>
  </r>
  <r>
    <n v="491"/>
    <x v="21"/>
    <x v="12"/>
    <x v="0"/>
    <x v="0"/>
    <x v="1"/>
    <x v="20"/>
    <n v="0.1061"/>
    <n v="0.38"/>
    <n v="0.1045"/>
    <n v="10"/>
    <n v="60"/>
    <n v="70"/>
  </r>
  <r>
    <n v="492"/>
    <x v="21"/>
    <x v="13"/>
    <x v="0"/>
    <x v="0"/>
    <x v="0"/>
    <x v="19"/>
    <n v="0.16669999999999999"/>
    <n v="0.35"/>
    <n v="0"/>
    <n v="12"/>
    <n v="72"/>
    <n v="84"/>
  </r>
  <r>
    <n v="493"/>
    <x v="21"/>
    <x v="14"/>
    <x v="0"/>
    <x v="0"/>
    <x v="0"/>
    <x v="18"/>
    <n v="0.13639999999999999"/>
    <n v="0.33"/>
    <n v="0.1045"/>
    <n v="11"/>
    <n v="64"/>
    <n v="75"/>
  </r>
  <r>
    <n v="494"/>
    <x v="21"/>
    <x v="15"/>
    <x v="0"/>
    <x v="0"/>
    <x v="0"/>
    <x v="16"/>
    <n v="0.1515"/>
    <n v="0.28000000000000003"/>
    <n v="0"/>
    <n v="10"/>
    <n v="93"/>
    <n v="103"/>
  </r>
  <r>
    <n v="495"/>
    <x v="21"/>
    <x v="16"/>
    <x v="0"/>
    <x v="0"/>
    <x v="0"/>
    <x v="16"/>
    <n v="0.13639999999999999"/>
    <n v="0.28000000000000003"/>
    <n v="0.19400000000000001"/>
    <n v="11"/>
    <n v="72"/>
    <n v="83"/>
  </r>
  <r>
    <n v="496"/>
    <x v="21"/>
    <x v="17"/>
    <x v="0"/>
    <x v="0"/>
    <x v="0"/>
    <x v="16"/>
    <n v="0.19700000000000001"/>
    <n v="0.28000000000000003"/>
    <n v="0"/>
    <n v="8"/>
    <n v="59"/>
    <n v="67"/>
  </r>
  <r>
    <n v="497"/>
    <x v="21"/>
    <x v="18"/>
    <x v="0"/>
    <x v="0"/>
    <x v="0"/>
    <x v="19"/>
    <n v="9.0899999999999995E-2"/>
    <n v="0.35"/>
    <n v="0.19400000000000001"/>
    <n v="0"/>
    <n v="54"/>
    <n v="54"/>
  </r>
  <r>
    <n v="498"/>
    <x v="21"/>
    <x v="19"/>
    <x v="0"/>
    <x v="0"/>
    <x v="0"/>
    <x v="19"/>
    <n v="0.1061"/>
    <n v="0.35"/>
    <n v="0.1343"/>
    <n v="6"/>
    <n v="53"/>
    <n v="59"/>
  </r>
  <r>
    <n v="499"/>
    <x v="21"/>
    <x v="20"/>
    <x v="0"/>
    <x v="0"/>
    <x v="0"/>
    <x v="20"/>
    <n v="7.5800000000000006E-2"/>
    <n v="0.45"/>
    <n v="0.16420000000000001"/>
    <n v="1"/>
    <n v="44"/>
    <n v="45"/>
  </r>
  <r>
    <n v="500"/>
    <x v="21"/>
    <x v="21"/>
    <x v="0"/>
    <x v="0"/>
    <x v="0"/>
    <x v="20"/>
    <n v="0.1061"/>
    <n v="0.41"/>
    <n v="8.9599999999999999E-2"/>
    <n v="0"/>
    <n v="39"/>
    <n v="39"/>
  </r>
  <r>
    <n v="501"/>
    <x v="21"/>
    <x v="22"/>
    <x v="0"/>
    <x v="0"/>
    <x v="0"/>
    <x v="20"/>
    <n v="0.1515"/>
    <n v="0.49"/>
    <n v="0"/>
    <n v="7"/>
    <n v="23"/>
    <n v="30"/>
  </r>
  <r>
    <n v="502"/>
    <x v="21"/>
    <x v="23"/>
    <x v="0"/>
    <x v="0"/>
    <x v="0"/>
    <x v="21"/>
    <n v="7.5800000000000006E-2"/>
    <n v="0.56999999999999995"/>
    <n v="0.1045"/>
    <n v="2"/>
    <n v="31"/>
    <n v="33"/>
  </r>
  <r>
    <n v="503"/>
    <x v="22"/>
    <x v="0"/>
    <x v="0"/>
    <x v="1"/>
    <x v="0"/>
    <x v="21"/>
    <n v="7.5800000000000006E-2"/>
    <n v="0.56999999999999995"/>
    <n v="0.1045"/>
    <n v="2"/>
    <n v="20"/>
    <n v="22"/>
  </r>
  <r>
    <n v="504"/>
    <x v="22"/>
    <x v="1"/>
    <x v="0"/>
    <x v="1"/>
    <x v="0"/>
    <x v="21"/>
    <n v="7.5800000000000006E-2"/>
    <n v="0.56999999999999995"/>
    <n v="0.1045"/>
    <n v="1"/>
    <n v="12"/>
    <n v="13"/>
  </r>
  <r>
    <n v="505"/>
    <x v="22"/>
    <x v="2"/>
    <x v="0"/>
    <x v="1"/>
    <x v="0"/>
    <x v="22"/>
    <n v="6.0600000000000001E-2"/>
    <n v="0.62"/>
    <n v="0.1343"/>
    <n v="3"/>
    <n v="15"/>
    <n v="18"/>
  </r>
  <r>
    <n v="506"/>
    <x v="22"/>
    <x v="3"/>
    <x v="0"/>
    <x v="1"/>
    <x v="0"/>
    <x v="22"/>
    <n v="6.0600000000000001E-2"/>
    <n v="0.62"/>
    <n v="0.1343"/>
    <n v="1"/>
    <n v="4"/>
    <n v="5"/>
  </r>
  <r>
    <n v="507"/>
    <x v="22"/>
    <x v="5"/>
    <x v="0"/>
    <x v="1"/>
    <x v="1"/>
    <x v="21"/>
    <n v="7.5800000000000006E-2"/>
    <n v="0.56999999999999995"/>
    <n v="0.1045"/>
    <n v="0"/>
    <n v="3"/>
    <n v="3"/>
  </r>
  <r>
    <n v="508"/>
    <x v="22"/>
    <x v="6"/>
    <x v="0"/>
    <x v="1"/>
    <x v="1"/>
    <x v="21"/>
    <n v="7.5800000000000006E-2"/>
    <n v="0.56999999999999995"/>
    <n v="0.1045"/>
    <n v="0"/>
    <n v="1"/>
    <n v="1"/>
  </r>
  <r>
    <n v="509"/>
    <x v="22"/>
    <x v="7"/>
    <x v="0"/>
    <x v="1"/>
    <x v="0"/>
    <x v="19"/>
    <n v="0.1061"/>
    <n v="0.57999999999999996"/>
    <n v="0.16420000000000001"/>
    <n v="1"/>
    <n v="1"/>
    <n v="2"/>
  </r>
  <r>
    <n v="510"/>
    <x v="22"/>
    <x v="8"/>
    <x v="0"/>
    <x v="1"/>
    <x v="0"/>
    <x v="20"/>
    <n v="7.5800000000000006E-2"/>
    <n v="0.62"/>
    <n v="0.16420000000000001"/>
    <n v="2"/>
    <n v="17"/>
    <n v="19"/>
  </r>
  <r>
    <n v="511"/>
    <x v="22"/>
    <x v="9"/>
    <x v="0"/>
    <x v="1"/>
    <x v="0"/>
    <x v="18"/>
    <n v="7.5800000000000006E-2"/>
    <n v="0.54"/>
    <n v="0.35820000000000002"/>
    <n v="3"/>
    <n v="25"/>
    <n v="28"/>
  </r>
  <r>
    <n v="512"/>
    <x v="22"/>
    <x v="10"/>
    <x v="0"/>
    <x v="1"/>
    <x v="0"/>
    <x v="14"/>
    <n v="0.1061"/>
    <n v="0.46"/>
    <n v="0.3881"/>
    <n v="7"/>
    <n v="51"/>
    <n v="58"/>
  </r>
  <r>
    <n v="513"/>
    <x v="22"/>
    <x v="11"/>
    <x v="0"/>
    <x v="1"/>
    <x v="0"/>
    <x v="14"/>
    <n v="0.13639999999999999"/>
    <n v="0.43"/>
    <n v="0.22389999999999999"/>
    <n v="22"/>
    <n v="77"/>
    <n v="99"/>
  </r>
  <r>
    <n v="514"/>
    <x v="22"/>
    <x v="12"/>
    <x v="0"/>
    <x v="1"/>
    <x v="0"/>
    <x v="13"/>
    <n v="0.1212"/>
    <n v="0.37"/>
    <n v="0.4627"/>
    <n v="24"/>
    <n v="92"/>
    <n v="116"/>
  </r>
  <r>
    <n v="515"/>
    <x v="22"/>
    <x v="13"/>
    <x v="0"/>
    <x v="1"/>
    <x v="0"/>
    <x v="14"/>
    <n v="0.1061"/>
    <n v="0.33"/>
    <n v="0.3881"/>
    <n v="12"/>
    <n v="75"/>
    <n v="87"/>
  </r>
  <r>
    <n v="516"/>
    <x v="22"/>
    <x v="14"/>
    <x v="0"/>
    <x v="1"/>
    <x v="0"/>
    <x v="13"/>
    <n v="0.13639999999999999"/>
    <n v="0.28000000000000003"/>
    <n v="0.35820000000000002"/>
    <n v="17"/>
    <n v="93"/>
    <n v="110"/>
  </r>
  <r>
    <n v="517"/>
    <x v="22"/>
    <x v="15"/>
    <x v="0"/>
    <x v="1"/>
    <x v="0"/>
    <x v="13"/>
    <n v="0.13639999999999999"/>
    <n v="0.28000000000000003"/>
    <n v="0.35820000000000002"/>
    <n v="13"/>
    <n v="64"/>
    <n v="77"/>
  </r>
  <r>
    <n v="518"/>
    <x v="22"/>
    <x v="16"/>
    <x v="0"/>
    <x v="1"/>
    <x v="0"/>
    <x v="13"/>
    <n v="0.13639999999999999"/>
    <n v="0.26"/>
    <n v="0.32840000000000003"/>
    <n v="9"/>
    <n v="56"/>
    <n v="65"/>
  </r>
  <r>
    <n v="519"/>
    <x v="22"/>
    <x v="17"/>
    <x v="0"/>
    <x v="1"/>
    <x v="0"/>
    <x v="14"/>
    <n v="0.1061"/>
    <n v="0.26"/>
    <n v="0.3881"/>
    <n v="5"/>
    <n v="50"/>
    <n v="55"/>
  </r>
  <r>
    <n v="520"/>
    <x v="22"/>
    <x v="18"/>
    <x v="0"/>
    <x v="1"/>
    <x v="0"/>
    <x v="16"/>
    <n v="0.1212"/>
    <n v="0.3"/>
    <n v="0.25369999999999998"/>
    <n v="5"/>
    <n v="44"/>
    <n v="49"/>
  </r>
  <r>
    <n v="521"/>
    <x v="22"/>
    <x v="19"/>
    <x v="0"/>
    <x v="1"/>
    <x v="0"/>
    <x v="16"/>
    <n v="0.1212"/>
    <n v="0.3"/>
    <n v="0.28360000000000002"/>
    <n v="5"/>
    <n v="45"/>
    <n v="50"/>
  </r>
  <r>
    <n v="522"/>
    <x v="22"/>
    <x v="20"/>
    <x v="0"/>
    <x v="1"/>
    <x v="0"/>
    <x v="18"/>
    <n v="0.1061"/>
    <n v="0.36"/>
    <n v="0.25369999999999998"/>
    <n v="4"/>
    <n v="31"/>
    <n v="35"/>
  </r>
  <r>
    <n v="523"/>
    <x v="22"/>
    <x v="21"/>
    <x v="0"/>
    <x v="1"/>
    <x v="0"/>
    <x v="18"/>
    <n v="0.1061"/>
    <n v="0.36"/>
    <n v="0.19400000000000001"/>
    <n v="5"/>
    <n v="20"/>
    <n v="25"/>
  </r>
  <r>
    <n v="524"/>
    <x v="22"/>
    <x v="22"/>
    <x v="0"/>
    <x v="1"/>
    <x v="0"/>
    <x v="19"/>
    <n v="9.0899999999999995E-2"/>
    <n v="0.38"/>
    <n v="0.19400000000000001"/>
    <n v="5"/>
    <n v="23"/>
    <n v="28"/>
  </r>
  <r>
    <n v="525"/>
    <x v="22"/>
    <x v="23"/>
    <x v="0"/>
    <x v="1"/>
    <x v="0"/>
    <x v="20"/>
    <n v="6.0600000000000001E-2"/>
    <n v="0.41"/>
    <n v="0.22389999999999999"/>
    <n v="4"/>
    <n v="17"/>
    <n v="21"/>
  </r>
  <r>
    <n v="526"/>
    <x v="23"/>
    <x v="0"/>
    <x v="0"/>
    <x v="2"/>
    <x v="0"/>
    <x v="20"/>
    <n v="6.0600000000000001E-2"/>
    <n v="0.41"/>
    <n v="0.19400000000000001"/>
    <n v="0"/>
    <n v="7"/>
    <n v="7"/>
  </r>
  <r>
    <n v="527"/>
    <x v="23"/>
    <x v="1"/>
    <x v="0"/>
    <x v="2"/>
    <x v="0"/>
    <x v="21"/>
    <n v="4.5499999999999999E-2"/>
    <n v="0.45"/>
    <n v="0.19400000000000001"/>
    <n v="0"/>
    <n v="1"/>
    <n v="1"/>
  </r>
  <r>
    <n v="528"/>
    <x v="23"/>
    <x v="3"/>
    <x v="0"/>
    <x v="2"/>
    <x v="0"/>
    <x v="21"/>
    <n v="3.0300000000000001E-2"/>
    <n v="0.45"/>
    <n v="0.25369999999999998"/>
    <n v="0"/>
    <n v="1"/>
    <n v="1"/>
  </r>
  <r>
    <n v="529"/>
    <x v="23"/>
    <x v="4"/>
    <x v="0"/>
    <x v="2"/>
    <x v="0"/>
    <x v="22"/>
    <n v="6.0600000000000001E-2"/>
    <n v="0.48"/>
    <n v="0.1343"/>
    <n v="0"/>
    <n v="1"/>
    <n v="1"/>
  </r>
  <r>
    <n v="530"/>
    <x v="23"/>
    <x v="5"/>
    <x v="0"/>
    <x v="2"/>
    <x v="0"/>
    <x v="22"/>
    <n v="6.0600000000000001E-2"/>
    <n v="0.48"/>
    <n v="0.1343"/>
    <n v="0"/>
    <n v="5"/>
    <n v="5"/>
  </r>
  <r>
    <n v="531"/>
    <x v="23"/>
    <x v="6"/>
    <x v="0"/>
    <x v="2"/>
    <x v="0"/>
    <x v="22"/>
    <n v="7.5800000000000006E-2"/>
    <n v="0.48"/>
    <n v="8.9599999999999999E-2"/>
    <n v="0"/>
    <n v="15"/>
    <n v="15"/>
  </r>
  <r>
    <n v="532"/>
    <x v="23"/>
    <x v="7"/>
    <x v="0"/>
    <x v="2"/>
    <x v="0"/>
    <x v="22"/>
    <n v="0.1212"/>
    <n v="0.48"/>
    <n v="0"/>
    <n v="5"/>
    <n v="79"/>
    <n v="84"/>
  </r>
  <r>
    <n v="533"/>
    <x v="23"/>
    <x v="8"/>
    <x v="0"/>
    <x v="2"/>
    <x v="0"/>
    <x v="21"/>
    <n v="0.13639999999999999"/>
    <n v="0.49"/>
    <n v="0"/>
    <n v="6"/>
    <n v="171"/>
    <n v="177"/>
  </r>
  <r>
    <n v="534"/>
    <x v="23"/>
    <x v="9"/>
    <x v="0"/>
    <x v="2"/>
    <x v="0"/>
    <x v="20"/>
    <n v="0.1515"/>
    <n v="0.41"/>
    <n v="0"/>
    <n v="4"/>
    <n v="98"/>
    <n v="102"/>
  </r>
  <r>
    <n v="535"/>
    <x v="23"/>
    <x v="10"/>
    <x v="0"/>
    <x v="2"/>
    <x v="0"/>
    <x v="18"/>
    <n v="0.13639999999999999"/>
    <n v="0.42"/>
    <n v="0"/>
    <n v="6"/>
    <n v="34"/>
    <n v="40"/>
  </r>
  <r>
    <n v="536"/>
    <x v="23"/>
    <x v="11"/>
    <x v="0"/>
    <x v="2"/>
    <x v="0"/>
    <x v="18"/>
    <n v="0.1212"/>
    <n v="0.46"/>
    <n v="0.1343"/>
    <n v="3"/>
    <n v="43"/>
    <n v="46"/>
  </r>
  <r>
    <n v="537"/>
    <x v="23"/>
    <x v="12"/>
    <x v="0"/>
    <x v="2"/>
    <x v="1"/>
    <x v="16"/>
    <n v="0.13639999999999999"/>
    <n v="0.42"/>
    <n v="0.19400000000000001"/>
    <n v="11"/>
    <n v="52"/>
    <n v="63"/>
  </r>
  <r>
    <n v="538"/>
    <x v="23"/>
    <x v="13"/>
    <x v="0"/>
    <x v="2"/>
    <x v="1"/>
    <x v="14"/>
    <n v="0.13639999999999999"/>
    <n v="0.43"/>
    <n v="0.22389999999999999"/>
    <n v="6"/>
    <n v="54"/>
    <n v="60"/>
  </r>
  <r>
    <n v="539"/>
    <x v="23"/>
    <x v="14"/>
    <x v="0"/>
    <x v="2"/>
    <x v="1"/>
    <x v="14"/>
    <n v="0.13639999999999999"/>
    <n v="0.46"/>
    <n v="0.22389999999999999"/>
    <n v="2"/>
    <n v="43"/>
    <n v="45"/>
  </r>
  <r>
    <n v="540"/>
    <x v="23"/>
    <x v="15"/>
    <x v="0"/>
    <x v="2"/>
    <x v="0"/>
    <x v="13"/>
    <n v="0.16669999999999999"/>
    <n v="0.4"/>
    <n v="0.16420000000000001"/>
    <n v="7"/>
    <n v="50"/>
    <n v="57"/>
  </r>
  <r>
    <n v="541"/>
    <x v="23"/>
    <x v="16"/>
    <x v="0"/>
    <x v="2"/>
    <x v="0"/>
    <x v="13"/>
    <n v="0.1515"/>
    <n v="0.47"/>
    <n v="0.25369999999999998"/>
    <n v="4"/>
    <n v="66"/>
    <n v="70"/>
  </r>
  <r>
    <n v="542"/>
    <x v="23"/>
    <x v="17"/>
    <x v="0"/>
    <x v="2"/>
    <x v="0"/>
    <x v="14"/>
    <n v="0.1212"/>
    <n v="0.5"/>
    <n v="0.25369999999999998"/>
    <n v="6"/>
    <n v="178"/>
    <n v="184"/>
  </r>
  <r>
    <n v="543"/>
    <x v="23"/>
    <x v="18"/>
    <x v="0"/>
    <x v="2"/>
    <x v="0"/>
    <x v="14"/>
    <n v="0.13639999999999999"/>
    <n v="0.59"/>
    <n v="0.19400000000000001"/>
    <n v="8"/>
    <n v="145"/>
    <n v="153"/>
  </r>
  <r>
    <n v="544"/>
    <x v="23"/>
    <x v="19"/>
    <x v="0"/>
    <x v="2"/>
    <x v="0"/>
    <x v="14"/>
    <n v="0.1515"/>
    <n v="0.54"/>
    <n v="0.16420000000000001"/>
    <n v="5"/>
    <n v="101"/>
    <n v="106"/>
  </r>
  <r>
    <n v="545"/>
    <x v="23"/>
    <x v="20"/>
    <x v="0"/>
    <x v="2"/>
    <x v="0"/>
    <x v="14"/>
    <n v="0.13639999999999999"/>
    <n v="0.59"/>
    <n v="0.19400000000000001"/>
    <n v="1"/>
    <n v="80"/>
    <n v="81"/>
  </r>
  <r>
    <n v="546"/>
    <x v="23"/>
    <x v="21"/>
    <x v="0"/>
    <x v="2"/>
    <x v="0"/>
    <x v="14"/>
    <n v="0.1515"/>
    <n v="0.63"/>
    <n v="0.16420000000000001"/>
    <n v="6"/>
    <n v="53"/>
    <n v="59"/>
  </r>
  <r>
    <n v="547"/>
    <x v="23"/>
    <x v="22"/>
    <x v="0"/>
    <x v="2"/>
    <x v="1"/>
    <x v="14"/>
    <n v="0.13639999999999999"/>
    <n v="0.63"/>
    <n v="0.22389999999999999"/>
    <n v="3"/>
    <n v="32"/>
    <n v="35"/>
  </r>
  <r>
    <n v="548"/>
    <x v="23"/>
    <x v="23"/>
    <x v="0"/>
    <x v="2"/>
    <x v="1"/>
    <x v="13"/>
    <n v="0.1515"/>
    <n v="0.64"/>
    <n v="0.25369999999999998"/>
    <n v="3"/>
    <n v="21"/>
    <n v="24"/>
  </r>
  <r>
    <n v="549"/>
    <x v="24"/>
    <x v="0"/>
    <x v="0"/>
    <x v="3"/>
    <x v="1"/>
    <x v="13"/>
    <n v="0.13639999999999999"/>
    <n v="0.69"/>
    <n v="0.28360000000000002"/>
    <n v="3"/>
    <n v="6"/>
    <n v="9"/>
  </r>
  <r>
    <n v="550"/>
    <x v="24"/>
    <x v="1"/>
    <x v="0"/>
    <x v="3"/>
    <x v="1"/>
    <x v="13"/>
    <n v="0.16669999999999999"/>
    <n v="0.69"/>
    <n v="0.16420000000000001"/>
    <n v="0"/>
    <n v="5"/>
    <n v="5"/>
  </r>
  <r>
    <n v="551"/>
    <x v="24"/>
    <x v="2"/>
    <x v="0"/>
    <x v="3"/>
    <x v="0"/>
    <x v="13"/>
    <n v="0.1515"/>
    <n v="0.69"/>
    <n v="0.22389999999999999"/>
    <n v="0"/>
    <n v="2"/>
    <n v="2"/>
  </r>
  <r>
    <n v="552"/>
    <x v="24"/>
    <x v="4"/>
    <x v="0"/>
    <x v="3"/>
    <x v="0"/>
    <x v="14"/>
    <n v="0.16669999999999999"/>
    <n v="0.74"/>
    <n v="0.1045"/>
    <n v="0"/>
    <n v="1"/>
    <n v="1"/>
  </r>
  <r>
    <n v="553"/>
    <x v="24"/>
    <x v="5"/>
    <x v="0"/>
    <x v="3"/>
    <x v="0"/>
    <x v="14"/>
    <n v="0.13639999999999999"/>
    <n v="0.74"/>
    <n v="0.22389999999999999"/>
    <n v="0"/>
    <n v="9"/>
    <n v="9"/>
  </r>
  <r>
    <n v="554"/>
    <x v="24"/>
    <x v="6"/>
    <x v="0"/>
    <x v="3"/>
    <x v="0"/>
    <x v="13"/>
    <n v="0.18179999999999999"/>
    <n v="0.74"/>
    <n v="0.1045"/>
    <n v="1"/>
    <n v="35"/>
    <n v="36"/>
  </r>
  <r>
    <n v="555"/>
    <x v="24"/>
    <x v="7"/>
    <x v="0"/>
    <x v="3"/>
    <x v="0"/>
    <x v="13"/>
    <n v="0.1515"/>
    <n v="0.74"/>
    <n v="0.22389999999999999"/>
    <n v="5"/>
    <n v="103"/>
    <n v="108"/>
  </r>
  <r>
    <n v="556"/>
    <x v="24"/>
    <x v="8"/>
    <x v="0"/>
    <x v="3"/>
    <x v="1"/>
    <x v="13"/>
    <n v="0.18179999999999999"/>
    <n v="0.74"/>
    <n v="0.1343"/>
    <n v="5"/>
    <n v="233"/>
    <n v="238"/>
  </r>
  <r>
    <n v="557"/>
    <x v="24"/>
    <x v="9"/>
    <x v="0"/>
    <x v="3"/>
    <x v="1"/>
    <x v="2"/>
    <n v="0.2273"/>
    <n v="0.64"/>
    <n v="8.9599999999999999E-2"/>
    <n v="10"/>
    <n v="134"/>
    <n v="144"/>
  </r>
  <r>
    <n v="558"/>
    <x v="24"/>
    <x v="10"/>
    <x v="0"/>
    <x v="3"/>
    <x v="1"/>
    <x v="1"/>
    <n v="0.2424"/>
    <n v="0.6"/>
    <n v="0.1045"/>
    <n v="6"/>
    <n v="49"/>
    <n v="55"/>
  </r>
  <r>
    <n v="559"/>
    <x v="24"/>
    <x v="11"/>
    <x v="0"/>
    <x v="3"/>
    <x v="1"/>
    <x v="0"/>
    <n v="0.2424"/>
    <n v="0.6"/>
    <n v="0.1343"/>
    <n v="6"/>
    <n v="55"/>
    <n v="61"/>
  </r>
  <r>
    <n v="560"/>
    <x v="24"/>
    <x v="12"/>
    <x v="0"/>
    <x v="3"/>
    <x v="1"/>
    <x v="12"/>
    <n v="0.28789999999999999"/>
    <n v="0.56000000000000005"/>
    <n v="8.9599999999999999E-2"/>
    <n v="21"/>
    <n v="85"/>
    <n v="106"/>
  </r>
  <r>
    <n v="561"/>
    <x v="24"/>
    <x v="13"/>
    <x v="0"/>
    <x v="3"/>
    <x v="1"/>
    <x v="12"/>
    <n v="0.2727"/>
    <n v="0.56000000000000005"/>
    <n v="0.1343"/>
    <n v="21"/>
    <n v="72"/>
    <n v="93"/>
  </r>
  <r>
    <n v="562"/>
    <x v="24"/>
    <x v="14"/>
    <x v="0"/>
    <x v="3"/>
    <x v="1"/>
    <x v="11"/>
    <n v="0.33329999999999999"/>
    <n v="0.45"/>
    <n v="0"/>
    <n v="11"/>
    <n v="57"/>
    <n v="68"/>
  </r>
  <r>
    <n v="563"/>
    <x v="24"/>
    <x v="15"/>
    <x v="0"/>
    <x v="3"/>
    <x v="1"/>
    <x v="3"/>
    <n v="0.34849999999999998"/>
    <n v="0.42"/>
    <n v="0"/>
    <n v="21"/>
    <n v="63"/>
    <n v="84"/>
  </r>
  <r>
    <n v="564"/>
    <x v="24"/>
    <x v="16"/>
    <x v="0"/>
    <x v="3"/>
    <x v="1"/>
    <x v="3"/>
    <n v="0.34849999999999998"/>
    <n v="0.42"/>
    <n v="0"/>
    <n v="14"/>
    <n v="102"/>
    <n v="116"/>
  </r>
  <r>
    <n v="565"/>
    <x v="24"/>
    <x v="17"/>
    <x v="0"/>
    <x v="3"/>
    <x v="0"/>
    <x v="11"/>
    <n v="0.33329999999999999"/>
    <n v="0.45"/>
    <n v="0"/>
    <n v="14"/>
    <n v="208"/>
    <n v="222"/>
  </r>
  <r>
    <n v="566"/>
    <x v="24"/>
    <x v="18"/>
    <x v="0"/>
    <x v="3"/>
    <x v="1"/>
    <x v="11"/>
    <n v="0.31819999999999998"/>
    <n v="0.49"/>
    <n v="8.9599999999999999E-2"/>
    <n v="7"/>
    <n v="218"/>
    <n v="225"/>
  </r>
  <r>
    <n v="567"/>
    <x v="24"/>
    <x v="19"/>
    <x v="0"/>
    <x v="3"/>
    <x v="1"/>
    <x v="12"/>
    <n v="0.2576"/>
    <n v="0.65"/>
    <n v="0.16420000000000001"/>
    <n v="13"/>
    <n v="133"/>
    <n v="146"/>
  </r>
  <r>
    <n v="568"/>
    <x v="24"/>
    <x v="20"/>
    <x v="0"/>
    <x v="3"/>
    <x v="0"/>
    <x v="0"/>
    <n v="0.2273"/>
    <n v="0.65"/>
    <n v="0.19400000000000001"/>
    <n v="16"/>
    <n v="103"/>
    <n v="119"/>
  </r>
  <r>
    <n v="569"/>
    <x v="24"/>
    <x v="21"/>
    <x v="0"/>
    <x v="3"/>
    <x v="0"/>
    <x v="0"/>
    <n v="0.2273"/>
    <n v="0.65"/>
    <n v="0.19400000000000001"/>
    <n v="5"/>
    <n v="40"/>
    <n v="45"/>
  </r>
  <r>
    <n v="570"/>
    <x v="24"/>
    <x v="22"/>
    <x v="0"/>
    <x v="3"/>
    <x v="0"/>
    <x v="1"/>
    <n v="0.2273"/>
    <n v="0.64"/>
    <n v="0.16420000000000001"/>
    <n v="4"/>
    <n v="49"/>
    <n v="53"/>
  </r>
  <r>
    <n v="571"/>
    <x v="24"/>
    <x v="23"/>
    <x v="0"/>
    <x v="3"/>
    <x v="1"/>
    <x v="1"/>
    <n v="0.2273"/>
    <n v="0.64"/>
    <n v="0.16420000000000001"/>
    <n v="3"/>
    <n v="37"/>
    <n v="40"/>
  </r>
  <r>
    <n v="572"/>
    <x v="25"/>
    <x v="0"/>
    <x v="0"/>
    <x v="4"/>
    <x v="1"/>
    <x v="1"/>
    <n v="0.2273"/>
    <n v="0.69"/>
    <n v="0.1343"/>
    <n v="3"/>
    <n v="14"/>
    <n v="17"/>
  </r>
  <r>
    <n v="573"/>
    <x v="25"/>
    <x v="1"/>
    <x v="0"/>
    <x v="4"/>
    <x v="1"/>
    <x v="0"/>
    <n v="0.2424"/>
    <n v="0.65"/>
    <n v="0.1343"/>
    <n v="0"/>
    <n v="5"/>
    <n v="5"/>
  </r>
  <r>
    <n v="574"/>
    <x v="25"/>
    <x v="2"/>
    <x v="0"/>
    <x v="4"/>
    <x v="2"/>
    <x v="1"/>
    <n v="0.2273"/>
    <n v="0.69"/>
    <n v="0.19400000000000001"/>
    <n v="3"/>
    <n v="7"/>
    <n v="10"/>
  </r>
  <r>
    <n v="575"/>
    <x v="25"/>
    <x v="5"/>
    <x v="0"/>
    <x v="4"/>
    <x v="2"/>
    <x v="2"/>
    <n v="0.18179999999999999"/>
    <n v="0.86"/>
    <n v="0.28360000000000002"/>
    <n v="0"/>
    <n v="1"/>
    <n v="1"/>
  </r>
  <r>
    <n v="576"/>
    <x v="25"/>
    <x v="6"/>
    <x v="0"/>
    <x v="4"/>
    <x v="2"/>
    <x v="2"/>
    <n v="0.18179999999999999"/>
    <n v="0.86"/>
    <n v="0.28360000000000002"/>
    <n v="0"/>
    <n v="8"/>
    <n v="8"/>
  </r>
  <r>
    <n v="577"/>
    <x v="25"/>
    <x v="7"/>
    <x v="0"/>
    <x v="4"/>
    <x v="2"/>
    <x v="1"/>
    <n v="0.21210000000000001"/>
    <n v="0.87"/>
    <n v="0.29849999999999999"/>
    <n v="1"/>
    <n v="29"/>
    <n v="30"/>
  </r>
  <r>
    <n v="578"/>
    <x v="25"/>
    <x v="8"/>
    <x v="0"/>
    <x v="4"/>
    <x v="2"/>
    <x v="1"/>
    <n v="0.21210000000000001"/>
    <n v="0.87"/>
    <n v="0.29849999999999999"/>
    <n v="3"/>
    <n v="69"/>
    <n v="72"/>
  </r>
  <r>
    <n v="579"/>
    <x v="25"/>
    <x v="9"/>
    <x v="0"/>
    <x v="4"/>
    <x v="2"/>
    <x v="1"/>
    <n v="0.21210000000000001"/>
    <n v="0.87"/>
    <n v="0.29849999999999999"/>
    <n v="3"/>
    <n v="55"/>
    <n v="58"/>
  </r>
  <r>
    <n v="580"/>
    <x v="25"/>
    <x v="10"/>
    <x v="0"/>
    <x v="4"/>
    <x v="2"/>
    <x v="1"/>
    <n v="0.21210000000000001"/>
    <n v="0.93"/>
    <n v="0.28360000000000002"/>
    <n v="2"/>
    <n v="26"/>
    <n v="28"/>
  </r>
  <r>
    <n v="581"/>
    <x v="25"/>
    <x v="11"/>
    <x v="0"/>
    <x v="4"/>
    <x v="2"/>
    <x v="1"/>
    <n v="0.19700000000000001"/>
    <n v="0.93"/>
    <n v="0.32840000000000003"/>
    <n v="6"/>
    <n v="35"/>
    <n v="41"/>
  </r>
  <r>
    <n v="582"/>
    <x v="25"/>
    <x v="12"/>
    <x v="0"/>
    <x v="4"/>
    <x v="2"/>
    <x v="1"/>
    <n v="0.19700000000000001"/>
    <n v="0.93"/>
    <n v="0.32840000000000003"/>
    <n v="7"/>
    <n v="41"/>
    <n v="48"/>
  </r>
  <r>
    <n v="583"/>
    <x v="25"/>
    <x v="13"/>
    <x v="0"/>
    <x v="4"/>
    <x v="2"/>
    <x v="1"/>
    <n v="0.19700000000000001"/>
    <n v="0.93"/>
    <n v="0.32840000000000003"/>
    <n v="4"/>
    <n v="43"/>
    <n v="47"/>
  </r>
  <r>
    <n v="584"/>
    <x v="25"/>
    <x v="14"/>
    <x v="0"/>
    <x v="4"/>
    <x v="2"/>
    <x v="1"/>
    <n v="0.19700000000000001"/>
    <n v="0.93"/>
    <n v="0.35820000000000002"/>
    <n v="0"/>
    <n v="36"/>
    <n v="36"/>
  </r>
  <r>
    <n v="585"/>
    <x v="25"/>
    <x v="15"/>
    <x v="0"/>
    <x v="4"/>
    <x v="2"/>
    <x v="1"/>
    <n v="0.18179999999999999"/>
    <n v="0.93"/>
    <n v="0.4627"/>
    <n v="1"/>
    <n v="42"/>
    <n v="43"/>
  </r>
  <r>
    <n v="586"/>
    <x v="25"/>
    <x v="16"/>
    <x v="0"/>
    <x v="4"/>
    <x v="3"/>
    <x v="1"/>
    <n v="0.19700000000000001"/>
    <n v="0.93"/>
    <n v="0.32840000000000003"/>
    <n v="1"/>
    <n v="35"/>
    <n v="36"/>
  </r>
  <r>
    <n v="587"/>
    <x v="25"/>
    <x v="17"/>
    <x v="0"/>
    <x v="4"/>
    <x v="2"/>
    <x v="2"/>
    <n v="0.18179999999999999"/>
    <n v="0.93"/>
    <n v="0.35820000000000002"/>
    <n v="0"/>
    <n v="26"/>
    <n v="26"/>
  </r>
  <r>
    <n v="588"/>
    <x v="26"/>
    <x v="16"/>
    <x v="0"/>
    <x v="5"/>
    <x v="0"/>
    <x v="1"/>
    <n v="0.2273"/>
    <n v="0.55000000000000004"/>
    <n v="0.19400000000000001"/>
    <n v="1"/>
    <n v="23"/>
    <n v="24"/>
  </r>
  <r>
    <n v="589"/>
    <x v="26"/>
    <x v="17"/>
    <x v="0"/>
    <x v="5"/>
    <x v="0"/>
    <x v="1"/>
    <n v="0.2424"/>
    <n v="0.55000000000000004"/>
    <n v="0.1045"/>
    <n v="2"/>
    <n v="82"/>
    <n v="84"/>
  </r>
  <r>
    <n v="590"/>
    <x v="26"/>
    <x v="18"/>
    <x v="0"/>
    <x v="5"/>
    <x v="0"/>
    <x v="2"/>
    <n v="0.2273"/>
    <n v="0.69"/>
    <n v="8.9599999999999999E-2"/>
    <n v="3"/>
    <n v="101"/>
    <n v="104"/>
  </r>
  <r>
    <n v="591"/>
    <x v="26"/>
    <x v="19"/>
    <x v="0"/>
    <x v="5"/>
    <x v="0"/>
    <x v="2"/>
    <n v="0.2273"/>
    <n v="0.69"/>
    <n v="8.9599999999999999E-2"/>
    <n v="3"/>
    <n v="76"/>
    <n v="79"/>
  </r>
  <r>
    <n v="592"/>
    <x v="26"/>
    <x v="20"/>
    <x v="0"/>
    <x v="5"/>
    <x v="0"/>
    <x v="15"/>
    <n v="0.21210000000000001"/>
    <n v="0.74"/>
    <n v="8.9599999999999999E-2"/>
    <n v="4"/>
    <n v="55"/>
    <n v="59"/>
  </r>
  <r>
    <n v="593"/>
    <x v="26"/>
    <x v="21"/>
    <x v="0"/>
    <x v="5"/>
    <x v="0"/>
    <x v="15"/>
    <n v="0.21210000000000001"/>
    <n v="0.74"/>
    <n v="8.9599999999999999E-2"/>
    <n v="2"/>
    <n v="36"/>
    <n v="38"/>
  </r>
  <r>
    <n v="594"/>
    <x v="26"/>
    <x v="22"/>
    <x v="0"/>
    <x v="5"/>
    <x v="0"/>
    <x v="15"/>
    <n v="0.21210000000000001"/>
    <n v="0.74"/>
    <n v="8.9599999999999999E-2"/>
    <n v="0"/>
    <n v="27"/>
    <n v="27"/>
  </r>
  <r>
    <n v="595"/>
    <x v="26"/>
    <x v="23"/>
    <x v="0"/>
    <x v="5"/>
    <x v="0"/>
    <x v="15"/>
    <n v="0.19700000000000001"/>
    <n v="0.8"/>
    <n v="0.16420000000000001"/>
    <n v="0"/>
    <n v="16"/>
    <n v="16"/>
  </r>
  <r>
    <n v="596"/>
    <x v="27"/>
    <x v="0"/>
    <x v="0"/>
    <x v="6"/>
    <x v="1"/>
    <x v="2"/>
    <n v="0.21210000000000001"/>
    <n v="0.75"/>
    <n v="0.1343"/>
    <n v="0"/>
    <n v="9"/>
    <n v="9"/>
  </r>
  <r>
    <n v="597"/>
    <x v="27"/>
    <x v="1"/>
    <x v="0"/>
    <x v="6"/>
    <x v="1"/>
    <x v="2"/>
    <n v="0.21210000000000001"/>
    <n v="0.75"/>
    <n v="0.1343"/>
    <n v="1"/>
    <n v="2"/>
    <n v="3"/>
  </r>
  <r>
    <n v="598"/>
    <x v="27"/>
    <x v="2"/>
    <x v="0"/>
    <x v="6"/>
    <x v="1"/>
    <x v="2"/>
    <n v="0.21210000000000001"/>
    <n v="0.75"/>
    <n v="0.16420000000000001"/>
    <n v="0"/>
    <n v="2"/>
    <n v="2"/>
  </r>
  <r>
    <n v="599"/>
    <x v="27"/>
    <x v="3"/>
    <x v="0"/>
    <x v="6"/>
    <x v="1"/>
    <x v="2"/>
    <n v="0.2273"/>
    <n v="0.75"/>
    <n v="0.1045"/>
    <n v="1"/>
    <n v="0"/>
    <n v="1"/>
  </r>
  <r>
    <n v="600"/>
    <x v="27"/>
    <x v="5"/>
    <x v="0"/>
    <x v="6"/>
    <x v="1"/>
    <x v="15"/>
    <n v="0.21210000000000001"/>
    <n v="0.8"/>
    <n v="0.1045"/>
    <n v="0"/>
    <n v="4"/>
    <n v="4"/>
  </r>
  <r>
    <n v="601"/>
    <x v="27"/>
    <x v="6"/>
    <x v="0"/>
    <x v="6"/>
    <x v="1"/>
    <x v="15"/>
    <n v="0.19700000000000001"/>
    <n v="0.8"/>
    <n v="0.1343"/>
    <n v="0"/>
    <n v="16"/>
    <n v="16"/>
  </r>
  <r>
    <n v="602"/>
    <x v="27"/>
    <x v="7"/>
    <x v="0"/>
    <x v="6"/>
    <x v="1"/>
    <x v="13"/>
    <n v="0.19700000000000001"/>
    <n v="0.86"/>
    <n v="8.9599999999999999E-2"/>
    <n v="2"/>
    <n v="58"/>
    <n v="60"/>
  </r>
  <r>
    <n v="603"/>
    <x v="27"/>
    <x v="8"/>
    <x v="0"/>
    <x v="6"/>
    <x v="1"/>
    <x v="13"/>
    <n v="0.19700000000000001"/>
    <n v="0.86"/>
    <n v="8.9599999999999999E-2"/>
    <n v="2"/>
    <n v="155"/>
    <n v="157"/>
  </r>
  <r>
    <n v="604"/>
    <x v="27"/>
    <x v="9"/>
    <x v="0"/>
    <x v="6"/>
    <x v="2"/>
    <x v="15"/>
    <n v="0.21210000000000001"/>
    <n v="0.86"/>
    <n v="8.9599999999999999E-2"/>
    <n v="6"/>
    <n v="95"/>
    <n v="101"/>
  </r>
  <r>
    <n v="605"/>
    <x v="27"/>
    <x v="10"/>
    <x v="0"/>
    <x v="6"/>
    <x v="2"/>
    <x v="15"/>
    <n v="0.21210000000000001"/>
    <n v="0.86"/>
    <n v="0.1045"/>
    <n v="0"/>
    <n v="49"/>
    <n v="49"/>
  </r>
  <r>
    <n v="606"/>
    <x v="27"/>
    <x v="11"/>
    <x v="0"/>
    <x v="6"/>
    <x v="2"/>
    <x v="15"/>
    <n v="0.21210000000000001"/>
    <n v="0.93"/>
    <n v="0.1045"/>
    <n v="0"/>
    <n v="30"/>
    <n v="30"/>
  </r>
  <r>
    <n v="607"/>
    <x v="27"/>
    <x v="12"/>
    <x v="0"/>
    <x v="6"/>
    <x v="2"/>
    <x v="15"/>
    <n v="0.21210000000000001"/>
    <n v="0.93"/>
    <n v="0.1045"/>
    <n v="1"/>
    <n v="28"/>
    <n v="29"/>
  </r>
  <r>
    <n v="608"/>
    <x v="27"/>
    <x v="13"/>
    <x v="0"/>
    <x v="6"/>
    <x v="2"/>
    <x v="15"/>
    <n v="0.21210000000000001"/>
    <n v="0.93"/>
    <n v="0.1045"/>
    <n v="0"/>
    <n v="31"/>
    <n v="31"/>
  </r>
  <r>
    <n v="609"/>
    <x v="27"/>
    <x v="14"/>
    <x v="0"/>
    <x v="6"/>
    <x v="2"/>
    <x v="1"/>
    <n v="0.2727"/>
    <n v="0.8"/>
    <n v="0"/>
    <n v="2"/>
    <n v="36"/>
    <n v="38"/>
  </r>
  <r>
    <n v="610"/>
    <x v="27"/>
    <x v="15"/>
    <x v="0"/>
    <x v="6"/>
    <x v="1"/>
    <x v="2"/>
    <n v="0.2576"/>
    <n v="0.86"/>
    <n v="0"/>
    <n v="1"/>
    <n v="40"/>
    <n v="41"/>
  </r>
  <r>
    <n v="611"/>
    <x v="27"/>
    <x v="16"/>
    <x v="0"/>
    <x v="6"/>
    <x v="0"/>
    <x v="1"/>
    <n v="0.2727"/>
    <n v="0.8"/>
    <n v="0"/>
    <n v="10"/>
    <n v="70"/>
    <n v="80"/>
  </r>
  <r>
    <n v="612"/>
    <x v="27"/>
    <x v="17"/>
    <x v="0"/>
    <x v="6"/>
    <x v="0"/>
    <x v="0"/>
    <n v="0.2424"/>
    <n v="0.75"/>
    <n v="0.1343"/>
    <n v="2"/>
    <n v="147"/>
    <n v="149"/>
  </r>
  <r>
    <n v="613"/>
    <x v="27"/>
    <x v="18"/>
    <x v="0"/>
    <x v="6"/>
    <x v="0"/>
    <x v="0"/>
    <n v="0.2273"/>
    <n v="0.75"/>
    <n v="0.19400000000000001"/>
    <n v="2"/>
    <n v="107"/>
    <n v="109"/>
  </r>
  <r>
    <n v="614"/>
    <x v="27"/>
    <x v="19"/>
    <x v="0"/>
    <x v="6"/>
    <x v="1"/>
    <x v="0"/>
    <n v="0.2424"/>
    <n v="0.75"/>
    <n v="0.1343"/>
    <n v="5"/>
    <n v="84"/>
    <n v="89"/>
  </r>
  <r>
    <n v="615"/>
    <x v="27"/>
    <x v="20"/>
    <x v="0"/>
    <x v="6"/>
    <x v="1"/>
    <x v="0"/>
    <n v="0.2273"/>
    <n v="0.7"/>
    <n v="0.19400000000000001"/>
    <n v="1"/>
    <n v="61"/>
    <n v="62"/>
  </r>
  <r>
    <n v="616"/>
    <x v="27"/>
    <x v="21"/>
    <x v="0"/>
    <x v="6"/>
    <x v="1"/>
    <x v="1"/>
    <n v="0.2273"/>
    <n v="0.75"/>
    <n v="0.1343"/>
    <n v="1"/>
    <n v="57"/>
    <n v="58"/>
  </r>
  <r>
    <n v="617"/>
    <x v="27"/>
    <x v="22"/>
    <x v="0"/>
    <x v="6"/>
    <x v="0"/>
    <x v="0"/>
    <n v="0.21210000000000001"/>
    <n v="0.65"/>
    <n v="0.35820000000000002"/>
    <n v="0"/>
    <n v="26"/>
    <n v="26"/>
  </r>
  <r>
    <n v="618"/>
    <x v="27"/>
    <x v="23"/>
    <x v="0"/>
    <x v="6"/>
    <x v="0"/>
    <x v="0"/>
    <n v="0.2273"/>
    <n v="0.6"/>
    <n v="0.22389999999999999"/>
    <n v="1"/>
    <n v="22"/>
    <n v="23"/>
  </r>
  <r>
    <n v="619"/>
    <x v="28"/>
    <x v="0"/>
    <x v="0"/>
    <x v="0"/>
    <x v="0"/>
    <x v="1"/>
    <n v="0.19700000000000001"/>
    <n v="0.64"/>
    <n v="0.35820000000000002"/>
    <n v="2"/>
    <n v="26"/>
    <n v="28"/>
  </r>
  <r>
    <n v="620"/>
    <x v="28"/>
    <x v="1"/>
    <x v="0"/>
    <x v="0"/>
    <x v="0"/>
    <x v="1"/>
    <n v="0.2273"/>
    <n v="0.64"/>
    <n v="0.19400000000000001"/>
    <n v="0"/>
    <n v="20"/>
    <n v="20"/>
  </r>
  <r>
    <n v="621"/>
    <x v="28"/>
    <x v="2"/>
    <x v="0"/>
    <x v="0"/>
    <x v="0"/>
    <x v="1"/>
    <n v="0.2273"/>
    <n v="0.64"/>
    <n v="0.16420000000000001"/>
    <n v="0"/>
    <n v="15"/>
    <n v="15"/>
  </r>
  <r>
    <n v="622"/>
    <x v="28"/>
    <x v="3"/>
    <x v="0"/>
    <x v="0"/>
    <x v="0"/>
    <x v="2"/>
    <n v="0.21210000000000001"/>
    <n v="0.64"/>
    <n v="0.1343"/>
    <n v="3"/>
    <n v="5"/>
    <n v="8"/>
  </r>
  <r>
    <n v="623"/>
    <x v="28"/>
    <x v="4"/>
    <x v="0"/>
    <x v="0"/>
    <x v="0"/>
    <x v="13"/>
    <n v="0.18179999999999999"/>
    <n v="0.69"/>
    <n v="0.1045"/>
    <n v="1"/>
    <n v="2"/>
    <n v="3"/>
  </r>
  <r>
    <n v="624"/>
    <x v="28"/>
    <x v="6"/>
    <x v="0"/>
    <x v="0"/>
    <x v="0"/>
    <x v="13"/>
    <n v="0.18179999999999999"/>
    <n v="0.64"/>
    <n v="0.1343"/>
    <n v="0"/>
    <n v="2"/>
    <n v="2"/>
  </r>
  <r>
    <n v="625"/>
    <x v="28"/>
    <x v="7"/>
    <x v="0"/>
    <x v="0"/>
    <x v="0"/>
    <x v="13"/>
    <n v="0.18179999999999999"/>
    <n v="0.59"/>
    <n v="0.1045"/>
    <n v="1"/>
    <n v="4"/>
    <n v="5"/>
  </r>
  <r>
    <n v="626"/>
    <x v="28"/>
    <x v="8"/>
    <x v="0"/>
    <x v="0"/>
    <x v="0"/>
    <x v="15"/>
    <n v="0.19700000000000001"/>
    <n v="0.55000000000000004"/>
    <n v="0.16420000000000001"/>
    <n v="3"/>
    <n v="31"/>
    <n v="34"/>
  </r>
  <r>
    <n v="627"/>
    <x v="28"/>
    <x v="9"/>
    <x v="0"/>
    <x v="0"/>
    <x v="0"/>
    <x v="15"/>
    <n v="0.21210000000000001"/>
    <n v="0.59"/>
    <n v="8.9599999999999999E-2"/>
    <n v="0"/>
    <n v="34"/>
    <n v="34"/>
  </r>
  <r>
    <n v="628"/>
    <x v="28"/>
    <x v="10"/>
    <x v="0"/>
    <x v="0"/>
    <x v="1"/>
    <x v="15"/>
    <n v="0.21210000000000001"/>
    <n v="0.64"/>
    <n v="0.1045"/>
    <n v="4"/>
    <n v="51"/>
    <n v="55"/>
  </r>
  <r>
    <n v="629"/>
    <x v="28"/>
    <x v="11"/>
    <x v="0"/>
    <x v="0"/>
    <x v="1"/>
    <x v="15"/>
    <n v="0.19700000000000001"/>
    <n v="0.64"/>
    <n v="0.1343"/>
    <n v="4"/>
    <n v="60"/>
    <n v="64"/>
  </r>
  <r>
    <n v="630"/>
    <x v="28"/>
    <x v="12"/>
    <x v="0"/>
    <x v="0"/>
    <x v="1"/>
    <x v="2"/>
    <n v="0.19700000000000001"/>
    <n v="0.59"/>
    <n v="0.19400000000000001"/>
    <n v="12"/>
    <n v="66"/>
    <n v="78"/>
  </r>
  <r>
    <n v="631"/>
    <x v="28"/>
    <x v="13"/>
    <x v="0"/>
    <x v="0"/>
    <x v="1"/>
    <x v="1"/>
    <n v="0.2273"/>
    <n v="0.55000000000000004"/>
    <n v="0.16420000000000001"/>
    <n v="9"/>
    <n v="56"/>
    <n v="65"/>
  </r>
  <r>
    <n v="632"/>
    <x v="28"/>
    <x v="14"/>
    <x v="0"/>
    <x v="0"/>
    <x v="1"/>
    <x v="1"/>
    <n v="0.2273"/>
    <n v="0.6"/>
    <n v="0.1343"/>
    <n v="10"/>
    <n v="89"/>
    <n v="99"/>
  </r>
  <r>
    <n v="633"/>
    <x v="28"/>
    <x v="15"/>
    <x v="0"/>
    <x v="0"/>
    <x v="0"/>
    <x v="1"/>
    <n v="0.21210000000000001"/>
    <n v="0.69"/>
    <n v="0.25369999999999998"/>
    <n v="22"/>
    <n v="98"/>
    <n v="120"/>
  </r>
  <r>
    <n v="634"/>
    <x v="28"/>
    <x v="16"/>
    <x v="0"/>
    <x v="0"/>
    <x v="0"/>
    <x v="0"/>
    <n v="0.2424"/>
    <n v="0.6"/>
    <n v="0.16420000000000001"/>
    <n v="19"/>
    <n v="88"/>
    <n v="107"/>
  </r>
  <r>
    <n v="635"/>
    <x v="28"/>
    <x v="17"/>
    <x v="0"/>
    <x v="0"/>
    <x v="0"/>
    <x v="0"/>
    <n v="0.28789999999999999"/>
    <n v="0.6"/>
    <n v="0"/>
    <n v="9"/>
    <n v="82"/>
    <n v="91"/>
  </r>
  <r>
    <n v="636"/>
    <x v="28"/>
    <x v="18"/>
    <x v="0"/>
    <x v="0"/>
    <x v="0"/>
    <x v="1"/>
    <n v="0.2273"/>
    <n v="0.69"/>
    <n v="0.1343"/>
    <n v="9"/>
    <n v="59"/>
    <n v="68"/>
  </r>
  <r>
    <n v="637"/>
    <x v="28"/>
    <x v="19"/>
    <x v="0"/>
    <x v="0"/>
    <x v="1"/>
    <x v="1"/>
    <n v="0.21210000000000001"/>
    <n v="0.69"/>
    <n v="0.25369999999999998"/>
    <n v="6"/>
    <n v="52"/>
    <n v="58"/>
  </r>
  <r>
    <n v="638"/>
    <x v="28"/>
    <x v="20"/>
    <x v="0"/>
    <x v="0"/>
    <x v="0"/>
    <x v="15"/>
    <n v="0.21210000000000001"/>
    <n v="0.74"/>
    <n v="8.9599999999999999E-2"/>
    <n v="1"/>
    <n v="42"/>
    <n v="43"/>
  </r>
  <r>
    <n v="639"/>
    <x v="28"/>
    <x v="21"/>
    <x v="0"/>
    <x v="0"/>
    <x v="0"/>
    <x v="15"/>
    <n v="0.21210000000000001"/>
    <n v="0.74"/>
    <n v="8.9599999999999999E-2"/>
    <n v="1"/>
    <n v="35"/>
    <n v="36"/>
  </r>
  <r>
    <n v="640"/>
    <x v="28"/>
    <x v="22"/>
    <x v="0"/>
    <x v="0"/>
    <x v="0"/>
    <x v="13"/>
    <n v="0.19700000000000001"/>
    <n v="0.8"/>
    <n v="8.9599999999999999E-2"/>
    <n v="4"/>
    <n v="28"/>
    <n v="32"/>
  </r>
  <r>
    <n v="641"/>
    <x v="28"/>
    <x v="23"/>
    <x v="0"/>
    <x v="0"/>
    <x v="0"/>
    <x v="13"/>
    <n v="0.19700000000000001"/>
    <n v="0.8"/>
    <n v="8.9599999999999999E-2"/>
    <n v="3"/>
    <n v="30"/>
    <n v="33"/>
  </r>
  <r>
    <n v="642"/>
    <x v="29"/>
    <x v="0"/>
    <x v="0"/>
    <x v="1"/>
    <x v="0"/>
    <x v="13"/>
    <n v="0.18179999999999999"/>
    <n v="0.8"/>
    <n v="0.1045"/>
    <n v="0"/>
    <n v="33"/>
    <n v="33"/>
  </r>
  <r>
    <n v="643"/>
    <x v="29"/>
    <x v="1"/>
    <x v="0"/>
    <x v="1"/>
    <x v="0"/>
    <x v="14"/>
    <n v="0.21210000000000001"/>
    <n v="0.8"/>
    <n v="0"/>
    <n v="7"/>
    <n v="22"/>
    <n v="29"/>
  </r>
  <r>
    <n v="644"/>
    <x v="29"/>
    <x v="2"/>
    <x v="0"/>
    <x v="1"/>
    <x v="0"/>
    <x v="13"/>
    <n v="0.2273"/>
    <n v="0.8"/>
    <n v="0"/>
    <n v="1"/>
    <n v="10"/>
    <n v="11"/>
  </r>
  <r>
    <n v="645"/>
    <x v="29"/>
    <x v="3"/>
    <x v="0"/>
    <x v="1"/>
    <x v="0"/>
    <x v="14"/>
    <n v="0.21210000000000001"/>
    <n v="0.93"/>
    <n v="0"/>
    <n v="1"/>
    <n v="7"/>
    <n v="8"/>
  </r>
  <r>
    <n v="646"/>
    <x v="29"/>
    <x v="4"/>
    <x v="0"/>
    <x v="1"/>
    <x v="0"/>
    <x v="14"/>
    <n v="0.21210000000000001"/>
    <n v="0.93"/>
    <n v="0"/>
    <n v="0"/>
    <n v="1"/>
    <n v="1"/>
  </r>
  <r>
    <n v="647"/>
    <x v="29"/>
    <x v="5"/>
    <x v="0"/>
    <x v="1"/>
    <x v="0"/>
    <x v="14"/>
    <n v="0.21210000000000001"/>
    <n v="0.86"/>
    <n v="0"/>
    <n v="0"/>
    <n v="3"/>
    <n v="3"/>
  </r>
  <r>
    <n v="648"/>
    <x v="29"/>
    <x v="7"/>
    <x v="0"/>
    <x v="1"/>
    <x v="0"/>
    <x v="14"/>
    <n v="0.21210000000000001"/>
    <n v="0.86"/>
    <n v="0"/>
    <n v="0"/>
    <n v="3"/>
    <n v="3"/>
  </r>
  <r>
    <n v="649"/>
    <x v="29"/>
    <x v="8"/>
    <x v="0"/>
    <x v="1"/>
    <x v="1"/>
    <x v="14"/>
    <n v="0.21210000000000001"/>
    <n v="0.86"/>
    <n v="0"/>
    <n v="1"/>
    <n v="11"/>
    <n v="12"/>
  </r>
  <r>
    <n v="650"/>
    <x v="29"/>
    <x v="9"/>
    <x v="0"/>
    <x v="1"/>
    <x v="1"/>
    <x v="13"/>
    <n v="0.2273"/>
    <n v="0.8"/>
    <n v="0"/>
    <n v="4"/>
    <n v="34"/>
    <n v="38"/>
  </r>
  <r>
    <n v="651"/>
    <x v="29"/>
    <x v="10"/>
    <x v="0"/>
    <x v="1"/>
    <x v="1"/>
    <x v="15"/>
    <n v="0.2424"/>
    <n v="0.8"/>
    <n v="0"/>
    <n v="7"/>
    <n v="57"/>
    <n v="64"/>
  </r>
  <r>
    <n v="652"/>
    <x v="29"/>
    <x v="11"/>
    <x v="0"/>
    <x v="1"/>
    <x v="0"/>
    <x v="1"/>
    <n v="0.2727"/>
    <n v="0.75"/>
    <n v="0"/>
    <n v="9"/>
    <n v="50"/>
    <n v="59"/>
  </r>
  <r>
    <n v="653"/>
    <x v="29"/>
    <x v="12"/>
    <x v="0"/>
    <x v="1"/>
    <x v="0"/>
    <x v="11"/>
    <n v="0.31819999999999998"/>
    <n v="0.52"/>
    <n v="0.1045"/>
    <n v="10"/>
    <n v="87"/>
    <n v="97"/>
  </r>
  <r>
    <n v="654"/>
    <x v="29"/>
    <x v="13"/>
    <x v="0"/>
    <x v="1"/>
    <x v="0"/>
    <x v="17"/>
    <n v="0.28789999999999999"/>
    <n v="0.61"/>
    <n v="0.1045"/>
    <n v="13"/>
    <n v="71"/>
    <n v="84"/>
  </r>
  <r>
    <n v="655"/>
    <x v="29"/>
    <x v="14"/>
    <x v="0"/>
    <x v="1"/>
    <x v="0"/>
    <x v="17"/>
    <n v="0.30299999999999999"/>
    <n v="0.61"/>
    <n v="8.9599999999999999E-2"/>
    <n v="18"/>
    <n v="104"/>
    <n v="122"/>
  </r>
  <r>
    <n v="656"/>
    <x v="29"/>
    <x v="15"/>
    <x v="0"/>
    <x v="1"/>
    <x v="0"/>
    <x v="11"/>
    <n v="0.33329999999999999"/>
    <n v="0.56000000000000005"/>
    <n v="0"/>
    <n v="14"/>
    <n v="95"/>
    <n v="109"/>
  </r>
  <r>
    <n v="657"/>
    <x v="29"/>
    <x v="16"/>
    <x v="0"/>
    <x v="1"/>
    <x v="0"/>
    <x v="11"/>
    <n v="0.33329999999999999"/>
    <n v="0.56000000000000005"/>
    <n v="0"/>
    <n v="19"/>
    <n v="104"/>
    <n v="123"/>
  </r>
  <r>
    <n v="658"/>
    <x v="29"/>
    <x v="17"/>
    <x v="0"/>
    <x v="1"/>
    <x v="0"/>
    <x v="11"/>
    <n v="0.28789999999999999"/>
    <n v="0.56000000000000005"/>
    <n v="0.19400000000000001"/>
    <n v="6"/>
    <n v="71"/>
    <n v="77"/>
  </r>
  <r>
    <n v="659"/>
    <x v="29"/>
    <x v="18"/>
    <x v="0"/>
    <x v="1"/>
    <x v="0"/>
    <x v="12"/>
    <n v="0.2576"/>
    <n v="0.65"/>
    <n v="0.16420000000000001"/>
    <n v="8"/>
    <n v="57"/>
    <n v="65"/>
  </r>
  <r>
    <n v="660"/>
    <x v="29"/>
    <x v="19"/>
    <x v="0"/>
    <x v="1"/>
    <x v="0"/>
    <x v="12"/>
    <n v="0.2576"/>
    <n v="0.65"/>
    <n v="0.19400000000000001"/>
    <n v="9"/>
    <n v="46"/>
    <n v="55"/>
  </r>
  <r>
    <n v="661"/>
    <x v="29"/>
    <x v="20"/>
    <x v="0"/>
    <x v="1"/>
    <x v="1"/>
    <x v="12"/>
    <n v="0.2727"/>
    <n v="0.65"/>
    <n v="0.1045"/>
    <n v="3"/>
    <n v="30"/>
    <n v="33"/>
  </r>
  <r>
    <n v="662"/>
    <x v="29"/>
    <x v="21"/>
    <x v="0"/>
    <x v="1"/>
    <x v="1"/>
    <x v="0"/>
    <n v="0.2424"/>
    <n v="0.7"/>
    <n v="0.16420000000000001"/>
    <n v="3"/>
    <n v="25"/>
    <n v="28"/>
  </r>
  <r>
    <n v="663"/>
    <x v="29"/>
    <x v="22"/>
    <x v="0"/>
    <x v="1"/>
    <x v="1"/>
    <x v="0"/>
    <n v="0.2273"/>
    <n v="0.7"/>
    <n v="0.19400000000000001"/>
    <n v="2"/>
    <n v="19"/>
    <n v="21"/>
  </r>
  <r>
    <n v="664"/>
    <x v="29"/>
    <x v="23"/>
    <x v="0"/>
    <x v="1"/>
    <x v="1"/>
    <x v="0"/>
    <n v="0.21210000000000001"/>
    <n v="0.65"/>
    <n v="0.28360000000000002"/>
    <n v="5"/>
    <n v="16"/>
    <n v="21"/>
  </r>
  <r>
    <n v="665"/>
    <x v="30"/>
    <x v="0"/>
    <x v="0"/>
    <x v="2"/>
    <x v="1"/>
    <x v="0"/>
    <n v="0.2273"/>
    <n v="0.65"/>
    <n v="0.22389999999999999"/>
    <n v="1"/>
    <n v="6"/>
    <n v="7"/>
  </r>
  <r>
    <n v="666"/>
    <x v="30"/>
    <x v="1"/>
    <x v="0"/>
    <x v="2"/>
    <x v="0"/>
    <x v="1"/>
    <n v="0.21210000000000001"/>
    <n v="0.64"/>
    <n v="0.25369999999999998"/>
    <n v="2"/>
    <n v="5"/>
    <n v="7"/>
  </r>
  <r>
    <n v="667"/>
    <x v="30"/>
    <x v="2"/>
    <x v="0"/>
    <x v="2"/>
    <x v="0"/>
    <x v="1"/>
    <n v="0.2273"/>
    <n v="0.64"/>
    <n v="0.19400000000000001"/>
    <n v="0"/>
    <n v="1"/>
    <n v="1"/>
  </r>
  <r>
    <n v="668"/>
    <x v="30"/>
    <x v="3"/>
    <x v="0"/>
    <x v="2"/>
    <x v="0"/>
    <x v="1"/>
    <n v="0.2273"/>
    <n v="0.64"/>
    <n v="0.19400000000000001"/>
    <n v="0"/>
    <n v="2"/>
    <n v="2"/>
  </r>
  <r>
    <n v="669"/>
    <x v="30"/>
    <x v="4"/>
    <x v="0"/>
    <x v="2"/>
    <x v="0"/>
    <x v="2"/>
    <n v="0.19700000000000001"/>
    <n v="0.59"/>
    <n v="0.22389999999999999"/>
    <n v="0"/>
    <n v="2"/>
    <n v="2"/>
  </r>
  <r>
    <n v="670"/>
    <x v="30"/>
    <x v="5"/>
    <x v="0"/>
    <x v="2"/>
    <x v="0"/>
    <x v="15"/>
    <n v="0.16669999999999999"/>
    <n v="0.64"/>
    <n v="0.28360000000000002"/>
    <n v="0"/>
    <n v="8"/>
    <n v="8"/>
  </r>
  <r>
    <n v="671"/>
    <x v="30"/>
    <x v="6"/>
    <x v="0"/>
    <x v="2"/>
    <x v="0"/>
    <x v="13"/>
    <n v="0.13639999999999999"/>
    <n v="0.69"/>
    <n v="0.32840000000000003"/>
    <n v="0"/>
    <n v="37"/>
    <n v="37"/>
  </r>
  <r>
    <n v="672"/>
    <x v="30"/>
    <x v="7"/>
    <x v="0"/>
    <x v="2"/>
    <x v="1"/>
    <x v="13"/>
    <n v="0.13639999999999999"/>
    <n v="0.64"/>
    <n v="0.28360000000000002"/>
    <n v="1"/>
    <n v="71"/>
    <n v="72"/>
  </r>
  <r>
    <n v="673"/>
    <x v="30"/>
    <x v="8"/>
    <x v="0"/>
    <x v="2"/>
    <x v="1"/>
    <x v="13"/>
    <n v="0.13639999999999999"/>
    <n v="0.59"/>
    <n v="0.28360000000000002"/>
    <n v="3"/>
    <n v="182"/>
    <n v="185"/>
  </r>
  <r>
    <n v="674"/>
    <x v="30"/>
    <x v="9"/>
    <x v="0"/>
    <x v="2"/>
    <x v="1"/>
    <x v="13"/>
    <n v="0.13639999999999999"/>
    <n v="0.59"/>
    <n v="0.29849999999999999"/>
    <n v="0"/>
    <n v="112"/>
    <n v="112"/>
  </r>
  <r>
    <n v="675"/>
    <x v="30"/>
    <x v="10"/>
    <x v="0"/>
    <x v="2"/>
    <x v="1"/>
    <x v="13"/>
    <n v="0.1515"/>
    <n v="0.59"/>
    <n v="0.19400000000000001"/>
    <n v="1"/>
    <n v="68"/>
    <n v="69"/>
  </r>
  <r>
    <n v="676"/>
    <x v="30"/>
    <x v="11"/>
    <x v="0"/>
    <x v="2"/>
    <x v="1"/>
    <x v="13"/>
    <n v="0.1515"/>
    <n v="0.59"/>
    <n v="0.19400000000000001"/>
    <n v="2"/>
    <n v="46"/>
    <n v="48"/>
  </r>
  <r>
    <n v="677"/>
    <x v="30"/>
    <x v="12"/>
    <x v="0"/>
    <x v="2"/>
    <x v="1"/>
    <x v="15"/>
    <n v="0.21210000000000001"/>
    <n v="0.55000000000000004"/>
    <n v="0.1045"/>
    <n v="6"/>
    <n v="62"/>
    <n v="68"/>
  </r>
  <r>
    <n v="678"/>
    <x v="30"/>
    <x v="13"/>
    <x v="0"/>
    <x v="2"/>
    <x v="1"/>
    <x v="13"/>
    <n v="0.2273"/>
    <n v="0.59"/>
    <n v="0"/>
    <n v="2"/>
    <n v="52"/>
    <n v="54"/>
  </r>
  <r>
    <n v="679"/>
    <x v="30"/>
    <x v="14"/>
    <x v="0"/>
    <x v="2"/>
    <x v="1"/>
    <x v="15"/>
    <n v="0.19700000000000001"/>
    <n v="0.55000000000000004"/>
    <n v="0.1343"/>
    <n v="1"/>
    <n v="85"/>
    <n v="86"/>
  </r>
  <r>
    <n v="680"/>
    <x v="30"/>
    <x v="15"/>
    <x v="0"/>
    <x v="2"/>
    <x v="1"/>
    <x v="13"/>
    <n v="0.18179999999999999"/>
    <n v="0.59"/>
    <n v="0.1343"/>
    <n v="3"/>
    <n v="41"/>
    <n v="44"/>
  </r>
  <r>
    <n v="681"/>
    <x v="30"/>
    <x v="16"/>
    <x v="0"/>
    <x v="2"/>
    <x v="1"/>
    <x v="13"/>
    <n v="0.18179999999999999"/>
    <n v="0.56000000000000005"/>
    <n v="0.19400000000000001"/>
    <n v="3"/>
    <n v="83"/>
    <n v="86"/>
  </r>
  <r>
    <n v="682"/>
    <x v="30"/>
    <x v="17"/>
    <x v="0"/>
    <x v="2"/>
    <x v="1"/>
    <x v="13"/>
    <n v="0.1515"/>
    <n v="0.59"/>
    <n v="0.19400000000000001"/>
    <n v="6"/>
    <n v="155"/>
    <n v="161"/>
  </r>
  <r>
    <n v="683"/>
    <x v="30"/>
    <x v="18"/>
    <x v="0"/>
    <x v="2"/>
    <x v="1"/>
    <x v="13"/>
    <n v="0.1515"/>
    <n v="0.55000000000000004"/>
    <n v="0.22389999999999999"/>
    <n v="3"/>
    <n v="153"/>
    <n v="156"/>
  </r>
  <r>
    <n v="684"/>
    <x v="30"/>
    <x v="19"/>
    <x v="0"/>
    <x v="2"/>
    <x v="0"/>
    <x v="11"/>
    <n v="0.31819999999999998"/>
    <n v="0.61"/>
    <n v="0.1045"/>
    <n v="3"/>
    <n v="108"/>
    <n v="111"/>
  </r>
  <r>
    <n v="685"/>
    <x v="30"/>
    <x v="20"/>
    <x v="0"/>
    <x v="2"/>
    <x v="2"/>
    <x v="13"/>
    <n v="0.16669999999999999"/>
    <n v="0.59"/>
    <n v="0.16420000000000001"/>
    <n v="0"/>
    <n v="78"/>
    <n v="78"/>
  </r>
  <r>
    <n v="686"/>
    <x v="30"/>
    <x v="21"/>
    <x v="0"/>
    <x v="2"/>
    <x v="2"/>
    <x v="13"/>
    <n v="0.19700000000000001"/>
    <n v="0.59"/>
    <n v="8.9599999999999999E-2"/>
    <n v="3"/>
    <n v="53"/>
    <n v="56"/>
  </r>
  <r>
    <n v="687"/>
    <x v="30"/>
    <x v="22"/>
    <x v="0"/>
    <x v="2"/>
    <x v="1"/>
    <x v="13"/>
    <n v="0.18179999999999999"/>
    <n v="0.59"/>
    <n v="0.1045"/>
    <n v="0"/>
    <n v="34"/>
    <n v="34"/>
  </r>
  <r>
    <n v="688"/>
    <x v="30"/>
    <x v="23"/>
    <x v="0"/>
    <x v="2"/>
    <x v="1"/>
    <x v="13"/>
    <n v="0.19700000000000001"/>
    <n v="0.64"/>
    <n v="8.9599999999999999E-2"/>
    <n v="2"/>
    <n v="15"/>
    <n v="17"/>
  </r>
  <r>
    <n v="689"/>
    <x v="31"/>
    <x v="0"/>
    <x v="0"/>
    <x v="3"/>
    <x v="1"/>
    <x v="13"/>
    <n v="0.18179999999999999"/>
    <n v="0.64"/>
    <n v="0.1045"/>
    <n v="2"/>
    <n v="6"/>
    <n v="8"/>
  </r>
  <r>
    <n v="690"/>
    <x v="31"/>
    <x v="1"/>
    <x v="0"/>
    <x v="3"/>
    <x v="1"/>
    <x v="13"/>
    <n v="0.18179999999999999"/>
    <n v="0.69"/>
    <n v="0.1045"/>
    <n v="0"/>
    <n v="3"/>
    <n v="3"/>
  </r>
  <r>
    <n v="691"/>
    <x v="31"/>
    <x v="2"/>
    <x v="0"/>
    <x v="3"/>
    <x v="1"/>
    <x v="13"/>
    <n v="0.2273"/>
    <n v="0.69"/>
    <n v="0"/>
    <n v="0"/>
    <n v="2"/>
    <n v="2"/>
  </r>
  <r>
    <n v="692"/>
    <x v="31"/>
    <x v="3"/>
    <x v="0"/>
    <x v="3"/>
    <x v="1"/>
    <x v="13"/>
    <n v="0.2273"/>
    <n v="0.69"/>
    <n v="0"/>
    <n v="0"/>
    <n v="2"/>
    <n v="2"/>
  </r>
  <r>
    <n v="693"/>
    <x v="31"/>
    <x v="5"/>
    <x v="0"/>
    <x v="3"/>
    <x v="2"/>
    <x v="14"/>
    <n v="0.21210000000000001"/>
    <n v="0.93"/>
    <n v="0"/>
    <n v="0"/>
    <n v="3"/>
    <n v="3"/>
  </r>
  <r>
    <n v="694"/>
    <x v="31"/>
    <x v="6"/>
    <x v="0"/>
    <x v="3"/>
    <x v="2"/>
    <x v="14"/>
    <n v="0.21210000000000001"/>
    <n v="0.93"/>
    <n v="0"/>
    <n v="0"/>
    <n v="22"/>
    <n v="22"/>
  </r>
  <r>
    <n v="695"/>
    <x v="31"/>
    <x v="7"/>
    <x v="0"/>
    <x v="3"/>
    <x v="2"/>
    <x v="13"/>
    <n v="0.2273"/>
    <n v="0.93"/>
    <n v="0"/>
    <n v="0"/>
    <n v="52"/>
    <n v="52"/>
  </r>
  <r>
    <n v="696"/>
    <x v="31"/>
    <x v="8"/>
    <x v="0"/>
    <x v="3"/>
    <x v="2"/>
    <x v="13"/>
    <n v="0.2273"/>
    <n v="0.93"/>
    <n v="0"/>
    <n v="3"/>
    <n v="132"/>
    <n v="135"/>
  </r>
  <r>
    <n v="697"/>
    <x v="31"/>
    <x v="9"/>
    <x v="0"/>
    <x v="3"/>
    <x v="1"/>
    <x v="13"/>
    <n v="0.2273"/>
    <n v="0.93"/>
    <n v="0"/>
    <n v="2"/>
    <n v="114"/>
    <n v="116"/>
  </r>
  <r>
    <n v="698"/>
    <x v="31"/>
    <x v="10"/>
    <x v="0"/>
    <x v="3"/>
    <x v="1"/>
    <x v="13"/>
    <n v="0.2273"/>
    <n v="0.93"/>
    <n v="0"/>
    <n v="0"/>
    <n v="47"/>
    <n v="47"/>
  </r>
  <r>
    <n v="699"/>
    <x v="31"/>
    <x v="11"/>
    <x v="0"/>
    <x v="3"/>
    <x v="1"/>
    <x v="15"/>
    <n v="0.2424"/>
    <n v="0.86"/>
    <n v="0"/>
    <n v="2"/>
    <n v="49"/>
    <n v="51"/>
  </r>
  <r>
    <n v="700"/>
    <x v="31"/>
    <x v="12"/>
    <x v="0"/>
    <x v="3"/>
    <x v="1"/>
    <x v="2"/>
    <n v="0.2576"/>
    <n v="0.86"/>
    <n v="0"/>
    <n v="2"/>
    <n v="53"/>
    <n v="55"/>
  </r>
  <r>
    <n v="701"/>
    <x v="31"/>
    <x v="13"/>
    <x v="0"/>
    <x v="3"/>
    <x v="1"/>
    <x v="2"/>
    <n v="0.2576"/>
    <n v="0.86"/>
    <n v="0"/>
    <n v="3"/>
    <n v="49"/>
    <n v="52"/>
  </r>
  <r>
    <n v="702"/>
    <x v="31"/>
    <x v="14"/>
    <x v="0"/>
    <x v="3"/>
    <x v="1"/>
    <x v="1"/>
    <n v="0.2576"/>
    <n v="0.8"/>
    <n v="8.9599999999999999E-2"/>
    <n v="5"/>
    <n v="49"/>
    <n v="54"/>
  </r>
  <r>
    <n v="703"/>
    <x v="31"/>
    <x v="15"/>
    <x v="0"/>
    <x v="3"/>
    <x v="1"/>
    <x v="0"/>
    <n v="0.28789999999999999"/>
    <n v="0.75"/>
    <n v="0"/>
    <n v="7"/>
    <n v="45"/>
    <n v="52"/>
  </r>
  <r>
    <n v="704"/>
    <x v="31"/>
    <x v="16"/>
    <x v="0"/>
    <x v="3"/>
    <x v="1"/>
    <x v="0"/>
    <n v="0.2424"/>
    <n v="0.75"/>
    <n v="0.1343"/>
    <n v="3"/>
    <n v="61"/>
    <n v="64"/>
  </r>
  <r>
    <n v="705"/>
    <x v="31"/>
    <x v="17"/>
    <x v="0"/>
    <x v="3"/>
    <x v="1"/>
    <x v="0"/>
    <n v="0.28789999999999999"/>
    <n v="0.75"/>
    <n v="0"/>
    <n v="4"/>
    <n v="172"/>
    <n v="176"/>
  </r>
  <r>
    <n v="706"/>
    <x v="31"/>
    <x v="18"/>
    <x v="0"/>
    <x v="3"/>
    <x v="1"/>
    <x v="0"/>
    <n v="0.2576"/>
    <n v="0.81"/>
    <n v="0.1045"/>
    <n v="3"/>
    <n v="165"/>
    <n v="168"/>
  </r>
  <r>
    <n v="707"/>
    <x v="31"/>
    <x v="19"/>
    <x v="0"/>
    <x v="3"/>
    <x v="1"/>
    <x v="0"/>
    <n v="0.2424"/>
    <n v="0.81"/>
    <n v="0.1343"/>
    <n v="3"/>
    <n v="105"/>
    <n v="108"/>
  </r>
  <r>
    <n v="708"/>
    <x v="31"/>
    <x v="20"/>
    <x v="0"/>
    <x v="3"/>
    <x v="1"/>
    <x v="1"/>
    <n v="0.2273"/>
    <n v="0.87"/>
    <n v="0.1343"/>
    <n v="5"/>
    <n v="69"/>
    <n v="74"/>
  </r>
  <r>
    <n v="709"/>
    <x v="31"/>
    <x v="21"/>
    <x v="0"/>
    <x v="3"/>
    <x v="1"/>
    <x v="1"/>
    <n v="0.2273"/>
    <n v="0.87"/>
    <n v="0.1343"/>
    <n v="0"/>
    <n v="64"/>
    <n v="64"/>
  </r>
  <r>
    <n v="710"/>
    <x v="31"/>
    <x v="22"/>
    <x v="0"/>
    <x v="3"/>
    <x v="1"/>
    <x v="1"/>
    <n v="0.2576"/>
    <n v="0.87"/>
    <n v="8.9599999999999999E-2"/>
    <n v="2"/>
    <n v="34"/>
    <n v="36"/>
  </r>
  <r>
    <n v="711"/>
    <x v="31"/>
    <x v="23"/>
    <x v="0"/>
    <x v="3"/>
    <x v="2"/>
    <x v="2"/>
    <n v="0.19700000000000001"/>
    <n v="0.93"/>
    <n v="0.19400000000000001"/>
    <n v="1"/>
    <n v="15"/>
    <n v="16"/>
  </r>
  <r>
    <n v="712"/>
    <x v="32"/>
    <x v="0"/>
    <x v="0"/>
    <x v="4"/>
    <x v="2"/>
    <x v="1"/>
    <n v="0.2424"/>
    <n v="0.93"/>
    <n v="0.1045"/>
    <n v="0"/>
    <n v="2"/>
    <n v="2"/>
  </r>
  <r>
    <n v="713"/>
    <x v="32"/>
    <x v="1"/>
    <x v="0"/>
    <x v="4"/>
    <x v="2"/>
    <x v="1"/>
    <n v="0.2273"/>
    <n v="0.93"/>
    <n v="0.19400000000000001"/>
    <n v="0"/>
    <n v="3"/>
    <n v="3"/>
  </r>
  <r>
    <n v="714"/>
    <x v="32"/>
    <x v="2"/>
    <x v="0"/>
    <x v="4"/>
    <x v="2"/>
    <x v="1"/>
    <n v="0.2273"/>
    <n v="0.93"/>
    <n v="0.1343"/>
    <n v="4"/>
    <n v="0"/>
    <n v="4"/>
  </r>
  <r>
    <n v="715"/>
    <x v="32"/>
    <x v="3"/>
    <x v="0"/>
    <x v="4"/>
    <x v="2"/>
    <x v="1"/>
    <n v="0.2273"/>
    <n v="0.93"/>
    <n v="0.1343"/>
    <n v="0"/>
    <n v="1"/>
    <n v="1"/>
  </r>
  <r>
    <n v="716"/>
    <x v="32"/>
    <x v="4"/>
    <x v="0"/>
    <x v="4"/>
    <x v="2"/>
    <x v="1"/>
    <n v="0.21210000000000001"/>
    <n v="0.93"/>
    <n v="0.28360000000000002"/>
    <n v="0"/>
    <n v="1"/>
    <n v="1"/>
  </r>
  <r>
    <n v="717"/>
    <x v="32"/>
    <x v="5"/>
    <x v="0"/>
    <x v="4"/>
    <x v="2"/>
    <x v="1"/>
    <n v="0.2424"/>
    <n v="0.93"/>
    <n v="0.1045"/>
    <n v="0"/>
    <n v="3"/>
    <n v="3"/>
  </r>
  <r>
    <n v="718"/>
    <x v="32"/>
    <x v="6"/>
    <x v="0"/>
    <x v="4"/>
    <x v="2"/>
    <x v="1"/>
    <n v="0.2424"/>
    <n v="0.93"/>
    <n v="0.1045"/>
    <n v="1"/>
    <n v="17"/>
    <n v="18"/>
  </r>
  <r>
    <n v="719"/>
    <x v="32"/>
    <x v="7"/>
    <x v="0"/>
    <x v="4"/>
    <x v="2"/>
    <x v="1"/>
    <n v="0.21210000000000001"/>
    <n v="0.93"/>
    <n v="0.22389999999999999"/>
    <n v="1"/>
    <n v="48"/>
    <n v="49"/>
  </r>
  <r>
    <n v="720"/>
    <x v="32"/>
    <x v="8"/>
    <x v="0"/>
    <x v="4"/>
    <x v="2"/>
    <x v="1"/>
    <n v="0.21210000000000001"/>
    <n v="0.93"/>
    <n v="0.22389999999999999"/>
    <n v="1"/>
    <n v="154"/>
    <n v="155"/>
  </r>
  <r>
    <n v="721"/>
    <x v="32"/>
    <x v="9"/>
    <x v="0"/>
    <x v="4"/>
    <x v="1"/>
    <x v="0"/>
    <n v="0.2576"/>
    <n v="0.93"/>
    <n v="8.9599999999999999E-2"/>
    <n v="4"/>
    <n v="119"/>
    <n v="123"/>
  </r>
  <r>
    <n v="722"/>
    <x v="32"/>
    <x v="10"/>
    <x v="0"/>
    <x v="4"/>
    <x v="1"/>
    <x v="1"/>
    <n v="0.2727"/>
    <n v="1"/>
    <n v="0"/>
    <n v="2"/>
    <n v="59"/>
    <n v="61"/>
  </r>
  <r>
    <n v="723"/>
    <x v="32"/>
    <x v="11"/>
    <x v="0"/>
    <x v="4"/>
    <x v="1"/>
    <x v="0"/>
    <n v="0.2273"/>
    <n v="0.93"/>
    <n v="0.19400000000000001"/>
    <n v="5"/>
    <n v="47"/>
    <n v="52"/>
  </r>
  <r>
    <n v="724"/>
    <x v="32"/>
    <x v="12"/>
    <x v="0"/>
    <x v="4"/>
    <x v="1"/>
    <x v="0"/>
    <n v="0.2273"/>
    <n v="0.93"/>
    <n v="0.22389999999999999"/>
    <n v="3"/>
    <n v="61"/>
    <n v="64"/>
  </r>
  <r>
    <n v="725"/>
    <x v="32"/>
    <x v="13"/>
    <x v="0"/>
    <x v="4"/>
    <x v="0"/>
    <x v="10"/>
    <n v="0.33329999999999999"/>
    <n v="0.93"/>
    <n v="0.16420000000000001"/>
    <n v="1"/>
    <n v="74"/>
    <n v="75"/>
  </r>
  <r>
    <n v="726"/>
    <x v="32"/>
    <x v="14"/>
    <x v="0"/>
    <x v="4"/>
    <x v="0"/>
    <x v="4"/>
    <n v="0.39389999999999997"/>
    <n v="0.82"/>
    <n v="0.3881"/>
    <n v="2"/>
    <n v="61"/>
    <n v="63"/>
  </r>
  <r>
    <n v="727"/>
    <x v="32"/>
    <x v="15"/>
    <x v="0"/>
    <x v="4"/>
    <x v="0"/>
    <x v="4"/>
    <n v="0.39389999999999997"/>
    <n v="0.76"/>
    <n v="0.32840000000000003"/>
    <n v="10"/>
    <n v="66"/>
    <n v="76"/>
  </r>
  <r>
    <n v="728"/>
    <x v="32"/>
    <x v="16"/>
    <x v="0"/>
    <x v="4"/>
    <x v="0"/>
    <x v="5"/>
    <n v="0.33329999999999999"/>
    <n v="0.71"/>
    <n v="0.29849999999999999"/>
    <n v="8"/>
    <n v="95"/>
    <n v="103"/>
  </r>
  <r>
    <n v="729"/>
    <x v="32"/>
    <x v="17"/>
    <x v="0"/>
    <x v="4"/>
    <x v="0"/>
    <x v="5"/>
    <n v="0.31819999999999998"/>
    <n v="0.53"/>
    <n v="0.52239999999999998"/>
    <n v="7"/>
    <n v="183"/>
    <n v="190"/>
  </r>
  <r>
    <n v="730"/>
    <x v="32"/>
    <x v="18"/>
    <x v="0"/>
    <x v="4"/>
    <x v="0"/>
    <x v="10"/>
    <n v="0.28789999999999999"/>
    <n v="0.42"/>
    <n v="0.55220000000000002"/>
    <n v="7"/>
    <n v="175"/>
    <n v="182"/>
  </r>
  <r>
    <n v="731"/>
    <x v="32"/>
    <x v="19"/>
    <x v="0"/>
    <x v="4"/>
    <x v="0"/>
    <x v="17"/>
    <n v="0.2424"/>
    <n v="0.45"/>
    <n v="0.49249999999999999"/>
    <n v="3"/>
    <n v="88"/>
    <n v="91"/>
  </r>
  <r>
    <n v="732"/>
    <x v="32"/>
    <x v="20"/>
    <x v="0"/>
    <x v="4"/>
    <x v="0"/>
    <x v="0"/>
    <n v="0.19700000000000001"/>
    <n v="0.48"/>
    <n v="0.55220000000000002"/>
    <n v="4"/>
    <n v="71"/>
    <n v="75"/>
  </r>
  <r>
    <n v="733"/>
    <x v="32"/>
    <x v="21"/>
    <x v="0"/>
    <x v="4"/>
    <x v="0"/>
    <x v="1"/>
    <n v="0.19700000000000001"/>
    <n v="0.47"/>
    <n v="0.32840000000000003"/>
    <n v="1"/>
    <n v="62"/>
    <n v="63"/>
  </r>
  <r>
    <n v="734"/>
    <x v="32"/>
    <x v="22"/>
    <x v="0"/>
    <x v="4"/>
    <x v="0"/>
    <x v="1"/>
    <n v="0.21210000000000001"/>
    <n v="0.44"/>
    <n v="0.25369999999999998"/>
    <n v="5"/>
    <n v="35"/>
    <n v="40"/>
  </r>
  <r>
    <n v="735"/>
    <x v="32"/>
    <x v="23"/>
    <x v="0"/>
    <x v="4"/>
    <x v="0"/>
    <x v="2"/>
    <n v="0.16669999999999999"/>
    <n v="0.44"/>
    <n v="0.44779999999999998"/>
    <n v="3"/>
    <n v="29"/>
    <n v="32"/>
  </r>
  <r>
    <n v="736"/>
    <x v="33"/>
    <x v="0"/>
    <x v="0"/>
    <x v="5"/>
    <x v="0"/>
    <x v="2"/>
    <n v="0.16669999999999999"/>
    <n v="0.4"/>
    <n v="0.44779999999999998"/>
    <n v="1"/>
    <n v="11"/>
    <n v="12"/>
  </r>
  <r>
    <n v="737"/>
    <x v="33"/>
    <x v="1"/>
    <x v="0"/>
    <x v="5"/>
    <x v="0"/>
    <x v="2"/>
    <n v="0.1515"/>
    <n v="0.44"/>
    <n v="0.52239999999999998"/>
    <n v="0"/>
    <n v="5"/>
    <n v="5"/>
  </r>
  <r>
    <n v="738"/>
    <x v="33"/>
    <x v="2"/>
    <x v="0"/>
    <x v="5"/>
    <x v="0"/>
    <x v="15"/>
    <n v="0.16669999999999999"/>
    <n v="0.43"/>
    <n v="0.25369999999999998"/>
    <n v="0"/>
    <n v="2"/>
    <n v="2"/>
  </r>
  <r>
    <n v="739"/>
    <x v="33"/>
    <x v="3"/>
    <x v="0"/>
    <x v="5"/>
    <x v="0"/>
    <x v="15"/>
    <n v="0.16669999999999999"/>
    <n v="0.43"/>
    <n v="0.25369999999999998"/>
    <n v="0"/>
    <n v="1"/>
    <n v="1"/>
  </r>
  <r>
    <n v="740"/>
    <x v="33"/>
    <x v="5"/>
    <x v="0"/>
    <x v="5"/>
    <x v="0"/>
    <x v="13"/>
    <n v="0.13639999999999999"/>
    <n v="0.5"/>
    <n v="0.29849999999999999"/>
    <n v="0"/>
    <n v="2"/>
    <n v="2"/>
  </r>
  <r>
    <n v="741"/>
    <x v="33"/>
    <x v="6"/>
    <x v="0"/>
    <x v="5"/>
    <x v="0"/>
    <x v="13"/>
    <n v="0.13639999999999999"/>
    <n v="0.43"/>
    <n v="0.35820000000000002"/>
    <n v="0"/>
    <n v="39"/>
    <n v="39"/>
  </r>
  <r>
    <n v="742"/>
    <x v="33"/>
    <x v="7"/>
    <x v="0"/>
    <x v="5"/>
    <x v="0"/>
    <x v="14"/>
    <n v="0.1212"/>
    <n v="0.5"/>
    <n v="0.32840000000000003"/>
    <n v="1"/>
    <n v="86"/>
    <n v="87"/>
  </r>
  <r>
    <n v="743"/>
    <x v="33"/>
    <x v="8"/>
    <x v="0"/>
    <x v="5"/>
    <x v="0"/>
    <x v="14"/>
    <n v="0.1212"/>
    <n v="0.5"/>
    <n v="0.35820000000000002"/>
    <n v="4"/>
    <n v="184"/>
    <n v="188"/>
  </r>
  <r>
    <n v="744"/>
    <x v="33"/>
    <x v="9"/>
    <x v="0"/>
    <x v="5"/>
    <x v="0"/>
    <x v="13"/>
    <n v="0.13639999999999999"/>
    <n v="0.47"/>
    <n v="0.29849999999999999"/>
    <n v="6"/>
    <n v="127"/>
    <n v="133"/>
  </r>
  <r>
    <n v="745"/>
    <x v="33"/>
    <x v="10"/>
    <x v="0"/>
    <x v="5"/>
    <x v="0"/>
    <x v="15"/>
    <n v="0.1515"/>
    <n v="0.43"/>
    <n v="0.32840000000000003"/>
    <n v="2"/>
    <n v="50"/>
    <n v="52"/>
  </r>
  <r>
    <n v="746"/>
    <x v="33"/>
    <x v="11"/>
    <x v="0"/>
    <x v="5"/>
    <x v="0"/>
    <x v="15"/>
    <n v="0.13639999999999999"/>
    <n v="0.43"/>
    <n v="0.44779999999999998"/>
    <n v="9"/>
    <n v="55"/>
    <n v="64"/>
  </r>
  <r>
    <n v="747"/>
    <x v="33"/>
    <x v="12"/>
    <x v="0"/>
    <x v="5"/>
    <x v="0"/>
    <x v="2"/>
    <n v="0.18179999999999999"/>
    <n v="0.4"/>
    <n v="0.35820000000000002"/>
    <n v="2"/>
    <n v="67"/>
    <n v="69"/>
  </r>
  <r>
    <n v="748"/>
    <x v="33"/>
    <x v="13"/>
    <x v="0"/>
    <x v="5"/>
    <x v="0"/>
    <x v="2"/>
    <n v="0.16669999999999999"/>
    <n v="0.4"/>
    <n v="0.41789999999999999"/>
    <n v="4"/>
    <n v="47"/>
    <n v="51"/>
  </r>
  <r>
    <n v="749"/>
    <x v="33"/>
    <x v="14"/>
    <x v="0"/>
    <x v="5"/>
    <x v="0"/>
    <x v="1"/>
    <n v="0.19700000000000001"/>
    <n v="0.37"/>
    <n v="0.3881"/>
    <n v="4"/>
    <n v="43"/>
    <n v="47"/>
  </r>
  <r>
    <n v="750"/>
    <x v="33"/>
    <x v="15"/>
    <x v="0"/>
    <x v="5"/>
    <x v="0"/>
    <x v="1"/>
    <n v="0.19700000000000001"/>
    <n v="0.37"/>
    <n v="0.32840000000000003"/>
    <n v="4"/>
    <n v="56"/>
    <n v="60"/>
  </r>
  <r>
    <n v="751"/>
    <x v="33"/>
    <x v="16"/>
    <x v="0"/>
    <x v="5"/>
    <x v="0"/>
    <x v="1"/>
    <n v="0.21210000000000001"/>
    <n v="0.37"/>
    <n v="0.25369999999999998"/>
    <n v="5"/>
    <n v="73"/>
    <n v="78"/>
  </r>
  <r>
    <n v="752"/>
    <x v="33"/>
    <x v="17"/>
    <x v="0"/>
    <x v="5"/>
    <x v="0"/>
    <x v="2"/>
    <n v="0.19700000000000001"/>
    <n v="0.4"/>
    <n v="0.19400000000000001"/>
    <n v="5"/>
    <n v="170"/>
    <n v="175"/>
  </r>
  <r>
    <n v="753"/>
    <x v="33"/>
    <x v="18"/>
    <x v="0"/>
    <x v="5"/>
    <x v="0"/>
    <x v="2"/>
    <n v="0.21210000000000001"/>
    <n v="0.4"/>
    <n v="0.16420000000000001"/>
    <n v="2"/>
    <n v="145"/>
    <n v="147"/>
  </r>
  <r>
    <n v="754"/>
    <x v="33"/>
    <x v="19"/>
    <x v="0"/>
    <x v="5"/>
    <x v="0"/>
    <x v="2"/>
    <n v="0.2576"/>
    <n v="0.4"/>
    <n v="0"/>
    <n v="4"/>
    <n v="92"/>
    <n v="96"/>
  </r>
  <r>
    <n v="755"/>
    <x v="33"/>
    <x v="20"/>
    <x v="0"/>
    <x v="5"/>
    <x v="0"/>
    <x v="2"/>
    <n v="0.2273"/>
    <n v="0.47"/>
    <n v="8.9599999999999999E-2"/>
    <n v="1"/>
    <n v="108"/>
    <n v="109"/>
  </r>
  <r>
    <n v="756"/>
    <x v="33"/>
    <x v="21"/>
    <x v="0"/>
    <x v="5"/>
    <x v="0"/>
    <x v="15"/>
    <n v="0.21210000000000001"/>
    <n v="0.55000000000000004"/>
    <n v="0.1045"/>
    <n v="1"/>
    <n v="53"/>
    <n v="54"/>
  </r>
  <r>
    <n v="757"/>
    <x v="33"/>
    <x v="22"/>
    <x v="0"/>
    <x v="5"/>
    <x v="0"/>
    <x v="15"/>
    <n v="0.21210000000000001"/>
    <n v="0.51"/>
    <n v="8.9599999999999999E-2"/>
    <n v="2"/>
    <n v="39"/>
    <n v="41"/>
  </r>
  <r>
    <n v="758"/>
    <x v="33"/>
    <x v="23"/>
    <x v="0"/>
    <x v="5"/>
    <x v="0"/>
    <x v="2"/>
    <n v="0.2273"/>
    <n v="0.47"/>
    <n v="0.1045"/>
    <n v="4"/>
    <n v="34"/>
    <n v="38"/>
  </r>
  <r>
    <n v="759"/>
    <x v="34"/>
    <x v="0"/>
    <x v="0"/>
    <x v="6"/>
    <x v="1"/>
    <x v="2"/>
    <n v="0.2576"/>
    <n v="0.44"/>
    <n v="0"/>
    <n v="3"/>
    <n v="10"/>
    <n v="13"/>
  </r>
  <r>
    <n v="760"/>
    <x v="34"/>
    <x v="1"/>
    <x v="0"/>
    <x v="6"/>
    <x v="1"/>
    <x v="13"/>
    <n v="0.2273"/>
    <n v="0.59"/>
    <n v="0"/>
    <n v="0"/>
    <n v="7"/>
    <n v="7"/>
  </r>
  <r>
    <n v="761"/>
    <x v="34"/>
    <x v="2"/>
    <x v="0"/>
    <x v="6"/>
    <x v="1"/>
    <x v="14"/>
    <n v="0.16669999999999999"/>
    <n v="0.63"/>
    <n v="0.1045"/>
    <n v="0"/>
    <n v="1"/>
    <n v="1"/>
  </r>
  <r>
    <n v="762"/>
    <x v="34"/>
    <x v="3"/>
    <x v="0"/>
    <x v="6"/>
    <x v="1"/>
    <x v="14"/>
    <n v="0.16669999999999999"/>
    <n v="0.63"/>
    <n v="0.1045"/>
    <n v="0"/>
    <n v="1"/>
    <n v="1"/>
  </r>
  <r>
    <n v="763"/>
    <x v="34"/>
    <x v="5"/>
    <x v="0"/>
    <x v="6"/>
    <x v="1"/>
    <x v="14"/>
    <n v="0.1515"/>
    <n v="0.63"/>
    <n v="0.1343"/>
    <n v="0"/>
    <n v="7"/>
    <n v="7"/>
  </r>
  <r>
    <n v="764"/>
    <x v="34"/>
    <x v="6"/>
    <x v="0"/>
    <x v="6"/>
    <x v="1"/>
    <x v="13"/>
    <n v="0.2273"/>
    <n v="0.55000000000000004"/>
    <n v="0"/>
    <n v="2"/>
    <n v="26"/>
    <n v="28"/>
  </r>
  <r>
    <n v="765"/>
    <x v="34"/>
    <x v="7"/>
    <x v="0"/>
    <x v="6"/>
    <x v="0"/>
    <x v="14"/>
    <n v="0.21210000000000001"/>
    <n v="0.59"/>
    <n v="0"/>
    <n v="0"/>
    <n v="87"/>
    <n v="87"/>
  </r>
  <r>
    <n v="766"/>
    <x v="34"/>
    <x v="8"/>
    <x v="0"/>
    <x v="6"/>
    <x v="0"/>
    <x v="14"/>
    <n v="0.1515"/>
    <n v="0.74"/>
    <n v="0.1343"/>
    <n v="3"/>
    <n v="217"/>
    <n v="220"/>
  </r>
  <r>
    <n v="767"/>
    <x v="34"/>
    <x v="9"/>
    <x v="0"/>
    <x v="6"/>
    <x v="1"/>
    <x v="13"/>
    <n v="0.18179999999999999"/>
    <n v="0.8"/>
    <n v="0.1343"/>
    <n v="3"/>
    <n v="124"/>
    <n v="127"/>
  </r>
  <r>
    <n v="768"/>
    <x v="34"/>
    <x v="10"/>
    <x v="0"/>
    <x v="6"/>
    <x v="1"/>
    <x v="2"/>
    <n v="0.21210000000000001"/>
    <n v="0.51"/>
    <n v="0.1343"/>
    <n v="5"/>
    <n v="46"/>
    <n v="51"/>
  </r>
  <r>
    <n v="769"/>
    <x v="34"/>
    <x v="11"/>
    <x v="0"/>
    <x v="6"/>
    <x v="0"/>
    <x v="1"/>
    <n v="0.2273"/>
    <n v="0.51"/>
    <n v="0.16420000000000001"/>
    <n v="3"/>
    <n v="61"/>
    <n v="64"/>
  </r>
  <r>
    <n v="770"/>
    <x v="34"/>
    <x v="12"/>
    <x v="0"/>
    <x v="6"/>
    <x v="1"/>
    <x v="0"/>
    <n v="0.2424"/>
    <n v="0.48"/>
    <n v="0.16420000000000001"/>
    <n v="8"/>
    <n v="78"/>
    <n v="86"/>
  </r>
  <r>
    <n v="771"/>
    <x v="34"/>
    <x v="13"/>
    <x v="0"/>
    <x v="6"/>
    <x v="1"/>
    <x v="12"/>
    <n v="0.2576"/>
    <n v="0.5"/>
    <n v="0.22389999999999999"/>
    <n v="9"/>
    <n v="73"/>
    <n v="82"/>
  </r>
  <r>
    <n v="772"/>
    <x v="34"/>
    <x v="14"/>
    <x v="0"/>
    <x v="6"/>
    <x v="1"/>
    <x v="17"/>
    <n v="0.2727"/>
    <n v="0.45"/>
    <n v="0.16420000000000001"/>
    <n v="15"/>
    <n v="76"/>
    <n v="91"/>
  </r>
  <r>
    <n v="773"/>
    <x v="34"/>
    <x v="15"/>
    <x v="0"/>
    <x v="6"/>
    <x v="1"/>
    <x v="17"/>
    <n v="0.2727"/>
    <n v="0.48"/>
    <n v="0.25369999999999998"/>
    <n v="9"/>
    <n v="81"/>
    <n v="90"/>
  </r>
  <r>
    <n v="774"/>
    <x v="34"/>
    <x v="16"/>
    <x v="0"/>
    <x v="6"/>
    <x v="1"/>
    <x v="11"/>
    <n v="0.28789999999999999"/>
    <n v="0.42"/>
    <n v="0.22389999999999999"/>
    <n v="8"/>
    <n v="91"/>
    <n v="99"/>
  </r>
  <r>
    <n v="775"/>
    <x v="34"/>
    <x v="17"/>
    <x v="0"/>
    <x v="6"/>
    <x v="1"/>
    <x v="12"/>
    <n v="0.2727"/>
    <n v="0.56000000000000005"/>
    <n v="0.1343"/>
    <n v="10"/>
    <n v="195"/>
    <n v="205"/>
  </r>
  <r>
    <n v="776"/>
    <x v="34"/>
    <x v="18"/>
    <x v="0"/>
    <x v="6"/>
    <x v="1"/>
    <x v="0"/>
    <n v="0.2576"/>
    <n v="0.6"/>
    <n v="0.1045"/>
    <n v="3"/>
    <n v="152"/>
    <n v="155"/>
  </r>
  <r>
    <n v="777"/>
    <x v="34"/>
    <x v="19"/>
    <x v="0"/>
    <x v="6"/>
    <x v="1"/>
    <x v="0"/>
    <n v="0.2424"/>
    <n v="0.65"/>
    <n v="0.1343"/>
    <n v="1"/>
    <n v="102"/>
    <n v="103"/>
  </r>
  <r>
    <n v="778"/>
    <x v="34"/>
    <x v="20"/>
    <x v="0"/>
    <x v="6"/>
    <x v="1"/>
    <x v="0"/>
    <n v="0.2424"/>
    <n v="0.65"/>
    <n v="0.16420000000000001"/>
    <n v="2"/>
    <n v="69"/>
    <n v="71"/>
  </r>
  <r>
    <n v="779"/>
    <x v="34"/>
    <x v="21"/>
    <x v="0"/>
    <x v="6"/>
    <x v="1"/>
    <x v="0"/>
    <n v="0.2424"/>
    <n v="0.7"/>
    <n v="0.16420000000000001"/>
    <n v="2"/>
    <n v="41"/>
    <n v="43"/>
  </r>
  <r>
    <n v="780"/>
    <x v="34"/>
    <x v="22"/>
    <x v="0"/>
    <x v="6"/>
    <x v="1"/>
    <x v="0"/>
    <n v="0.2424"/>
    <n v="0.65"/>
    <n v="0.16420000000000001"/>
    <n v="1"/>
    <n v="45"/>
    <n v="46"/>
  </r>
  <r>
    <n v="781"/>
    <x v="34"/>
    <x v="23"/>
    <x v="0"/>
    <x v="6"/>
    <x v="1"/>
    <x v="0"/>
    <n v="0.2424"/>
    <n v="0.7"/>
    <n v="0.1343"/>
    <n v="1"/>
    <n v="30"/>
    <n v="31"/>
  </r>
  <r>
    <n v="782"/>
    <x v="35"/>
    <x v="0"/>
    <x v="0"/>
    <x v="0"/>
    <x v="1"/>
    <x v="0"/>
    <n v="0.2424"/>
    <n v="0.7"/>
    <n v="0.16420000000000001"/>
    <n v="3"/>
    <n v="36"/>
    <n v="39"/>
  </r>
  <r>
    <n v="783"/>
    <x v="35"/>
    <x v="1"/>
    <x v="0"/>
    <x v="0"/>
    <x v="1"/>
    <x v="0"/>
    <n v="0.2424"/>
    <n v="0.65"/>
    <n v="0.16420000000000001"/>
    <n v="1"/>
    <n v="17"/>
    <n v="18"/>
  </r>
  <r>
    <n v="784"/>
    <x v="35"/>
    <x v="2"/>
    <x v="0"/>
    <x v="0"/>
    <x v="1"/>
    <x v="0"/>
    <n v="0.2424"/>
    <n v="0.75"/>
    <n v="0.16420000000000001"/>
    <n v="5"/>
    <n v="12"/>
    <n v="17"/>
  </r>
  <r>
    <n v="785"/>
    <x v="35"/>
    <x v="3"/>
    <x v="0"/>
    <x v="0"/>
    <x v="1"/>
    <x v="0"/>
    <n v="0.2424"/>
    <n v="0.75"/>
    <n v="0.16420000000000001"/>
    <n v="1"/>
    <n v="10"/>
    <n v="11"/>
  </r>
  <r>
    <n v="786"/>
    <x v="35"/>
    <x v="4"/>
    <x v="0"/>
    <x v="0"/>
    <x v="2"/>
    <x v="1"/>
    <n v="0.2273"/>
    <n v="0.93"/>
    <n v="0.1343"/>
    <n v="0"/>
    <n v="8"/>
    <n v="8"/>
  </r>
  <r>
    <n v="787"/>
    <x v="35"/>
    <x v="5"/>
    <x v="0"/>
    <x v="0"/>
    <x v="2"/>
    <x v="2"/>
    <n v="0.2273"/>
    <n v="1"/>
    <n v="8.9599999999999999E-2"/>
    <n v="0"/>
    <n v="9"/>
    <n v="9"/>
  </r>
  <r>
    <n v="788"/>
    <x v="35"/>
    <x v="6"/>
    <x v="0"/>
    <x v="0"/>
    <x v="2"/>
    <x v="2"/>
    <n v="0.2576"/>
    <n v="1"/>
    <n v="0"/>
    <n v="0"/>
    <n v="4"/>
    <n v="4"/>
  </r>
  <r>
    <n v="789"/>
    <x v="35"/>
    <x v="7"/>
    <x v="0"/>
    <x v="0"/>
    <x v="2"/>
    <x v="1"/>
    <n v="0.2576"/>
    <n v="0.93"/>
    <n v="8.9599999999999999E-2"/>
    <n v="0"/>
    <n v="4"/>
    <n v="4"/>
  </r>
  <r>
    <n v="790"/>
    <x v="35"/>
    <x v="8"/>
    <x v="0"/>
    <x v="0"/>
    <x v="2"/>
    <x v="2"/>
    <n v="0.2273"/>
    <n v="1"/>
    <n v="8.9599999999999999E-2"/>
    <n v="0"/>
    <n v="10"/>
    <n v="10"/>
  </r>
  <r>
    <n v="791"/>
    <x v="35"/>
    <x v="9"/>
    <x v="0"/>
    <x v="0"/>
    <x v="2"/>
    <x v="2"/>
    <n v="0.2273"/>
    <n v="1"/>
    <n v="8.9599999999999999E-2"/>
    <n v="3"/>
    <n v="17"/>
    <n v="20"/>
  </r>
  <r>
    <n v="792"/>
    <x v="35"/>
    <x v="10"/>
    <x v="0"/>
    <x v="0"/>
    <x v="2"/>
    <x v="2"/>
    <n v="0.21210000000000001"/>
    <n v="1"/>
    <n v="0.1343"/>
    <n v="3"/>
    <n v="31"/>
    <n v="34"/>
  </r>
  <r>
    <n v="793"/>
    <x v="35"/>
    <x v="11"/>
    <x v="0"/>
    <x v="0"/>
    <x v="2"/>
    <x v="1"/>
    <n v="0.2273"/>
    <n v="1"/>
    <n v="0.1343"/>
    <n v="1"/>
    <n v="46"/>
    <n v="47"/>
  </r>
  <r>
    <n v="794"/>
    <x v="35"/>
    <x v="12"/>
    <x v="0"/>
    <x v="0"/>
    <x v="2"/>
    <x v="1"/>
    <n v="0.2273"/>
    <n v="1"/>
    <n v="0.16420000000000001"/>
    <n v="10"/>
    <n v="42"/>
    <n v="52"/>
  </r>
  <r>
    <n v="795"/>
    <x v="35"/>
    <x v="13"/>
    <x v="0"/>
    <x v="0"/>
    <x v="2"/>
    <x v="1"/>
    <n v="0.2273"/>
    <n v="1"/>
    <n v="0.16420000000000001"/>
    <n v="10"/>
    <n v="62"/>
    <n v="72"/>
  </r>
  <r>
    <n v="796"/>
    <x v="35"/>
    <x v="14"/>
    <x v="0"/>
    <x v="0"/>
    <x v="2"/>
    <x v="1"/>
    <n v="0.2727"/>
    <n v="1"/>
    <n v="0"/>
    <n v="5"/>
    <n v="50"/>
    <n v="55"/>
  </r>
  <r>
    <n v="797"/>
    <x v="35"/>
    <x v="15"/>
    <x v="0"/>
    <x v="0"/>
    <x v="2"/>
    <x v="1"/>
    <n v="0.2727"/>
    <n v="1"/>
    <n v="0"/>
    <n v="11"/>
    <n v="49"/>
    <n v="60"/>
  </r>
  <r>
    <n v="798"/>
    <x v="35"/>
    <x v="16"/>
    <x v="0"/>
    <x v="0"/>
    <x v="2"/>
    <x v="1"/>
    <n v="0.2273"/>
    <n v="1"/>
    <n v="0.1343"/>
    <n v="8"/>
    <n v="63"/>
    <n v="71"/>
  </r>
  <r>
    <n v="799"/>
    <x v="35"/>
    <x v="17"/>
    <x v="0"/>
    <x v="0"/>
    <x v="1"/>
    <x v="0"/>
    <n v="0.21210000000000001"/>
    <n v="1"/>
    <n v="0.28360000000000002"/>
    <n v="14"/>
    <n v="64"/>
    <n v="78"/>
  </r>
  <r>
    <n v="800"/>
    <x v="35"/>
    <x v="18"/>
    <x v="0"/>
    <x v="0"/>
    <x v="1"/>
    <x v="17"/>
    <n v="0.2424"/>
    <n v="0.93"/>
    <n v="0.44779999999999998"/>
    <n v="2"/>
    <n v="81"/>
    <n v="83"/>
  </r>
  <r>
    <n v="801"/>
    <x v="35"/>
    <x v="19"/>
    <x v="0"/>
    <x v="0"/>
    <x v="1"/>
    <x v="17"/>
    <n v="0.2424"/>
    <n v="0.93"/>
    <n v="0.44779999999999998"/>
    <n v="6"/>
    <n v="78"/>
    <n v="84"/>
  </r>
  <r>
    <n v="802"/>
    <x v="35"/>
    <x v="20"/>
    <x v="0"/>
    <x v="0"/>
    <x v="0"/>
    <x v="11"/>
    <n v="0.28789999999999999"/>
    <n v="0.87"/>
    <n v="0.25369999999999998"/>
    <n v="5"/>
    <n v="64"/>
    <n v="69"/>
  </r>
  <r>
    <n v="803"/>
    <x v="35"/>
    <x v="21"/>
    <x v="0"/>
    <x v="0"/>
    <x v="0"/>
    <x v="12"/>
    <n v="0.2576"/>
    <n v="1"/>
    <n v="0.19400000000000001"/>
    <n v="3"/>
    <n v="53"/>
    <n v="56"/>
  </r>
  <r>
    <n v="804"/>
    <x v="35"/>
    <x v="22"/>
    <x v="0"/>
    <x v="0"/>
    <x v="0"/>
    <x v="12"/>
    <n v="0.2727"/>
    <n v="0.93"/>
    <n v="0.1343"/>
    <n v="2"/>
    <n v="43"/>
    <n v="45"/>
  </r>
  <r>
    <n v="805"/>
    <x v="35"/>
    <x v="23"/>
    <x v="0"/>
    <x v="0"/>
    <x v="0"/>
    <x v="12"/>
    <n v="0.2576"/>
    <n v="0.93"/>
    <n v="0.22389999999999999"/>
    <n v="7"/>
    <n v="52"/>
    <n v="59"/>
  </r>
  <r>
    <n v="806"/>
    <x v="36"/>
    <x v="0"/>
    <x v="0"/>
    <x v="1"/>
    <x v="0"/>
    <x v="12"/>
    <n v="0.2576"/>
    <n v="0.7"/>
    <n v="0.19400000000000001"/>
    <n v="2"/>
    <n v="37"/>
    <n v="39"/>
  </r>
  <r>
    <n v="807"/>
    <x v="36"/>
    <x v="1"/>
    <x v="0"/>
    <x v="1"/>
    <x v="0"/>
    <x v="12"/>
    <n v="0.2273"/>
    <n v="0.65"/>
    <n v="0.41789999999999999"/>
    <n v="4"/>
    <n v="40"/>
    <n v="44"/>
  </r>
  <r>
    <n v="808"/>
    <x v="36"/>
    <x v="2"/>
    <x v="0"/>
    <x v="1"/>
    <x v="0"/>
    <x v="12"/>
    <n v="0.2273"/>
    <n v="0.6"/>
    <n v="0.32840000000000003"/>
    <n v="0"/>
    <n v="20"/>
    <n v="20"/>
  </r>
  <r>
    <n v="809"/>
    <x v="36"/>
    <x v="3"/>
    <x v="0"/>
    <x v="1"/>
    <x v="0"/>
    <x v="12"/>
    <n v="0.28789999999999999"/>
    <n v="0.6"/>
    <n v="8.9599999999999999E-2"/>
    <n v="3"/>
    <n v="10"/>
    <n v="13"/>
  </r>
  <r>
    <n v="810"/>
    <x v="36"/>
    <x v="4"/>
    <x v="0"/>
    <x v="1"/>
    <x v="0"/>
    <x v="12"/>
    <n v="0.2273"/>
    <n v="0.6"/>
    <n v="0.35820000000000002"/>
    <n v="0"/>
    <n v="2"/>
    <n v="2"/>
  </r>
  <r>
    <n v="811"/>
    <x v="36"/>
    <x v="5"/>
    <x v="0"/>
    <x v="1"/>
    <x v="0"/>
    <x v="12"/>
    <n v="0.2576"/>
    <n v="0.6"/>
    <n v="0.22389999999999999"/>
    <n v="0"/>
    <n v="1"/>
    <n v="1"/>
  </r>
  <r>
    <n v="812"/>
    <x v="36"/>
    <x v="6"/>
    <x v="0"/>
    <x v="1"/>
    <x v="0"/>
    <x v="12"/>
    <n v="0.2576"/>
    <n v="0.6"/>
    <n v="0.22389999999999999"/>
    <n v="0"/>
    <n v="1"/>
    <n v="1"/>
  </r>
  <r>
    <n v="813"/>
    <x v="36"/>
    <x v="7"/>
    <x v="0"/>
    <x v="1"/>
    <x v="0"/>
    <x v="0"/>
    <n v="0.2424"/>
    <n v="0.65"/>
    <n v="0.16420000000000001"/>
    <n v="0"/>
    <n v="8"/>
    <n v="8"/>
  </r>
  <r>
    <n v="814"/>
    <x v="36"/>
    <x v="8"/>
    <x v="0"/>
    <x v="1"/>
    <x v="0"/>
    <x v="0"/>
    <n v="0.2576"/>
    <n v="0.65"/>
    <n v="0.1045"/>
    <n v="2"/>
    <n v="21"/>
    <n v="23"/>
  </r>
  <r>
    <n v="815"/>
    <x v="36"/>
    <x v="9"/>
    <x v="0"/>
    <x v="1"/>
    <x v="0"/>
    <x v="17"/>
    <n v="0.28789999999999999"/>
    <n v="0.56000000000000005"/>
    <n v="0.1045"/>
    <n v="7"/>
    <n v="38"/>
    <n v="45"/>
  </r>
  <r>
    <n v="816"/>
    <x v="36"/>
    <x v="10"/>
    <x v="0"/>
    <x v="1"/>
    <x v="0"/>
    <x v="11"/>
    <n v="0.28789999999999999"/>
    <n v="0.52"/>
    <n v="0.25369999999999998"/>
    <n v="15"/>
    <n v="74"/>
    <n v="89"/>
  </r>
  <r>
    <n v="817"/>
    <x v="36"/>
    <x v="11"/>
    <x v="0"/>
    <x v="1"/>
    <x v="0"/>
    <x v="3"/>
    <n v="0.30299999999999999"/>
    <n v="0.49"/>
    <n v="0.25369999999999998"/>
    <n v="28"/>
    <n v="89"/>
    <n v="117"/>
  </r>
  <r>
    <n v="818"/>
    <x v="36"/>
    <x v="12"/>
    <x v="0"/>
    <x v="1"/>
    <x v="0"/>
    <x v="10"/>
    <n v="0.33329999999999999"/>
    <n v="0.46"/>
    <n v="0"/>
    <n v="48"/>
    <n v="126"/>
    <n v="174"/>
  </r>
  <r>
    <n v="819"/>
    <x v="36"/>
    <x v="13"/>
    <x v="0"/>
    <x v="1"/>
    <x v="0"/>
    <x v="10"/>
    <n v="0.36359999999999998"/>
    <n v="0.46"/>
    <n v="0"/>
    <n v="47"/>
    <n v="135"/>
    <n v="182"/>
  </r>
  <r>
    <n v="820"/>
    <x v="36"/>
    <x v="14"/>
    <x v="0"/>
    <x v="1"/>
    <x v="0"/>
    <x v="10"/>
    <n v="0.34849999999999998"/>
    <n v="0.46"/>
    <n v="8.9599999999999999E-2"/>
    <n v="47"/>
    <n v="114"/>
    <n v="161"/>
  </r>
  <r>
    <n v="821"/>
    <x v="36"/>
    <x v="15"/>
    <x v="0"/>
    <x v="1"/>
    <x v="0"/>
    <x v="10"/>
    <n v="0.34849999999999998"/>
    <n v="0.46"/>
    <n v="8.9599999999999999E-2"/>
    <n v="52"/>
    <n v="130"/>
    <n v="182"/>
  </r>
  <r>
    <n v="822"/>
    <x v="36"/>
    <x v="16"/>
    <x v="0"/>
    <x v="1"/>
    <x v="0"/>
    <x v="10"/>
    <n v="0.34849999999999998"/>
    <n v="0.49"/>
    <n v="0.1045"/>
    <n v="42"/>
    <n v="115"/>
    <n v="157"/>
  </r>
  <r>
    <n v="823"/>
    <x v="36"/>
    <x v="17"/>
    <x v="0"/>
    <x v="1"/>
    <x v="0"/>
    <x v="10"/>
    <n v="0.36359999999999998"/>
    <n v="0.46"/>
    <n v="0"/>
    <n v="24"/>
    <n v="97"/>
    <n v="121"/>
  </r>
  <r>
    <n v="824"/>
    <x v="36"/>
    <x v="18"/>
    <x v="0"/>
    <x v="1"/>
    <x v="0"/>
    <x v="11"/>
    <n v="0.30299999999999999"/>
    <n v="0.56000000000000005"/>
    <n v="0.16420000000000001"/>
    <n v="13"/>
    <n v="65"/>
    <n v="78"/>
  </r>
  <r>
    <n v="825"/>
    <x v="36"/>
    <x v="19"/>
    <x v="0"/>
    <x v="1"/>
    <x v="0"/>
    <x v="17"/>
    <n v="0.28789999999999999"/>
    <n v="0.61"/>
    <n v="0.1343"/>
    <n v="1"/>
    <n v="20"/>
    <n v="21"/>
  </r>
  <r>
    <n v="826"/>
    <x v="36"/>
    <x v="20"/>
    <x v="0"/>
    <x v="1"/>
    <x v="0"/>
    <x v="17"/>
    <n v="0.28789999999999999"/>
    <n v="0.61"/>
    <n v="0.1045"/>
    <n v="5"/>
    <n v="21"/>
    <n v="26"/>
  </r>
  <r>
    <n v="827"/>
    <x v="36"/>
    <x v="21"/>
    <x v="0"/>
    <x v="1"/>
    <x v="0"/>
    <x v="12"/>
    <n v="0.30299999999999999"/>
    <n v="0.6"/>
    <n v="0"/>
    <n v="5"/>
    <n v="22"/>
    <n v="27"/>
  </r>
  <r>
    <n v="828"/>
    <x v="36"/>
    <x v="22"/>
    <x v="0"/>
    <x v="1"/>
    <x v="0"/>
    <x v="12"/>
    <n v="0.30299999999999999"/>
    <n v="0.6"/>
    <n v="0"/>
    <n v="5"/>
    <n v="57"/>
    <n v="62"/>
  </r>
  <r>
    <n v="829"/>
    <x v="36"/>
    <x v="23"/>
    <x v="0"/>
    <x v="1"/>
    <x v="0"/>
    <x v="0"/>
    <n v="0.28789999999999999"/>
    <n v="0.65"/>
    <n v="0"/>
    <n v="4"/>
    <n v="26"/>
    <n v="30"/>
  </r>
  <r>
    <n v="830"/>
    <x v="37"/>
    <x v="0"/>
    <x v="0"/>
    <x v="2"/>
    <x v="0"/>
    <x v="0"/>
    <n v="0.28789999999999999"/>
    <n v="0.65"/>
    <n v="0"/>
    <n v="1"/>
    <n v="14"/>
    <n v="15"/>
  </r>
  <r>
    <n v="831"/>
    <x v="37"/>
    <x v="1"/>
    <x v="0"/>
    <x v="2"/>
    <x v="0"/>
    <x v="1"/>
    <n v="0.2727"/>
    <n v="0.75"/>
    <n v="0"/>
    <n v="1"/>
    <n v="4"/>
    <n v="5"/>
  </r>
  <r>
    <n v="832"/>
    <x v="37"/>
    <x v="2"/>
    <x v="0"/>
    <x v="2"/>
    <x v="0"/>
    <x v="2"/>
    <n v="0.2576"/>
    <n v="0.8"/>
    <n v="0"/>
    <n v="0"/>
    <n v="3"/>
    <n v="3"/>
  </r>
  <r>
    <n v="833"/>
    <x v="37"/>
    <x v="3"/>
    <x v="0"/>
    <x v="2"/>
    <x v="0"/>
    <x v="2"/>
    <n v="0.2576"/>
    <n v="0.86"/>
    <n v="0"/>
    <n v="0"/>
    <n v="1"/>
    <n v="1"/>
  </r>
  <r>
    <n v="834"/>
    <x v="37"/>
    <x v="4"/>
    <x v="0"/>
    <x v="2"/>
    <x v="0"/>
    <x v="2"/>
    <n v="0.2576"/>
    <n v="0.86"/>
    <n v="0"/>
    <n v="1"/>
    <n v="1"/>
    <n v="2"/>
  </r>
  <r>
    <n v="835"/>
    <x v="37"/>
    <x v="5"/>
    <x v="0"/>
    <x v="2"/>
    <x v="0"/>
    <x v="2"/>
    <n v="0.2576"/>
    <n v="0.86"/>
    <n v="0"/>
    <n v="1"/>
    <n v="9"/>
    <n v="10"/>
  </r>
  <r>
    <n v="836"/>
    <x v="37"/>
    <x v="6"/>
    <x v="0"/>
    <x v="2"/>
    <x v="0"/>
    <x v="15"/>
    <n v="0.2424"/>
    <n v="0.93"/>
    <n v="0"/>
    <n v="1"/>
    <n v="29"/>
    <n v="30"/>
  </r>
  <r>
    <n v="837"/>
    <x v="37"/>
    <x v="7"/>
    <x v="0"/>
    <x v="2"/>
    <x v="0"/>
    <x v="15"/>
    <n v="0.2424"/>
    <n v="0.86"/>
    <n v="0"/>
    <n v="6"/>
    <n v="89"/>
    <n v="95"/>
  </r>
  <r>
    <n v="838"/>
    <x v="37"/>
    <x v="8"/>
    <x v="0"/>
    <x v="2"/>
    <x v="1"/>
    <x v="13"/>
    <n v="0.2273"/>
    <n v="1"/>
    <n v="0"/>
    <n v="7"/>
    <n v="223"/>
    <n v="230"/>
  </r>
  <r>
    <n v="839"/>
    <x v="37"/>
    <x v="9"/>
    <x v="0"/>
    <x v="2"/>
    <x v="0"/>
    <x v="1"/>
    <n v="0.2727"/>
    <n v="0.8"/>
    <n v="0"/>
    <n v="3"/>
    <n v="115"/>
    <n v="118"/>
  </r>
  <r>
    <n v="840"/>
    <x v="37"/>
    <x v="10"/>
    <x v="0"/>
    <x v="2"/>
    <x v="0"/>
    <x v="0"/>
    <n v="0.2576"/>
    <n v="0.75"/>
    <n v="0.1045"/>
    <n v="6"/>
    <n v="49"/>
    <n v="55"/>
  </r>
  <r>
    <n v="841"/>
    <x v="37"/>
    <x v="11"/>
    <x v="0"/>
    <x v="2"/>
    <x v="0"/>
    <x v="11"/>
    <n v="0.31819999999999998"/>
    <n v="0.65"/>
    <n v="8.9599999999999999E-2"/>
    <n v="11"/>
    <n v="36"/>
    <n v="47"/>
  </r>
  <r>
    <n v="842"/>
    <x v="37"/>
    <x v="12"/>
    <x v="0"/>
    <x v="2"/>
    <x v="1"/>
    <x v="3"/>
    <n v="0.34849999999999998"/>
    <n v="0.62"/>
    <n v="0"/>
    <n v="7"/>
    <n v="59"/>
    <n v="66"/>
  </r>
  <r>
    <n v="843"/>
    <x v="37"/>
    <x v="13"/>
    <x v="0"/>
    <x v="2"/>
    <x v="1"/>
    <x v="5"/>
    <n v="0.36359999999999998"/>
    <n v="0.56999999999999995"/>
    <n v="8.9599999999999999E-2"/>
    <n v="10"/>
    <n v="54"/>
    <n v="64"/>
  </r>
  <r>
    <n v="844"/>
    <x v="37"/>
    <x v="14"/>
    <x v="0"/>
    <x v="2"/>
    <x v="1"/>
    <x v="5"/>
    <n v="0.36359999999999998"/>
    <n v="0.56999999999999995"/>
    <n v="8.9599999999999999E-2"/>
    <n v="8"/>
    <n v="52"/>
    <n v="60"/>
  </r>
  <r>
    <n v="845"/>
    <x v="37"/>
    <x v="15"/>
    <x v="0"/>
    <x v="2"/>
    <x v="1"/>
    <x v="4"/>
    <n v="0.39389999999999997"/>
    <n v="0.54"/>
    <n v="8.9599999999999999E-2"/>
    <n v="4"/>
    <n v="46"/>
    <n v="50"/>
  </r>
  <r>
    <n v="846"/>
    <x v="37"/>
    <x v="16"/>
    <x v="0"/>
    <x v="2"/>
    <x v="1"/>
    <x v="5"/>
    <n v="0.34849999999999998"/>
    <n v="0.56999999999999995"/>
    <n v="0.1343"/>
    <n v="16"/>
    <n v="98"/>
    <n v="114"/>
  </r>
  <r>
    <n v="847"/>
    <x v="37"/>
    <x v="17"/>
    <x v="0"/>
    <x v="2"/>
    <x v="1"/>
    <x v="3"/>
    <n v="0.31819999999999998"/>
    <n v="0.7"/>
    <n v="0.16420000000000001"/>
    <n v="9"/>
    <n v="207"/>
    <n v="216"/>
  </r>
  <r>
    <n v="848"/>
    <x v="37"/>
    <x v="18"/>
    <x v="0"/>
    <x v="2"/>
    <x v="1"/>
    <x v="10"/>
    <n v="0.33329999999999999"/>
    <n v="0.66"/>
    <n v="0.1343"/>
    <n v="5"/>
    <n v="170"/>
    <n v="175"/>
  </r>
  <r>
    <n v="849"/>
    <x v="37"/>
    <x v="19"/>
    <x v="0"/>
    <x v="2"/>
    <x v="1"/>
    <x v="3"/>
    <n v="0.34849999999999998"/>
    <n v="0.7"/>
    <n v="0"/>
    <n v="5"/>
    <n v="123"/>
    <n v="128"/>
  </r>
  <r>
    <n v="850"/>
    <x v="37"/>
    <x v="20"/>
    <x v="0"/>
    <x v="2"/>
    <x v="1"/>
    <x v="3"/>
    <n v="0.33329999999999999"/>
    <n v="0.7"/>
    <n v="0.1045"/>
    <n v="6"/>
    <n v="82"/>
    <n v="88"/>
  </r>
  <r>
    <n v="851"/>
    <x v="37"/>
    <x v="21"/>
    <x v="0"/>
    <x v="2"/>
    <x v="0"/>
    <x v="3"/>
    <n v="0.34849999999999998"/>
    <n v="0.7"/>
    <n v="0"/>
    <n v="3"/>
    <n v="75"/>
    <n v="78"/>
  </r>
  <r>
    <n v="852"/>
    <x v="37"/>
    <x v="22"/>
    <x v="0"/>
    <x v="2"/>
    <x v="0"/>
    <x v="17"/>
    <n v="0.30299999999999999"/>
    <n v="0.81"/>
    <n v="8.9599999999999999E-2"/>
    <n v="3"/>
    <n v="34"/>
    <n v="37"/>
  </r>
  <r>
    <n v="853"/>
    <x v="37"/>
    <x v="23"/>
    <x v="0"/>
    <x v="2"/>
    <x v="1"/>
    <x v="11"/>
    <n v="0.33329999999999999"/>
    <n v="0.81"/>
    <n v="0"/>
    <n v="6"/>
    <n v="19"/>
    <n v="25"/>
  </r>
  <r>
    <n v="854"/>
    <x v="38"/>
    <x v="0"/>
    <x v="0"/>
    <x v="3"/>
    <x v="1"/>
    <x v="17"/>
    <n v="0.31819999999999998"/>
    <n v="0.87"/>
    <n v="0"/>
    <n v="4"/>
    <n v="6"/>
    <n v="10"/>
  </r>
  <r>
    <n v="855"/>
    <x v="38"/>
    <x v="1"/>
    <x v="0"/>
    <x v="3"/>
    <x v="1"/>
    <x v="17"/>
    <n v="0.31819999999999998"/>
    <n v="0.87"/>
    <n v="0"/>
    <n v="0"/>
    <n v="4"/>
    <n v="4"/>
  </r>
  <r>
    <n v="856"/>
    <x v="38"/>
    <x v="2"/>
    <x v="0"/>
    <x v="3"/>
    <x v="1"/>
    <x v="12"/>
    <n v="0.2727"/>
    <n v="0.93"/>
    <n v="0.1045"/>
    <n v="1"/>
    <n v="1"/>
    <n v="2"/>
  </r>
  <r>
    <n v="857"/>
    <x v="38"/>
    <x v="3"/>
    <x v="0"/>
    <x v="3"/>
    <x v="2"/>
    <x v="17"/>
    <n v="0.2727"/>
    <n v="0.93"/>
    <n v="0.16420000000000001"/>
    <n v="0"/>
    <n v="1"/>
    <n v="1"/>
  </r>
  <r>
    <n v="858"/>
    <x v="38"/>
    <x v="4"/>
    <x v="0"/>
    <x v="3"/>
    <x v="0"/>
    <x v="12"/>
    <n v="0.2576"/>
    <n v="0.93"/>
    <n v="0.16420000000000001"/>
    <n v="0"/>
    <n v="3"/>
    <n v="3"/>
  </r>
  <r>
    <n v="859"/>
    <x v="38"/>
    <x v="5"/>
    <x v="0"/>
    <x v="3"/>
    <x v="0"/>
    <x v="12"/>
    <n v="0.2273"/>
    <n v="0.81"/>
    <n v="0.32840000000000003"/>
    <n v="0"/>
    <n v="2"/>
    <n v="2"/>
  </r>
  <r>
    <n v="860"/>
    <x v="38"/>
    <x v="6"/>
    <x v="0"/>
    <x v="3"/>
    <x v="0"/>
    <x v="12"/>
    <n v="0.2273"/>
    <n v="0.7"/>
    <n v="0.32840000000000003"/>
    <n v="0"/>
    <n v="39"/>
    <n v="39"/>
  </r>
  <r>
    <n v="861"/>
    <x v="38"/>
    <x v="7"/>
    <x v="0"/>
    <x v="3"/>
    <x v="0"/>
    <x v="0"/>
    <n v="0.19700000000000001"/>
    <n v="0.65"/>
    <n v="0.41789999999999999"/>
    <n v="3"/>
    <n v="97"/>
    <n v="100"/>
  </r>
  <r>
    <n v="862"/>
    <x v="38"/>
    <x v="8"/>
    <x v="0"/>
    <x v="3"/>
    <x v="0"/>
    <x v="0"/>
    <n v="0.19700000000000001"/>
    <n v="0.56000000000000005"/>
    <n v="0.49249999999999999"/>
    <n v="7"/>
    <n v="236"/>
    <n v="243"/>
  </r>
  <r>
    <n v="863"/>
    <x v="38"/>
    <x v="9"/>
    <x v="0"/>
    <x v="3"/>
    <x v="0"/>
    <x v="0"/>
    <n v="0.19700000000000001"/>
    <n v="0.52"/>
    <n v="0.49249999999999999"/>
    <n v="7"/>
    <n v="128"/>
    <n v="135"/>
  </r>
  <r>
    <n v="864"/>
    <x v="38"/>
    <x v="10"/>
    <x v="0"/>
    <x v="3"/>
    <x v="0"/>
    <x v="1"/>
    <n v="0.18179999999999999"/>
    <n v="0.47"/>
    <n v="0.55220000000000002"/>
    <n v="4"/>
    <n v="44"/>
    <n v="48"/>
  </r>
  <r>
    <n v="865"/>
    <x v="38"/>
    <x v="11"/>
    <x v="0"/>
    <x v="3"/>
    <x v="0"/>
    <x v="1"/>
    <n v="0.18179999999999999"/>
    <n v="0.47"/>
    <n v="0.4627"/>
    <n v="1"/>
    <n v="49"/>
    <n v="50"/>
  </r>
  <r>
    <n v="866"/>
    <x v="38"/>
    <x v="12"/>
    <x v="0"/>
    <x v="3"/>
    <x v="0"/>
    <x v="0"/>
    <n v="0.19700000000000001"/>
    <n v="0.38"/>
    <n v="0.49249999999999999"/>
    <n v="2"/>
    <n v="63"/>
    <n v="65"/>
  </r>
  <r>
    <n v="867"/>
    <x v="38"/>
    <x v="13"/>
    <x v="0"/>
    <x v="3"/>
    <x v="1"/>
    <x v="0"/>
    <n v="0.19700000000000001"/>
    <n v="0.32"/>
    <n v="0.44779999999999998"/>
    <n v="2"/>
    <n v="48"/>
    <n v="50"/>
  </r>
  <r>
    <n v="868"/>
    <x v="38"/>
    <x v="14"/>
    <x v="0"/>
    <x v="3"/>
    <x v="0"/>
    <x v="1"/>
    <n v="0.19700000000000001"/>
    <n v="0.37"/>
    <n v="0.41789999999999999"/>
    <n v="3"/>
    <n v="61"/>
    <n v="64"/>
  </r>
  <r>
    <n v="869"/>
    <x v="38"/>
    <x v="15"/>
    <x v="0"/>
    <x v="3"/>
    <x v="0"/>
    <x v="1"/>
    <n v="0.19700000000000001"/>
    <n v="0.35"/>
    <n v="0.3881"/>
    <n v="6"/>
    <n v="45"/>
    <n v="51"/>
  </r>
  <r>
    <n v="870"/>
    <x v="38"/>
    <x v="16"/>
    <x v="0"/>
    <x v="3"/>
    <x v="0"/>
    <x v="1"/>
    <n v="0.18179999999999999"/>
    <n v="0.35"/>
    <n v="0.52239999999999998"/>
    <n v="4"/>
    <n v="79"/>
    <n v="83"/>
  </r>
  <r>
    <n v="871"/>
    <x v="38"/>
    <x v="17"/>
    <x v="0"/>
    <x v="3"/>
    <x v="0"/>
    <x v="1"/>
    <n v="0.18179999999999999"/>
    <n v="0.32"/>
    <n v="0.58209999999999995"/>
    <n v="4"/>
    <n v="172"/>
    <n v="176"/>
  </r>
  <r>
    <n v="872"/>
    <x v="38"/>
    <x v="18"/>
    <x v="0"/>
    <x v="3"/>
    <x v="0"/>
    <x v="2"/>
    <n v="0.18179999999999999"/>
    <n v="0.32"/>
    <n v="0.3881"/>
    <n v="1"/>
    <n v="151"/>
    <n v="152"/>
  </r>
  <r>
    <n v="873"/>
    <x v="38"/>
    <x v="19"/>
    <x v="0"/>
    <x v="3"/>
    <x v="0"/>
    <x v="13"/>
    <n v="0.1212"/>
    <n v="0.4"/>
    <n v="0.4627"/>
    <n v="1"/>
    <n v="100"/>
    <n v="101"/>
  </r>
  <r>
    <n v="874"/>
    <x v="38"/>
    <x v="20"/>
    <x v="0"/>
    <x v="3"/>
    <x v="0"/>
    <x v="13"/>
    <n v="0.13639999999999999"/>
    <n v="0.4"/>
    <n v="0.32840000000000003"/>
    <n v="3"/>
    <n v="53"/>
    <n v="56"/>
  </r>
  <r>
    <n v="875"/>
    <x v="38"/>
    <x v="21"/>
    <x v="0"/>
    <x v="3"/>
    <x v="0"/>
    <x v="14"/>
    <n v="0.1061"/>
    <n v="0.33"/>
    <n v="0.4627"/>
    <n v="8"/>
    <n v="46"/>
    <n v="54"/>
  </r>
  <r>
    <n v="876"/>
    <x v="38"/>
    <x v="22"/>
    <x v="0"/>
    <x v="3"/>
    <x v="0"/>
    <x v="16"/>
    <n v="0.1061"/>
    <n v="0.33"/>
    <n v="0.35820000000000002"/>
    <n v="0"/>
    <n v="29"/>
    <n v="29"/>
  </r>
  <r>
    <n v="877"/>
    <x v="38"/>
    <x v="23"/>
    <x v="0"/>
    <x v="3"/>
    <x v="0"/>
    <x v="16"/>
    <n v="0.1061"/>
    <n v="0.33"/>
    <n v="0.32840000000000003"/>
    <n v="3"/>
    <n v="9"/>
    <n v="12"/>
  </r>
  <r>
    <n v="878"/>
    <x v="39"/>
    <x v="0"/>
    <x v="0"/>
    <x v="4"/>
    <x v="0"/>
    <x v="18"/>
    <n v="7.5800000000000006E-2"/>
    <n v="0.36"/>
    <n v="0.35820000000000002"/>
    <n v="0"/>
    <n v="17"/>
    <n v="17"/>
  </r>
  <r>
    <n v="879"/>
    <x v="39"/>
    <x v="1"/>
    <x v="0"/>
    <x v="4"/>
    <x v="0"/>
    <x v="18"/>
    <n v="0.1061"/>
    <n v="0.36"/>
    <n v="0.22389999999999999"/>
    <n v="0"/>
    <n v="7"/>
    <n v="7"/>
  </r>
  <r>
    <n v="880"/>
    <x v="39"/>
    <x v="2"/>
    <x v="0"/>
    <x v="4"/>
    <x v="0"/>
    <x v="19"/>
    <n v="7.5800000000000006E-2"/>
    <n v="0.38"/>
    <n v="0.28360000000000002"/>
    <n v="1"/>
    <n v="2"/>
    <n v="3"/>
  </r>
  <r>
    <n v="881"/>
    <x v="39"/>
    <x v="3"/>
    <x v="0"/>
    <x v="4"/>
    <x v="0"/>
    <x v="20"/>
    <n v="7.5800000000000006E-2"/>
    <n v="0.45"/>
    <n v="0.1343"/>
    <n v="0"/>
    <n v="2"/>
    <n v="2"/>
  </r>
  <r>
    <n v="882"/>
    <x v="39"/>
    <x v="5"/>
    <x v="0"/>
    <x v="4"/>
    <x v="0"/>
    <x v="20"/>
    <n v="0.1061"/>
    <n v="0.45"/>
    <n v="0.1045"/>
    <n v="0"/>
    <n v="7"/>
    <n v="7"/>
  </r>
  <r>
    <n v="883"/>
    <x v="39"/>
    <x v="6"/>
    <x v="0"/>
    <x v="4"/>
    <x v="0"/>
    <x v="20"/>
    <n v="0.1515"/>
    <n v="0.45"/>
    <n v="0"/>
    <n v="0"/>
    <n v="43"/>
    <n v="43"/>
  </r>
  <r>
    <n v="884"/>
    <x v="39"/>
    <x v="7"/>
    <x v="0"/>
    <x v="4"/>
    <x v="0"/>
    <x v="20"/>
    <n v="0.1061"/>
    <n v="0.49"/>
    <n v="0.1045"/>
    <n v="4"/>
    <n v="95"/>
    <n v="99"/>
  </r>
  <r>
    <n v="885"/>
    <x v="39"/>
    <x v="8"/>
    <x v="0"/>
    <x v="4"/>
    <x v="0"/>
    <x v="18"/>
    <n v="0.13639999999999999"/>
    <n v="0.42"/>
    <n v="0"/>
    <n v="1"/>
    <n v="198"/>
    <n v="199"/>
  </r>
  <r>
    <n v="886"/>
    <x v="39"/>
    <x v="9"/>
    <x v="0"/>
    <x v="4"/>
    <x v="0"/>
    <x v="16"/>
    <n v="0.13639999999999999"/>
    <n v="0.39"/>
    <n v="0.16420000000000001"/>
    <n v="4"/>
    <n v="119"/>
    <n v="123"/>
  </r>
  <r>
    <n v="887"/>
    <x v="39"/>
    <x v="10"/>
    <x v="0"/>
    <x v="4"/>
    <x v="0"/>
    <x v="14"/>
    <n v="0.18179999999999999"/>
    <n v="0.36"/>
    <n v="0"/>
    <n v="8"/>
    <n v="51"/>
    <n v="59"/>
  </r>
  <r>
    <n v="888"/>
    <x v="39"/>
    <x v="11"/>
    <x v="0"/>
    <x v="4"/>
    <x v="1"/>
    <x v="14"/>
    <n v="0.1515"/>
    <n v="0.43"/>
    <n v="0.16420000000000001"/>
    <n v="1"/>
    <n v="40"/>
    <n v="41"/>
  </r>
  <r>
    <n v="889"/>
    <x v="39"/>
    <x v="12"/>
    <x v="0"/>
    <x v="4"/>
    <x v="1"/>
    <x v="15"/>
    <n v="0.18179999999999999"/>
    <n v="0.4"/>
    <n v="0.22389999999999999"/>
    <n v="4"/>
    <n v="57"/>
    <n v="61"/>
  </r>
  <r>
    <n v="890"/>
    <x v="39"/>
    <x v="13"/>
    <x v="0"/>
    <x v="4"/>
    <x v="0"/>
    <x v="15"/>
    <n v="0.16669999999999999"/>
    <n v="0.4"/>
    <n v="0.25369999999999998"/>
    <n v="2"/>
    <n v="67"/>
    <n v="69"/>
  </r>
  <r>
    <n v="891"/>
    <x v="39"/>
    <x v="14"/>
    <x v="0"/>
    <x v="4"/>
    <x v="0"/>
    <x v="2"/>
    <n v="0.18179999999999999"/>
    <n v="0.34"/>
    <n v="0.29849999999999999"/>
    <n v="2"/>
    <n v="56"/>
    <n v="58"/>
  </r>
  <r>
    <n v="892"/>
    <x v="39"/>
    <x v="15"/>
    <x v="0"/>
    <x v="4"/>
    <x v="1"/>
    <x v="2"/>
    <n v="0.18179999999999999"/>
    <n v="0.34"/>
    <n v="0.28360000000000002"/>
    <n v="3"/>
    <n v="61"/>
    <n v="64"/>
  </r>
  <r>
    <n v="893"/>
    <x v="39"/>
    <x v="16"/>
    <x v="0"/>
    <x v="4"/>
    <x v="1"/>
    <x v="2"/>
    <n v="0.19700000000000001"/>
    <n v="0.37"/>
    <n v="0.25369999999999998"/>
    <n v="7"/>
    <n v="72"/>
    <n v="79"/>
  </r>
  <r>
    <n v="894"/>
    <x v="39"/>
    <x v="17"/>
    <x v="0"/>
    <x v="4"/>
    <x v="1"/>
    <x v="2"/>
    <n v="0.19700000000000001"/>
    <n v="0.34"/>
    <n v="0.25369999999999998"/>
    <n v="9"/>
    <n v="157"/>
    <n v="166"/>
  </r>
  <r>
    <n v="895"/>
    <x v="39"/>
    <x v="18"/>
    <x v="0"/>
    <x v="4"/>
    <x v="1"/>
    <x v="15"/>
    <n v="0.16669999999999999"/>
    <n v="0.47"/>
    <n v="0.29849999999999999"/>
    <n v="2"/>
    <n v="168"/>
    <n v="170"/>
  </r>
  <r>
    <n v="896"/>
    <x v="39"/>
    <x v="19"/>
    <x v="0"/>
    <x v="4"/>
    <x v="2"/>
    <x v="14"/>
    <n v="0.1212"/>
    <n v="0.86"/>
    <n v="0.25369999999999998"/>
    <n v="1"/>
    <n v="87"/>
    <n v="88"/>
  </r>
  <r>
    <n v="897"/>
    <x v="39"/>
    <x v="20"/>
    <x v="0"/>
    <x v="4"/>
    <x v="2"/>
    <x v="14"/>
    <n v="0.1515"/>
    <n v="0.86"/>
    <n v="0.16420000000000001"/>
    <n v="0"/>
    <n v="84"/>
    <n v="84"/>
  </r>
  <r>
    <n v="898"/>
    <x v="39"/>
    <x v="21"/>
    <x v="0"/>
    <x v="4"/>
    <x v="1"/>
    <x v="14"/>
    <n v="0.1515"/>
    <n v="0.86"/>
    <n v="0.16420000000000001"/>
    <n v="0"/>
    <n v="83"/>
    <n v="83"/>
  </r>
  <r>
    <n v="899"/>
    <x v="39"/>
    <x v="22"/>
    <x v="0"/>
    <x v="4"/>
    <x v="2"/>
    <x v="13"/>
    <n v="0.16669999999999999"/>
    <n v="0.8"/>
    <n v="0.16420000000000001"/>
    <n v="4"/>
    <n v="42"/>
    <n v="46"/>
  </r>
  <r>
    <n v="900"/>
    <x v="39"/>
    <x v="23"/>
    <x v="0"/>
    <x v="4"/>
    <x v="2"/>
    <x v="13"/>
    <n v="0.1515"/>
    <n v="0.8"/>
    <n v="0.19400000000000001"/>
    <n v="0"/>
    <n v="37"/>
    <n v="37"/>
  </r>
  <r>
    <n v="901"/>
    <x v="40"/>
    <x v="0"/>
    <x v="0"/>
    <x v="5"/>
    <x v="2"/>
    <x v="14"/>
    <n v="0.13639999999999999"/>
    <n v="0.86"/>
    <n v="0.19400000000000001"/>
    <n v="0"/>
    <n v="16"/>
    <n v="16"/>
  </r>
  <r>
    <n v="902"/>
    <x v="40"/>
    <x v="1"/>
    <x v="0"/>
    <x v="5"/>
    <x v="2"/>
    <x v="14"/>
    <n v="0.1515"/>
    <n v="0.8"/>
    <n v="0.1343"/>
    <n v="0"/>
    <n v="7"/>
    <n v="7"/>
  </r>
  <r>
    <n v="903"/>
    <x v="40"/>
    <x v="2"/>
    <x v="0"/>
    <x v="5"/>
    <x v="2"/>
    <x v="14"/>
    <n v="0.1515"/>
    <n v="0.8"/>
    <n v="0.1343"/>
    <n v="0"/>
    <n v="3"/>
    <n v="3"/>
  </r>
  <r>
    <n v="904"/>
    <x v="40"/>
    <x v="4"/>
    <x v="0"/>
    <x v="5"/>
    <x v="1"/>
    <x v="14"/>
    <n v="0.13639999999999999"/>
    <n v="0.59"/>
    <n v="0.22389999999999999"/>
    <n v="0"/>
    <n v="1"/>
    <n v="1"/>
  </r>
  <r>
    <n v="905"/>
    <x v="40"/>
    <x v="5"/>
    <x v="0"/>
    <x v="5"/>
    <x v="1"/>
    <x v="16"/>
    <n v="0.1212"/>
    <n v="0.5"/>
    <n v="0.22389999999999999"/>
    <n v="0"/>
    <n v="6"/>
    <n v="6"/>
  </r>
  <r>
    <n v="906"/>
    <x v="40"/>
    <x v="6"/>
    <x v="0"/>
    <x v="5"/>
    <x v="1"/>
    <x v="16"/>
    <n v="0.1212"/>
    <n v="0.54"/>
    <n v="0.28360000000000002"/>
    <n v="0"/>
    <n v="26"/>
    <n v="26"/>
  </r>
  <r>
    <n v="907"/>
    <x v="40"/>
    <x v="7"/>
    <x v="0"/>
    <x v="5"/>
    <x v="0"/>
    <x v="18"/>
    <n v="7.5800000000000006E-2"/>
    <n v="0.5"/>
    <n v="0.41789999999999999"/>
    <n v="0"/>
    <n v="99"/>
    <n v="99"/>
  </r>
  <r>
    <n v="908"/>
    <x v="40"/>
    <x v="8"/>
    <x v="0"/>
    <x v="5"/>
    <x v="0"/>
    <x v="18"/>
    <n v="7.5800000000000006E-2"/>
    <n v="0.49"/>
    <n v="0.32840000000000003"/>
    <n v="5"/>
    <n v="173"/>
    <n v="178"/>
  </r>
  <r>
    <n v="909"/>
    <x v="40"/>
    <x v="9"/>
    <x v="0"/>
    <x v="5"/>
    <x v="0"/>
    <x v="16"/>
    <n v="0.1061"/>
    <n v="0.42"/>
    <n v="0.35820000000000002"/>
    <n v="1"/>
    <n v="121"/>
    <n v="122"/>
  </r>
  <r>
    <n v="910"/>
    <x v="40"/>
    <x v="10"/>
    <x v="0"/>
    <x v="5"/>
    <x v="0"/>
    <x v="16"/>
    <n v="0.1061"/>
    <n v="0.42"/>
    <n v="0.29849999999999999"/>
    <n v="1"/>
    <n v="34"/>
    <n v="35"/>
  </r>
  <r>
    <n v="911"/>
    <x v="40"/>
    <x v="11"/>
    <x v="0"/>
    <x v="5"/>
    <x v="0"/>
    <x v="14"/>
    <n v="0.1212"/>
    <n v="0.39"/>
    <n v="0.35820000000000002"/>
    <n v="1"/>
    <n v="44"/>
    <n v="45"/>
  </r>
  <r>
    <n v="912"/>
    <x v="40"/>
    <x v="12"/>
    <x v="0"/>
    <x v="5"/>
    <x v="0"/>
    <x v="13"/>
    <n v="0.13639999999999999"/>
    <n v="0.34"/>
    <n v="0.3881"/>
    <n v="4"/>
    <n v="65"/>
    <n v="69"/>
  </r>
  <r>
    <n v="913"/>
    <x v="40"/>
    <x v="13"/>
    <x v="0"/>
    <x v="5"/>
    <x v="0"/>
    <x v="15"/>
    <n v="0.16669999999999999"/>
    <n v="0.28999999999999998"/>
    <n v="0.29849999999999999"/>
    <n v="3"/>
    <n v="59"/>
    <n v="62"/>
  </r>
  <r>
    <n v="914"/>
    <x v="40"/>
    <x v="14"/>
    <x v="0"/>
    <x v="5"/>
    <x v="0"/>
    <x v="2"/>
    <n v="0.18179999999999999"/>
    <n v="0.27"/>
    <n v="0.28360000000000002"/>
    <n v="6"/>
    <n v="42"/>
    <n v="48"/>
  </r>
  <r>
    <n v="915"/>
    <x v="40"/>
    <x v="15"/>
    <x v="0"/>
    <x v="5"/>
    <x v="0"/>
    <x v="2"/>
    <n v="0.19700000000000001"/>
    <n v="0.25"/>
    <n v="0.25369999999999998"/>
    <n v="0"/>
    <n v="50"/>
    <n v="50"/>
  </r>
  <r>
    <n v="916"/>
    <x v="40"/>
    <x v="16"/>
    <x v="0"/>
    <x v="5"/>
    <x v="0"/>
    <x v="2"/>
    <n v="0.18179999999999999"/>
    <n v="0.27"/>
    <n v="0.29849999999999999"/>
    <n v="4"/>
    <n v="76"/>
    <n v="80"/>
  </r>
  <r>
    <n v="917"/>
    <x v="40"/>
    <x v="17"/>
    <x v="0"/>
    <x v="5"/>
    <x v="0"/>
    <x v="15"/>
    <n v="0.18179999999999999"/>
    <n v="0.26"/>
    <n v="0.19400000000000001"/>
    <n v="6"/>
    <n v="159"/>
    <n v="165"/>
  </r>
  <r>
    <n v="918"/>
    <x v="40"/>
    <x v="18"/>
    <x v="0"/>
    <x v="5"/>
    <x v="0"/>
    <x v="13"/>
    <n v="0.18179999999999999"/>
    <n v="0.28000000000000003"/>
    <n v="0.1343"/>
    <n v="3"/>
    <n v="157"/>
    <n v="160"/>
  </r>
  <r>
    <n v="919"/>
    <x v="40"/>
    <x v="19"/>
    <x v="0"/>
    <x v="5"/>
    <x v="0"/>
    <x v="14"/>
    <n v="0.16669999999999999"/>
    <n v="0.28000000000000003"/>
    <n v="0.1045"/>
    <n v="2"/>
    <n v="110"/>
    <n v="112"/>
  </r>
  <r>
    <n v="920"/>
    <x v="40"/>
    <x v="20"/>
    <x v="0"/>
    <x v="5"/>
    <x v="0"/>
    <x v="14"/>
    <n v="0.18179999999999999"/>
    <n v="0.31"/>
    <n v="8.9599999999999999E-2"/>
    <n v="4"/>
    <n v="93"/>
    <n v="97"/>
  </r>
  <r>
    <n v="921"/>
    <x v="40"/>
    <x v="21"/>
    <x v="0"/>
    <x v="5"/>
    <x v="0"/>
    <x v="14"/>
    <n v="0.21210000000000001"/>
    <n v="0.39"/>
    <n v="0"/>
    <n v="2"/>
    <n v="70"/>
    <n v="72"/>
  </r>
  <r>
    <n v="922"/>
    <x v="40"/>
    <x v="22"/>
    <x v="0"/>
    <x v="5"/>
    <x v="0"/>
    <x v="16"/>
    <n v="0.19700000000000001"/>
    <n v="0.39"/>
    <n v="0"/>
    <n v="4"/>
    <n v="47"/>
    <n v="51"/>
  </r>
  <r>
    <n v="923"/>
    <x v="40"/>
    <x v="23"/>
    <x v="0"/>
    <x v="5"/>
    <x v="0"/>
    <x v="16"/>
    <n v="0.1515"/>
    <n v="0.42"/>
    <n v="0.1045"/>
    <n v="1"/>
    <n v="33"/>
    <n v="34"/>
  </r>
  <r>
    <n v="924"/>
    <x v="41"/>
    <x v="0"/>
    <x v="0"/>
    <x v="6"/>
    <x v="0"/>
    <x v="18"/>
    <n v="0.13639999999999999"/>
    <n v="0.49"/>
    <n v="0.1045"/>
    <n v="2"/>
    <n v="12"/>
    <n v="14"/>
  </r>
  <r>
    <n v="925"/>
    <x v="41"/>
    <x v="1"/>
    <x v="0"/>
    <x v="6"/>
    <x v="0"/>
    <x v="18"/>
    <n v="0.13639999999999999"/>
    <n v="0.54"/>
    <n v="8.9599999999999999E-2"/>
    <n v="1"/>
    <n v="6"/>
    <n v="7"/>
  </r>
  <r>
    <n v="926"/>
    <x v="41"/>
    <x v="2"/>
    <x v="0"/>
    <x v="6"/>
    <x v="0"/>
    <x v="18"/>
    <n v="0.13639999999999999"/>
    <n v="0.54"/>
    <n v="8.9599999999999999E-2"/>
    <n v="0"/>
    <n v="3"/>
    <n v="3"/>
  </r>
  <r>
    <n v="927"/>
    <x v="41"/>
    <x v="5"/>
    <x v="0"/>
    <x v="6"/>
    <x v="0"/>
    <x v="19"/>
    <n v="0.1212"/>
    <n v="0.63"/>
    <n v="8.9599999999999999E-2"/>
    <n v="0"/>
    <n v="4"/>
    <n v="4"/>
  </r>
  <r>
    <n v="928"/>
    <x v="41"/>
    <x v="6"/>
    <x v="0"/>
    <x v="6"/>
    <x v="0"/>
    <x v="18"/>
    <n v="0.18179999999999999"/>
    <n v="0.68"/>
    <n v="0"/>
    <n v="1"/>
    <n v="23"/>
    <n v="24"/>
  </r>
  <r>
    <n v="929"/>
    <x v="41"/>
    <x v="7"/>
    <x v="0"/>
    <x v="6"/>
    <x v="0"/>
    <x v="19"/>
    <n v="0.16669999999999999"/>
    <n v="0.73"/>
    <n v="0"/>
    <n v="1"/>
    <n v="73"/>
    <n v="74"/>
  </r>
  <r>
    <n v="930"/>
    <x v="41"/>
    <x v="8"/>
    <x v="0"/>
    <x v="6"/>
    <x v="0"/>
    <x v="18"/>
    <n v="0.1212"/>
    <n v="0.74"/>
    <n v="0.16420000000000001"/>
    <n v="4"/>
    <n v="212"/>
    <n v="216"/>
  </r>
  <r>
    <n v="931"/>
    <x v="41"/>
    <x v="9"/>
    <x v="0"/>
    <x v="6"/>
    <x v="0"/>
    <x v="16"/>
    <n v="0.1212"/>
    <n v="0.74"/>
    <n v="0.22389999999999999"/>
    <n v="8"/>
    <n v="132"/>
    <n v="140"/>
  </r>
  <r>
    <n v="932"/>
    <x v="41"/>
    <x v="10"/>
    <x v="0"/>
    <x v="6"/>
    <x v="0"/>
    <x v="14"/>
    <n v="0.13639999999999999"/>
    <n v="0.69"/>
    <n v="0.19400000000000001"/>
    <n v="5"/>
    <n v="39"/>
    <n v="44"/>
  </r>
  <r>
    <n v="933"/>
    <x v="41"/>
    <x v="11"/>
    <x v="0"/>
    <x v="6"/>
    <x v="0"/>
    <x v="1"/>
    <n v="0.2273"/>
    <n v="0.47"/>
    <n v="0.1343"/>
    <n v="12"/>
    <n v="52"/>
    <n v="64"/>
  </r>
  <r>
    <n v="934"/>
    <x v="41"/>
    <x v="12"/>
    <x v="0"/>
    <x v="6"/>
    <x v="0"/>
    <x v="1"/>
    <n v="0.2273"/>
    <n v="0.47"/>
    <n v="0.1343"/>
    <n v="7"/>
    <n v="64"/>
    <n v="71"/>
  </r>
  <r>
    <n v="935"/>
    <x v="41"/>
    <x v="13"/>
    <x v="0"/>
    <x v="6"/>
    <x v="0"/>
    <x v="0"/>
    <n v="0.2273"/>
    <n v="0.35"/>
    <n v="0.19400000000000001"/>
    <n v="21"/>
    <n v="89"/>
    <n v="110"/>
  </r>
  <r>
    <n v="936"/>
    <x v="41"/>
    <x v="14"/>
    <x v="0"/>
    <x v="6"/>
    <x v="0"/>
    <x v="11"/>
    <n v="0.28789999999999999"/>
    <n v="0.26"/>
    <n v="0.25369999999999998"/>
    <n v="17"/>
    <n v="67"/>
    <n v="84"/>
  </r>
  <r>
    <n v="937"/>
    <x v="41"/>
    <x v="15"/>
    <x v="0"/>
    <x v="6"/>
    <x v="0"/>
    <x v="3"/>
    <n v="0.31819999999999998"/>
    <n v="0.21"/>
    <n v="0.16420000000000001"/>
    <n v="12"/>
    <n v="62"/>
    <n v="74"/>
  </r>
  <r>
    <n v="938"/>
    <x v="41"/>
    <x v="16"/>
    <x v="0"/>
    <x v="6"/>
    <x v="0"/>
    <x v="11"/>
    <n v="0.28789999999999999"/>
    <n v="0.28000000000000003"/>
    <n v="0.19400000000000001"/>
    <n v="14"/>
    <n v="111"/>
    <n v="125"/>
  </r>
  <r>
    <n v="939"/>
    <x v="41"/>
    <x v="17"/>
    <x v="0"/>
    <x v="6"/>
    <x v="0"/>
    <x v="11"/>
    <n v="0.33329999999999999"/>
    <n v="0.24"/>
    <n v="0"/>
    <n v="18"/>
    <n v="193"/>
    <n v="211"/>
  </r>
  <r>
    <n v="940"/>
    <x v="41"/>
    <x v="18"/>
    <x v="0"/>
    <x v="6"/>
    <x v="0"/>
    <x v="17"/>
    <n v="0.31819999999999998"/>
    <n v="0.28000000000000003"/>
    <n v="0"/>
    <n v="9"/>
    <n v="165"/>
    <n v="174"/>
  </r>
  <r>
    <n v="941"/>
    <x v="41"/>
    <x v="19"/>
    <x v="0"/>
    <x v="6"/>
    <x v="0"/>
    <x v="12"/>
    <n v="0.30299999999999999"/>
    <n v="0.33"/>
    <n v="0"/>
    <n v="7"/>
    <n v="94"/>
    <n v="101"/>
  </r>
  <r>
    <n v="942"/>
    <x v="41"/>
    <x v="20"/>
    <x v="0"/>
    <x v="6"/>
    <x v="0"/>
    <x v="1"/>
    <n v="0.2273"/>
    <n v="0.55000000000000004"/>
    <n v="0.1343"/>
    <n v="2"/>
    <n v="61"/>
    <n v="63"/>
  </r>
  <r>
    <n v="943"/>
    <x v="41"/>
    <x v="21"/>
    <x v="0"/>
    <x v="6"/>
    <x v="0"/>
    <x v="2"/>
    <n v="0.21210000000000001"/>
    <n v="0.59"/>
    <n v="0.1343"/>
    <n v="1"/>
    <n v="46"/>
    <n v="47"/>
  </r>
  <r>
    <n v="944"/>
    <x v="41"/>
    <x v="22"/>
    <x v="0"/>
    <x v="6"/>
    <x v="0"/>
    <x v="2"/>
    <n v="0.2273"/>
    <n v="0.64"/>
    <n v="8.9599999999999999E-2"/>
    <n v="2"/>
    <n v="41"/>
    <n v="43"/>
  </r>
  <r>
    <n v="945"/>
    <x v="41"/>
    <x v="23"/>
    <x v="0"/>
    <x v="6"/>
    <x v="0"/>
    <x v="15"/>
    <n v="0.2424"/>
    <n v="0.69"/>
    <n v="0"/>
    <n v="5"/>
    <n v="48"/>
    <n v="53"/>
  </r>
  <r>
    <n v="946"/>
    <x v="42"/>
    <x v="0"/>
    <x v="0"/>
    <x v="0"/>
    <x v="0"/>
    <x v="13"/>
    <n v="0.19700000000000001"/>
    <n v="0.69"/>
    <n v="8.9599999999999999E-2"/>
    <n v="3"/>
    <n v="27"/>
    <n v="30"/>
  </r>
  <r>
    <n v="947"/>
    <x v="42"/>
    <x v="1"/>
    <x v="0"/>
    <x v="0"/>
    <x v="0"/>
    <x v="14"/>
    <n v="0.21210000000000001"/>
    <n v="0.86"/>
    <n v="0"/>
    <n v="2"/>
    <n v="22"/>
    <n v="24"/>
  </r>
  <r>
    <n v="948"/>
    <x v="42"/>
    <x v="2"/>
    <x v="0"/>
    <x v="0"/>
    <x v="0"/>
    <x v="14"/>
    <n v="0.21210000000000001"/>
    <n v="0.8"/>
    <n v="0"/>
    <n v="2"/>
    <n v="13"/>
    <n v="15"/>
  </r>
  <r>
    <n v="949"/>
    <x v="42"/>
    <x v="3"/>
    <x v="0"/>
    <x v="0"/>
    <x v="0"/>
    <x v="16"/>
    <n v="0.19700000000000001"/>
    <n v="0.8"/>
    <n v="0"/>
    <n v="3"/>
    <n v="7"/>
    <n v="10"/>
  </r>
  <r>
    <n v="950"/>
    <x v="42"/>
    <x v="4"/>
    <x v="0"/>
    <x v="0"/>
    <x v="0"/>
    <x v="16"/>
    <n v="0.16669999999999999"/>
    <n v="0.74"/>
    <n v="8.9599999999999999E-2"/>
    <n v="0"/>
    <n v="4"/>
    <n v="4"/>
  </r>
  <r>
    <n v="951"/>
    <x v="42"/>
    <x v="5"/>
    <x v="0"/>
    <x v="0"/>
    <x v="0"/>
    <x v="16"/>
    <n v="0.16669999999999999"/>
    <n v="0.74"/>
    <n v="8.9599999999999999E-2"/>
    <n v="0"/>
    <n v="1"/>
    <n v="1"/>
  </r>
  <r>
    <n v="952"/>
    <x v="42"/>
    <x v="6"/>
    <x v="0"/>
    <x v="0"/>
    <x v="0"/>
    <x v="16"/>
    <n v="0.13639999999999999"/>
    <n v="0.93"/>
    <n v="0.19400000000000001"/>
    <n v="1"/>
    <n v="1"/>
    <n v="2"/>
  </r>
  <r>
    <n v="953"/>
    <x v="42"/>
    <x v="7"/>
    <x v="0"/>
    <x v="0"/>
    <x v="0"/>
    <x v="16"/>
    <n v="0.1515"/>
    <n v="0.8"/>
    <n v="0.1045"/>
    <n v="2"/>
    <n v="9"/>
    <n v="11"/>
  </r>
  <r>
    <n v="954"/>
    <x v="42"/>
    <x v="8"/>
    <x v="0"/>
    <x v="0"/>
    <x v="0"/>
    <x v="14"/>
    <n v="0.1515"/>
    <n v="0.86"/>
    <n v="0.1343"/>
    <n v="2"/>
    <n v="28"/>
    <n v="30"/>
  </r>
  <r>
    <n v="955"/>
    <x v="42"/>
    <x v="9"/>
    <x v="0"/>
    <x v="0"/>
    <x v="0"/>
    <x v="13"/>
    <n v="0.18179999999999999"/>
    <n v="0.64"/>
    <n v="0.1343"/>
    <n v="5"/>
    <n v="38"/>
    <n v="43"/>
  </r>
  <r>
    <n v="956"/>
    <x v="42"/>
    <x v="10"/>
    <x v="0"/>
    <x v="0"/>
    <x v="0"/>
    <x v="1"/>
    <n v="0.21210000000000001"/>
    <n v="0.41"/>
    <n v="0.25369999999999998"/>
    <n v="13"/>
    <n v="71"/>
    <n v="84"/>
  </r>
  <r>
    <n v="957"/>
    <x v="42"/>
    <x v="11"/>
    <x v="0"/>
    <x v="0"/>
    <x v="0"/>
    <x v="11"/>
    <n v="0.2727"/>
    <n v="0.28000000000000003"/>
    <n v="0.32840000000000003"/>
    <n v="30"/>
    <n v="84"/>
    <n v="114"/>
  </r>
  <r>
    <n v="958"/>
    <x v="42"/>
    <x v="12"/>
    <x v="0"/>
    <x v="0"/>
    <x v="0"/>
    <x v="11"/>
    <n v="0.2727"/>
    <n v="0.39"/>
    <n v="0.4627"/>
    <n v="27"/>
    <n v="93"/>
    <n v="120"/>
  </r>
  <r>
    <n v="959"/>
    <x v="42"/>
    <x v="13"/>
    <x v="0"/>
    <x v="0"/>
    <x v="0"/>
    <x v="11"/>
    <n v="0.2727"/>
    <n v="0.39"/>
    <n v="0.41789999999999999"/>
    <n v="32"/>
    <n v="103"/>
    <n v="135"/>
  </r>
  <r>
    <n v="960"/>
    <x v="42"/>
    <x v="14"/>
    <x v="0"/>
    <x v="0"/>
    <x v="0"/>
    <x v="10"/>
    <n v="0.31819999999999998"/>
    <n v="0.31"/>
    <n v="0.28360000000000002"/>
    <n v="30"/>
    <n v="90"/>
    <n v="120"/>
  </r>
  <r>
    <n v="961"/>
    <x v="42"/>
    <x v="15"/>
    <x v="0"/>
    <x v="0"/>
    <x v="0"/>
    <x v="10"/>
    <n v="0.30299999999999999"/>
    <n v="0.28999999999999998"/>
    <n v="0.41789999999999999"/>
    <n v="47"/>
    <n v="127"/>
    <n v="174"/>
  </r>
  <r>
    <n v="962"/>
    <x v="42"/>
    <x v="16"/>
    <x v="0"/>
    <x v="0"/>
    <x v="0"/>
    <x v="10"/>
    <n v="0.30299999999999999"/>
    <n v="0.28999999999999998"/>
    <n v="0.41789999999999999"/>
    <n v="42"/>
    <n v="103"/>
    <n v="145"/>
  </r>
  <r>
    <n v="963"/>
    <x v="42"/>
    <x v="17"/>
    <x v="0"/>
    <x v="0"/>
    <x v="0"/>
    <x v="3"/>
    <n v="0.28789999999999999"/>
    <n v="0.31"/>
    <n v="0.52239999999999998"/>
    <n v="24"/>
    <n v="113"/>
    <n v="137"/>
  </r>
  <r>
    <n v="964"/>
    <x v="42"/>
    <x v="18"/>
    <x v="0"/>
    <x v="0"/>
    <x v="0"/>
    <x v="17"/>
    <n v="0.2576"/>
    <n v="0.38"/>
    <n v="0.32840000000000003"/>
    <n v="4"/>
    <n v="60"/>
    <n v="64"/>
  </r>
  <r>
    <n v="965"/>
    <x v="42"/>
    <x v="19"/>
    <x v="0"/>
    <x v="0"/>
    <x v="0"/>
    <x v="17"/>
    <n v="0.2727"/>
    <n v="0.38"/>
    <n v="0.16420000000000001"/>
    <n v="2"/>
    <n v="39"/>
    <n v="41"/>
  </r>
  <r>
    <n v="966"/>
    <x v="42"/>
    <x v="20"/>
    <x v="0"/>
    <x v="0"/>
    <x v="0"/>
    <x v="12"/>
    <n v="0.2576"/>
    <n v="0.41"/>
    <n v="0.22389999999999999"/>
    <n v="1"/>
    <n v="39"/>
    <n v="40"/>
  </r>
  <r>
    <n v="967"/>
    <x v="42"/>
    <x v="21"/>
    <x v="0"/>
    <x v="0"/>
    <x v="0"/>
    <x v="12"/>
    <n v="0.30299999999999999"/>
    <n v="0.41"/>
    <n v="0"/>
    <n v="9"/>
    <n v="42"/>
    <n v="51"/>
  </r>
  <r>
    <n v="968"/>
    <x v="42"/>
    <x v="22"/>
    <x v="0"/>
    <x v="0"/>
    <x v="0"/>
    <x v="0"/>
    <n v="0.2576"/>
    <n v="0.44"/>
    <n v="8.9599999999999999E-2"/>
    <n v="6"/>
    <n v="39"/>
    <n v="45"/>
  </r>
  <r>
    <n v="969"/>
    <x v="42"/>
    <x v="23"/>
    <x v="0"/>
    <x v="0"/>
    <x v="0"/>
    <x v="1"/>
    <n v="0.2273"/>
    <n v="0.51"/>
    <n v="0.1343"/>
    <n v="1"/>
    <n v="31"/>
    <n v="32"/>
  </r>
  <r>
    <n v="970"/>
    <x v="43"/>
    <x v="0"/>
    <x v="0"/>
    <x v="1"/>
    <x v="0"/>
    <x v="2"/>
    <n v="0.2273"/>
    <n v="0.64"/>
    <n v="0.1045"/>
    <n v="5"/>
    <n v="34"/>
    <n v="39"/>
  </r>
  <r>
    <n v="971"/>
    <x v="43"/>
    <x v="1"/>
    <x v="0"/>
    <x v="1"/>
    <x v="0"/>
    <x v="2"/>
    <n v="0.2273"/>
    <n v="0.59"/>
    <n v="8.9599999999999999E-2"/>
    <n v="1"/>
    <n v="23"/>
    <n v="24"/>
  </r>
  <r>
    <n v="972"/>
    <x v="43"/>
    <x v="2"/>
    <x v="0"/>
    <x v="1"/>
    <x v="1"/>
    <x v="2"/>
    <n v="0.2273"/>
    <n v="0.75"/>
    <n v="8.9599999999999999E-2"/>
    <n v="1"/>
    <n v="19"/>
    <n v="20"/>
  </r>
  <r>
    <n v="973"/>
    <x v="43"/>
    <x v="3"/>
    <x v="0"/>
    <x v="1"/>
    <x v="1"/>
    <x v="2"/>
    <n v="0.2273"/>
    <n v="0.69"/>
    <n v="0.1045"/>
    <n v="4"/>
    <n v="8"/>
    <n v="12"/>
  </r>
  <r>
    <n v="974"/>
    <x v="43"/>
    <x v="4"/>
    <x v="0"/>
    <x v="1"/>
    <x v="1"/>
    <x v="2"/>
    <n v="0.21210000000000001"/>
    <n v="0.69"/>
    <n v="0.16420000000000001"/>
    <n v="0"/>
    <n v="2"/>
    <n v="2"/>
  </r>
  <r>
    <n v="975"/>
    <x v="43"/>
    <x v="6"/>
    <x v="0"/>
    <x v="1"/>
    <x v="1"/>
    <x v="2"/>
    <n v="0.21210000000000001"/>
    <n v="0.69"/>
    <n v="0.1343"/>
    <n v="2"/>
    <n v="3"/>
    <n v="5"/>
  </r>
  <r>
    <n v="976"/>
    <x v="43"/>
    <x v="7"/>
    <x v="0"/>
    <x v="1"/>
    <x v="1"/>
    <x v="1"/>
    <n v="0.2727"/>
    <n v="0.55000000000000004"/>
    <n v="0"/>
    <n v="0"/>
    <n v="3"/>
    <n v="3"/>
  </r>
  <r>
    <n v="977"/>
    <x v="43"/>
    <x v="8"/>
    <x v="0"/>
    <x v="1"/>
    <x v="1"/>
    <x v="1"/>
    <n v="0.2273"/>
    <n v="0.64"/>
    <n v="0.19400000000000001"/>
    <n v="1"/>
    <n v="11"/>
    <n v="12"/>
  </r>
  <r>
    <n v="978"/>
    <x v="43"/>
    <x v="9"/>
    <x v="0"/>
    <x v="1"/>
    <x v="1"/>
    <x v="0"/>
    <n v="0.2273"/>
    <n v="0.6"/>
    <n v="0.22389999999999999"/>
    <n v="12"/>
    <n v="35"/>
    <n v="47"/>
  </r>
  <r>
    <n v="979"/>
    <x v="43"/>
    <x v="10"/>
    <x v="0"/>
    <x v="1"/>
    <x v="0"/>
    <x v="11"/>
    <n v="0.2727"/>
    <n v="0.45"/>
    <n v="0.32840000000000003"/>
    <n v="19"/>
    <n v="86"/>
    <n v="105"/>
  </r>
  <r>
    <n v="980"/>
    <x v="43"/>
    <x v="11"/>
    <x v="0"/>
    <x v="1"/>
    <x v="0"/>
    <x v="3"/>
    <n v="0.28789999999999999"/>
    <n v="0.39"/>
    <n v="0.44779999999999998"/>
    <n v="26"/>
    <n v="86"/>
    <n v="112"/>
  </r>
  <r>
    <n v="981"/>
    <x v="43"/>
    <x v="12"/>
    <x v="0"/>
    <x v="1"/>
    <x v="0"/>
    <x v="5"/>
    <n v="0.31819999999999998"/>
    <n v="0.32"/>
    <n v="0.4627"/>
    <n v="58"/>
    <n v="94"/>
    <n v="152"/>
  </r>
  <r>
    <n v="982"/>
    <x v="43"/>
    <x v="13"/>
    <x v="0"/>
    <x v="1"/>
    <x v="0"/>
    <x v="4"/>
    <n v="0.39389999999999997"/>
    <n v="0.28999999999999998"/>
    <n v="0.35820000000000002"/>
    <n v="62"/>
    <n v="92"/>
    <n v="154"/>
  </r>
  <r>
    <n v="983"/>
    <x v="43"/>
    <x v="14"/>
    <x v="0"/>
    <x v="1"/>
    <x v="1"/>
    <x v="9"/>
    <n v="0.40910000000000002"/>
    <n v="0.3"/>
    <n v="0.41789999999999999"/>
    <n v="51"/>
    <n v="110"/>
    <n v="161"/>
  </r>
  <r>
    <n v="984"/>
    <x v="43"/>
    <x v="15"/>
    <x v="0"/>
    <x v="1"/>
    <x v="1"/>
    <x v="9"/>
    <n v="0.40910000000000002"/>
    <n v="0.3"/>
    <n v="0.29849999999999999"/>
    <n v="40"/>
    <n v="122"/>
    <n v="162"/>
  </r>
  <r>
    <n v="985"/>
    <x v="43"/>
    <x v="16"/>
    <x v="0"/>
    <x v="1"/>
    <x v="1"/>
    <x v="6"/>
    <n v="0.42420000000000002"/>
    <n v="0.28000000000000003"/>
    <n v="0.32840000000000003"/>
    <n v="28"/>
    <n v="106"/>
    <n v="134"/>
  </r>
  <r>
    <n v="986"/>
    <x v="43"/>
    <x v="17"/>
    <x v="0"/>
    <x v="1"/>
    <x v="0"/>
    <x v="6"/>
    <n v="0.42420000000000002"/>
    <n v="0.28000000000000003"/>
    <n v="0.32840000000000003"/>
    <n v="30"/>
    <n v="95"/>
    <n v="125"/>
  </r>
  <r>
    <n v="987"/>
    <x v="43"/>
    <x v="18"/>
    <x v="0"/>
    <x v="1"/>
    <x v="0"/>
    <x v="9"/>
    <n v="0.40910000000000002"/>
    <n v="0.32"/>
    <n v="0.29849999999999999"/>
    <n v="17"/>
    <n v="78"/>
    <n v="95"/>
  </r>
  <r>
    <n v="988"/>
    <x v="43"/>
    <x v="19"/>
    <x v="0"/>
    <x v="1"/>
    <x v="0"/>
    <x v="9"/>
    <n v="0.40910000000000002"/>
    <n v="0.35"/>
    <n v="0.28360000000000002"/>
    <n v="11"/>
    <n v="50"/>
    <n v="61"/>
  </r>
  <r>
    <n v="989"/>
    <x v="43"/>
    <x v="20"/>
    <x v="0"/>
    <x v="1"/>
    <x v="0"/>
    <x v="9"/>
    <n v="0.40910000000000002"/>
    <n v="0.35"/>
    <n v="0.32840000000000003"/>
    <n v="15"/>
    <n v="32"/>
    <n v="47"/>
  </r>
  <r>
    <n v="990"/>
    <x v="43"/>
    <x v="21"/>
    <x v="0"/>
    <x v="1"/>
    <x v="0"/>
    <x v="9"/>
    <n v="0.40910000000000002"/>
    <n v="0.35"/>
    <n v="0.35820000000000002"/>
    <n v="6"/>
    <n v="45"/>
    <n v="51"/>
  </r>
  <r>
    <n v="991"/>
    <x v="43"/>
    <x v="22"/>
    <x v="0"/>
    <x v="1"/>
    <x v="0"/>
    <x v="9"/>
    <n v="0.40910000000000002"/>
    <n v="0.35"/>
    <n v="0.29849999999999999"/>
    <n v="5"/>
    <n v="31"/>
    <n v="36"/>
  </r>
  <r>
    <n v="992"/>
    <x v="43"/>
    <x v="23"/>
    <x v="0"/>
    <x v="1"/>
    <x v="0"/>
    <x v="9"/>
    <n v="0.40910000000000002"/>
    <n v="0.35"/>
    <n v="0.35820000000000002"/>
    <n v="3"/>
    <n v="27"/>
    <n v="30"/>
  </r>
  <r>
    <n v="993"/>
    <x v="44"/>
    <x v="0"/>
    <x v="0"/>
    <x v="2"/>
    <x v="0"/>
    <x v="4"/>
    <n v="0.39389999999999997"/>
    <n v="0.37"/>
    <n v="0.35820000000000002"/>
    <n v="3"/>
    <n v="8"/>
    <n v="11"/>
  </r>
  <r>
    <n v="994"/>
    <x v="44"/>
    <x v="1"/>
    <x v="0"/>
    <x v="2"/>
    <x v="0"/>
    <x v="4"/>
    <n v="0.39389999999999997"/>
    <n v="0.37"/>
    <n v="0.35820000000000002"/>
    <n v="1"/>
    <n v="6"/>
    <n v="7"/>
  </r>
  <r>
    <n v="995"/>
    <x v="44"/>
    <x v="2"/>
    <x v="0"/>
    <x v="2"/>
    <x v="0"/>
    <x v="5"/>
    <n v="0.33329999999999999"/>
    <n v="0.4"/>
    <n v="0.29849999999999999"/>
    <n v="0"/>
    <n v="2"/>
    <n v="2"/>
  </r>
  <r>
    <n v="996"/>
    <x v="44"/>
    <x v="3"/>
    <x v="0"/>
    <x v="2"/>
    <x v="0"/>
    <x v="10"/>
    <n v="0.31819999999999998"/>
    <n v="0.46"/>
    <n v="0.22389999999999999"/>
    <n v="1"/>
    <n v="1"/>
    <n v="2"/>
  </r>
  <r>
    <n v="997"/>
    <x v="44"/>
    <x v="4"/>
    <x v="0"/>
    <x v="2"/>
    <x v="0"/>
    <x v="3"/>
    <n v="0.30299999999999999"/>
    <n v="0.53"/>
    <n v="0.28360000000000002"/>
    <n v="0"/>
    <n v="2"/>
    <n v="2"/>
  </r>
  <r>
    <n v="998"/>
    <x v="44"/>
    <x v="5"/>
    <x v="0"/>
    <x v="2"/>
    <x v="0"/>
    <x v="3"/>
    <n v="0.30299999999999999"/>
    <n v="0.53"/>
    <n v="0.28360000000000002"/>
    <n v="0"/>
    <n v="3"/>
    <n v="3"/>
  </r>
  <r>
    <n v="999"/>
    <x v="44"/>
    <x v="6"/>
    <x v="0"/>
    <x v="2"/>
    <x v="0"/>
    <x v="10"/>
    <n v="0.30299999999999999"/>
    <n v="0.46"/>
    <n v="0.29849999999999999"/>
    <n v="1"/>
    <n v="25"/>
    <n v="26"/>
  </r>
  <r>
    <n v="1000"/>
    <x v="44"/>
    <x v="7"/>
    <x v="0"/>
    <x v="2"/>
    <x v="0"/>
    <x v="10"/>
    <n v="0.30299999999999999"/>
    <n v="0.46"/>
    <n v="0.29849999999999999"/>
    <n v="2"/>
    <n v="96"/>
    <n v="9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x v="0"/>
    <b v="0"/>
    <s v="Saturday"/>
    <s v="Normal"/>
    <n v="0.24"/>
    <n v="0.28789999999999999"/>
    <n v="0.81"/>
    <x v="0"/>
    <x v="0"/>
    <n v="13"/>
    <x v="0"/>
    <x v="0"/>
    <x v="0"/>
    <x v="0"/>
  </r>
  <r>
    <n v="2"/>
    <x v="0"/>
    <x v="1"/>
    <b v="0"/>
    <s v="Saturday"/>
    <s v="Normal"/>
    <n v="0.22"/>
    <n v="0.2727"/>
    <n v="0.8"/>
    <x v="0"/>
    <x v="1"/>
    <n v="32"/>
    <x v="1"/>
    <x v="0"/>
    <x v="0"/>
    <x v="0"/>
  </r>
  <r>
    <n v="3"/>
    <x v="0"/>
    <x v="2"/>
    <b v="0"/>
    <s v="Saturday"/>
    <s v="Normal"/>
    <n v="0.22"/>
    <n v="0.2727"/>
    <n v="0.8"/>
    <x v="0"/>
    <x v="2"/>
    <n v="27"/>
    <x v="2"/>
    <x v="0"/>
    <x v="0"/>
    <x v="0"/>
  </r>
  <r>
    <n v="4"/>
    <x v="0"/>
    <x v="3"/>
    <b v="0"/>
    <s v="Saturday"/>
    <s v="Normal"/>
    <n v="0.24"/>
    <n v="0.28789999999999999"/>
    <n v="0.75"/>
    <x v="0"/>
    <x v="0"/>
    <n v="10"/>
    <x v="3"/>
    <x v="0"/>
    <x v="0"/>
    <x v="0"/>
  </r>
  <r>
    <n v="5"/>
    <x v="0"/>
    <x v="4"/>
    <b v="0"/>
    <s v="Saturday"/>
    <s v="Normal"/>
    <n v="0.24"/>
    <n v="0.28789999999999999"/>
    <n v="0.75"/>
    <x v="0"/>
    <x v="3"/>
    <n v="1"/>
    <x v="4"/>
    <x v="0"/>
    <x v="0"/>
    <x v="0"/>
  </r>
  <r>
    <n v="6"/>
    <x v="0"/>
    <x v="5"/>
    <b v="0"/>
    <s v="Saturday"/>
    <s v="Yellow Alert"/>
    <n v="0.24"/>
    <n v="0.2576"/>
    <n v="0.75"/>
    <x v="1"/>
    <x v="3"/>
    <n v="1"/>
    <x v="4"/>
    <x v="0"/>
    <x v="0"/>
    <x v="1"/>
  </r>
  <r>
    <n v="7"/>
    <x v="0"/>
    <x v="6"/>
    <b v="0"/>
    <s v="Saturday"/>
    <s v="Normal"/>
    <n v="0.22"/>
    <n v="0.2727"/>
    <n v="0.8"/>
    <x v="0"/>
    <x v="4"/>
    <n v="0"/>
    <x v="5"/>
    <x v="0"/>
    <x v="0"/>
    <x v="0"/>
  </r>
  <r>
    <n v="8"/>
    <x v="0"/>
    <x v="7"/>
    <b v="0"/>
    <s v="Saturday"/>
    <s v="Normal"/>
    <n v="0.2"/>
    <n v="0.2576"/>
    <n v="0.86"/>
    <x v="0"/>
    <x v="5"/>
    <n v="2"/>
    <x v="6"/>
    <x v="0"/>
    <x v="1"/>
    <x v="0"/>
  </r>
  <r>
    <n v="9"/>
    <x v="0"/>
    <x v="8"/>
    <b v="0"/>
    <s v="Saturday"/>
    <s v="Normal"/>
    <n v="0.24"/>
    <n v="0"/>
    <n v="0.75"/>
    <x v="0"/>
    <x v="5"/>
    <n v="7"/>
    <x v="7"/>
    <x v="0"/>
    <x v="1"/>
    <x v="0"/>
  </r>
  <r>
    <n v="10"/>
    <x v="0"/>
    <x v="9"/>
    <b v="0"/>
    <s v="Saturday"/>
    <s v="Normal"/>
    <n v="0.32"/>
    <n v="0.34849999999999998"/>
    <n v="0.76"/>
    <x v="0"/>
    <x v="1"/>
    <n v="6"/>
    <x v="8"/>
    <x v="0"/>
    <x v="1"/>
    <x v="0"/>
  </r>
  <r>
    <n v="11"/>
    <x v="0"/>
    <x v="10"/>
    <b v="0"/>
    <s v="Saturday"/>
    <s v="Normal"/>
    <n v="0.38"/>
    <n v="0.39389999999999997"/>
    <n v="0.76"/>
    <x v="2"/>
    <x v="6"/>
    <n v="24"/>
    <x v="9"/>
    <x v="0"/>
    <x v="0"/>
    <x v="0"/>
  </r>
  <r>
    <n v="12"/>
    <x v="0"/>
    <x v="11"/>
    <b v="0"/>
    <s v="Saturday"/>
    <s v="Normal"/>
    <n v="0.36"/>
    <n v="0.33329999999999999"/>
    <n v="0.81"/>
    <x v="3"/>
    <x v="7"/>
    <n v="30"/>
    <x v="10"/>
    <x v="0"/>
    <x v="0"/>
    <x v="0"/>
  </r>
  <r>
    <n v="13"/>
    <x v="0"/>
    <x v="12"/>
    <b v="0"/>
    <s v="Saturday"/>
    <s v="Normal"/>
    <n v="0.42"/>
    <n v="0.42420000000000002"/>
    <n v="0.77"/>
    <x v="3"/>
    <x v="8"/>
    <n v="55"/>
    <x v="11"/>
    <x v="0"/>
    <x v="0"/>
    <x v="0"/>
  </r>
  <r>
    <n v="14"/>
    <x v="0"/>
    <x v="13"/>
    <b v="0"/>
    <s v="Saturday"/>
    <s v="Yellow Alert"/>
    <n v="0.46"/>
    <n v="0.45450000000000002"/>
    <n v="0.72"/>
    <x v="4"/>
    <x v="9"/>
    <n v="47"/>
    <x v="12"/>
    <x v="0"/>
    <x v="0"/>
    <x v="1"/>
  </r>
  <r>
    <n v="15"/>
    <x v="0"/>
    <x v="14"/>
    <b v="0"/>
    <s v="Saturday"/>
    <s v="Yellow Alert"/>
    <n v="0.46"/>
    <n v="0.45450000000000002"/>
    <n v="0.72"/>
    <x v="3"/>
    <x v="10"/>
    <n v="71"/>
    <x v="13"/>
    <x v="0"/>
    <x v="0"/>
    <x v="1"/>
  </r>
  <r>
    <n v="16"/>
    <x v="0"/>
    <x v="15"/>
    <b v="0"/>
    <s v="Saturday"/>
    <s v="Yellow Alert"/>
    <n v="0.44"/>
    <n v="0.43940000000000001"/>
    <n v="0.77"/>
    <x v="4"/>
    <x v="11"/>
    <n v="70"/>
    <x v="14"/>
    <x v="0"/>
    <x v="0"/>
    <x v="1"/>
  </r>
  <r>
    <n v="17"/>
    <x v="0"/>
    <x v="16"/>
    <b v="0"/>
    <s v="Saturday"/>
    <s v="Yellow Alert"/>
    <n v="0.42"/>
    <n v="0.42420000000000002"/>
    <n v="0.82"/>
    <x v="4"/>
    <x v="12"/>
    <n v="52"/>
    <x v="15"/>
    <x v="0"/>
    <x v="0"/>
    <x v="1"/>
  </r>
  <r>
    <n v="18"/>
    <x v="0"/>
    <x v="17"/>
    <b v="0"/>
    <s v="Saturday"/>
    <s v="Yellow Alert"/>
    <n v="0.44"/>
    <n v="0"/>
    <n v="0.82"/>
    <x v="3"/>
    <x v="13"/>
    <n v="52"/>
    <x v="16"/>
    <x v="0"/>
    <x v="2"/>
    <x v="1"/>
  </r>
  <r>
    <n v="19"/>
    <x v="0"/>
    <x v="18"/>
    <b v="0"/>
    <s v="Saturday"/>
    <s v="Orange Alert"/>
    <n v="0.42"/>
    <n v="0.42420000000000002"/>
    <n v="0.88"/>
    <x v="2"/>
    <x v="14"/>
    <n v="26"/>
    <x v="17"/>
    <x v="0"/>
    <x v="2"/>
    <x v="2"/>
  </r>
  <r>
    <n v="20"/>
    <x v="0"/>
    <x v="19"/>
    <b v="0"/>
    <s v="Saturday"/>
    <s v="Orange Alert"/>
    <n v="0.42"/>
    <n v="0.42420000000000002"/>
    <n v="0.88"/>
    <x v="2"/>
    <x v="15"/>
    <n v="31"/>
    <x v="18"/>
    <x v="0"/>
    <x v="2"/>
    <x v="2"/>
  </r>
  <r>
    <n v="21"/>
    <x v="0"/>
    <x v="20"/>
    <b v="0"/>
    <s v="Saturday"/>
    <s v="Yellow Alert"/>
    <n v="0.4"/>
    <n v="0.40910000000000002"/>
    <n v="0.87"/>
    <x v="2"/>
    <x v="16"/>
    <n v="25"/>
    <x v="9"/>
    <x v="0"/>
    <x v="0"/>
    <x v="1"/>
  </r>
  <r>
    <n v="22"/>
    <x v="0"/>
    <x v="21"/>
    <b v="0"/>
    <s v="Saturday"/>
    <s v="Yellow Alert"/>
    <n v="0.4"/>
    <n v="0.40910000000000002"/>
    <n v="0.87"/>
    <x v="5"/>
    <x v="0"/>
    <n v="31"/>
    <x v="19"/>
    <x v="0"/>
    <x v="0"/>
    <x v="1"/>
  </r>
  <r>
    <n v="23"/>
    <x v="0"/>
    <x v="22"/>
    <b v="0"/>
    <s v="Saturday"/>
    <s v="Yellow Alert"/>
    <n v="0.4"/>
    <n v="0.40910000000000002"/>
    <n v="0.94"/>
    <x v="6"/>
    <x v="16"/>
    <n v="17"/>
    <x v="20"/>
    <x v="0"/>
    <x v="0"/>
    <x v="1"/>
  </r>
  <r>
    <n v="24"/>
    <x v="0"/>
    <x v="23"/>
    <b v="0"/>
    <s v="Saturday"/>
    <s v="Yellow Alert"/>
    <n v="0.46"/>
    <n v="0"/>
    <n v="0.88"/>
    <x v="4"/>
    <x v="13"/>
    <n v="24"/>
    <x v="21"/>
    <x v="0"/>
    <x v="0"/>
    <x v="1"/>
  </r>
  <r>
    <n v="25"/>
    <x v="1"/>
    <x v="0"/>
    <b v="0"/>
    <s v="Sunday"/>
    <s v="Yellow Alert"/>
    <n v="0.46"/>
    <n v="0.45450000000000002"/>
    <n v="0.88"/>
    <x v="4"/>
    <x v="17"/>
    <n v="13"/>
    <x v="22"/>
    <x v="0"/>
    <x v="0"/>
    <x v="1"/>
  </r>
  <r>
    <n v="26"/>
    <x v="1"/>
    <x v="1"/>
    <b v="0"/>
    <s v="Sunday"/>
    <s v="Yellow Alert"/>
    <n v="0.44"/>
    <n v="0.43940000000000001"/>
    <n v="0.94"/>
    <x v="2"/>
    <x v="5"/>
    <n v="16"/>
    <x v="22"/>
    <x v="0"/>
    <x v="0"/>
    <x v="1"/>
  </r>
  <r>
    <n v="27"/>
    <x v="1"/>
    <x v="2"/>
    <b v="0"/>
    <s v="Sunday"/>
    <s v="Yellow Alert"/>
    <n v="0.42"/>
    <n v="0.42420000000000002"/>
    <n v="1"/>
    <x v="3"/>
    <x v="5"/>
    <n v="8"/>
    <x v="23"/>
    <x v="0"/>
    <x v="0"/>
    <x v="1"/>
  </r>
  <r>
    <n v="28"/>
    <x v="1"/>
    <x v="3"/>
    <b v="0"/>
    <s v="Sunday"/>
    <s v="Yellow Alert"/>
    <n v="0.46"/>
    <n v="0.45450000000000002"/>
    <n v="0.94"/>
    <x v="5"/>
    <x v="4"/>
    <n v="4"/>
    <x v="24"/>
    <x v="0"/>
    <x v="0"/>
    <x v="1"/>
  </r>
  <r>
    <n v="29"/>
    <x v="1"/>
    <x v="4"/>
    <b v="0"/>
    <s v="Sunday"/>
    <s v="Yellow Alert"/>
    <n v="0.46"/>
    <n v="0"/>
    <n v="0.94"/>
    <x v="5"/>
    <x v="4"/>
    <n v="1"/>
    <x v="6"/>
    <x v="0"/>
    <x v="0"/>
    <x v="1"/>
  </r>
  <r>
    <n v="30"/>
    <x v="1"/>
    <x v="6"/>
    <b v="0"/>
    <s v="Sunday"/>
    <s v="Orange Alert"/>
    <n v="0.42"/>
    <n v="0.42420000000000002"/>
    <n v="0.77"/>
    <x v="4"/>
    <x v="3"/>
    <n v="2"/>
    <x v="5"/>
    <x v="0"/>
    <x v="0"/>
    <x v="2"/>
  </r>
  <r>
    <n v="31"/>
    <x v="1"/>
    <x v="7"/>
    <b v="0"/>
    <s v="Sunday"/>
    <s v="Yellow Alert"/>
    <n v="0.4"/>
    <n v="0.40910000000000002"/>
    <n v="0.76"/>
    <x v="5"/>
    <x v="3"/>
    <n v="1"/>
    <x v="4"/>
    <x v="0"/>
    <x v="1"/>
    <x v="1"/>
  </r>
  <r>
    <n v="32"/>
    <x v="1"/>
    <x v="8"/>
    <b v="0"/>
    <s v="Sunday"/>
    <s v="Orange Alert"/>
    <n v="0.4"/>
    <n v="0.40910000000000002"/>
    <n v="0.71"/>
    <x v="6"/>
    <x v="3"/>
    <n v="8"/>
    <x v="7"/>
    <x v="0"/>
    <x v="1"/>
    <x v="2"/>
  </r>
  <r>
    <n v="33"/>
    <x v="1"/>
    <x v="9"/>
    <b v="0"/>
    <s v="Sunday"/>
    <s v="Yellow Alert"/>
    <n v="0.38"/>
    <n v="0"/>
    <n v="0.76"/>
    <x v="6"/>
    <x v="5"/>
    <n v="19"/>
    <x v="25"/>
    <x v="0"/>
    <x v="1"/>
    <x v="1"/>
  </r>
  <r>
    <n v="34"/>
    <x v="1"/>
    <x v="10"/>
    <b v="0"/>
    <s v="Sunday"/>
    <s v="Yellow Alert"/>
    <n v="0.36"/>
    <n v="0.34849999999999998"/>
    <n v="0.81"/>
    <x v="6"/>
    <x v="18"/>
    <n v="46"/>
    <x v="26"/>
    <x v="0"/>
    <x v="0"/>
    <x v="1"/>
  </r>
  <r>
    <n v="35"/>
    <x v="1"/>
    <x v="11"/>
    <b v="0"/>
    <s v="Sunday"/>
    <s v="Yellow Alert"/>
    <n v="0.36"/>
    <n v="0.33329999999999999"/>
    <n v="0.71"/>
    <x v="2"/>
    <x v="19"/>
    <n v="54"/>
    <x v="27"/>
    <x v="0"/>
    <x v="0"/>
    <x v="1"/>
  </r>
  <r>
    <n v="36"/>
    <x v="1"/>
    <x v="12"/>
    <b v="0"/>
    <s v="Sunday"/>
    <s v="Yellow Alert"/>
    <n v="0.36"/>
    <n v="0.33329999999999999"/>
    <n v="0.66"/>
    <x v="4"/>
    <x v="20"/>
    <n v="73"/>
    <x v="15"/>
    <x v="0"/>
    <x v="0"/>
    <x v="1"/>
  </r>
  <r>
    <n v="37"/>
    <x v="1"/>
    <x v="13"/>
    <b v="0"/>
    <s v="Sunday"/>
    <s v="Yellow Alert"/>
    <n v="0.36"/>
    <n v="0.34849999999999998"/>
    <n v="0.66"/>
    <x v="7"/>
    <x v="16"/>
    <n v="64"/>
    <x v="28"/>
    <x v="0"/>
    <x v="0"/>
    <x v="1"/>
  </r>
  <r>
    <n v="38"/>
    <x v="1"/>
    <x v="14"/>
    <b v="0"/>
    <s v="Sunday"/>
    <s v="Orange Alert"/>
    <n v="0.36"/>
    <n v="0"/>
    <n v="0.76"/>
    <x v="5"/>
    <x v="17"/>
    <n v="55"/>
    <x v="29"/>
    <x v="0"/>
    <x v="0"/>
    <x v="2"/>
  </r>
  <r>
    <n v="39"/>
    <x v="1"/>
    <x v="15"/>
    <b v="0"/>
    <s v="Sunday"/>
    <s v="Orange Alert"/>
    <n v="0.34"/>
    <n v="0.33329999999999999"/>
    <n v="0.81"/>
    <x v="8"/>
    <x v="21"/>
    <n v="55"/>
    <x v="30"/>
    <x v="0"/>
    <x v="0"/>
    <x v="2"/>
  </r>
  <r>
    <n v="40"/>
    <x v="1"/>
    <x v="16"/>
    <b v="0"/>
    <s v="Sunday"/>
    <s v="Orange Alert"/>
    <n v="0.34"/>
    <n v="0.33329999999999999"/>
    <n v="0.71"/>
    <x v="8"/>
    <x v="14"/>
    <n v="67"/>
    <x v="31"/>
    <x v="0"/>
    <x v="0"/>
    <x v="2"/>
  </r>
  <r>
    <n v="41"/>
    <x v="1"/>
    <x v="17"/>
    <b v="0"/>
    <s v="Sunday"/>
    <s v="Normal"/>
    <n v="0.34"/>
    <n v="0.33329999999999999"/>
    <n v="0.56999999999999995"/>
    <x v="5"/>
    <x v="18"/>
    <n v="58"/>
    <x v="32"/>
    <x v="0"/>
    <x v="2"/>
    <x v="0"/>
  </r>
  <r>
    <n v="42"/>
    <x v="1"/>
    <x v="18"/>
    <b v="0"/>
    <s v="Sunday"/>
    <s v="Yellow Alert"/>
    <n v="0.36"/>
    <n v="0.33329999999999999"/>
    <n v="0.46"/>
    <x v="9"/>
    <x v="22"/>
    <n v="43"/>
    <x v="26"/>
    <x v="0"/>
    <x v="2"/>
    <x v="1"/>
  </r>
  <r>
    <n v="43"/>
    <x v="1"/>
    <x v="19"/>
    <b v="0"/>
    <s v="Sunday"/>
    <s v="Normal"/>
    <n v="0.32"/>
    <n v="0.28789999999999999"/>
    <n v="0.42"/>
    <x v="10"/>
    <x v="5"/>
    <n v="29"/>
    <x v="33"/>
    <x v="0"/>
    <x v="2"/>
    <x v="0"/>
  </r>
  <r>
    <n v="44"/>
    <x v="1"/>
    <x v="20"/>
    <b v="0"/>
    <s v="Sunday"/>
    <s v="Normal"/>
    <n v="0.3"/>
    <n v="0"/>
    <n v="0.39"/>
    <x v="11"/>
    <x v="2"/>
    <n v="17"/>
    <x v="34"/>
    <x v="0"/>
    <x v="0"/>
    <x v="0"/>
  </r>
  <r>
    <n v="45"/>
    <x v="1"/>
    <x v="21"/>
    <b v="0"/>
    <s v="Sunday"/>
    <s v="Normal"/>
    <n v="0.26"/>
    <n v="0.2273"/>
    <n v="0.44"/>
    <x v="9"/>
    <x v="16"/>
    <n v="20"/>
    <x v="35"/>
    <x v="0"/>
    <x v="0"/>
    <x v="0"/>
  </r>
  <r>
    <n v="46"/>
    <x v="1"/>
    <x v="22"/>
    <b v="0"/>
    <s v="Sunday"/>
    <s v="Normal"/>
    <n v="0.24"/>
    <n v="0.21210000000000001"/>
    <n v="0.44"/>
    <x v="4"/>
    <x v="3"/>
    <n v="9"/>
    <x v="23"/>
    <x v="0"/>
    <x v="0"/>
    <x v="0"/>
  </r>
  <r>
    <n v="47"/>
    <x v="1"/>
    <x v="23"/>
    <b v="0"/>
    <s v="Sunday"/>
    <s v="Normal"/>
    <n v="0.22"/>
    <n v="0.2273"/>
    <n v="0.47"/>
    <x v="8"/>
    <x v="3"/>
    <n v="8"/>
    <x v="7"/>
    <x v="0"/>
    <x v="0"/>
    <x v="0"/>
  </r>
  <r>
    <n v="48"/>
    <x v="2"/>
    <x v="0"/>
    <b v="0"/>
    <s v="Monday"/>
    <s v="Normal"/>
    <n v="0.22"/>
    <n v="0.19700000000000001"/>
    <n v="0.44"/>
    <x v="11"/>
    <x v="3"/>
    <n v="5"/>
    <x v="36"/>
    <x v="1"/>
    <x v="0"/>
    <x v="0"/>
  </r>
  <r>
    <n v="49"/>
    <x v="2"/>
    <x v="1"/>
    <b v="0"/>
    <s v="Monday"/>
    <s v="Normal"/>
    <n v="0.2"/>
    <n v="0"/>
    <n v="0.44"/>
    <x v="12"/>
    <x v="3"/>
    <n v="2"/>
    <x v="5"/>
    <x v="1"/>
    <x v="0"/>
    <x v="0"/>
  </r>
  <r>
    <n v="50"/>
    <x v="2"/>
    <x v="4"/>
    <b v="0"/>
    <s v="Monday"/>
    <s v="Normal"/>
    <n v="0.16"/>
    <n v="0.13639999999999999"/>
    <n v="0.47"/>
    <x v="13"/>
    <x v="3"/>
    <n v="1"/>
    <x v="4"/>
    <x v="1"/>
    <x v="0"/>
    <x v="0"/>
  </r>
  <r>
    <n v="51"/>
    <x v="2"/>
    <x v="5"/>
    <b v="0"/>
    <s v="Monday"/>
    <s v="Normal"/>
    <n v="0.16"/>
    <n v="0.13639999999999999"/>
    <n v="0.47"/>
    <x v="3"/>
    <x v="3"/>
    <n v="3"/>
    <x v="6"/>
    <x v="1"/>
    <x v="0"/>
    <x v="0"/>
  </r>
  <r>
    <n v="52"/>
    <x v="2"/>
    <x v="6"/>
    <b v="0"/>
    <s v="Monday"/>
    <s v="Normal"/>
    <n v="0.14000000000000001"/>
    <n v="0.1061"/>
    <n v="0.5"/>
    <x v="13"/>
    <x v="3"/>
    <n v="30"/>
    <x v="33"/>
    <x v="1"/>
    <x v="0"/>
    <x v="0"/>
  </r>
  <r>
    <n v="53"/>
    <x v="2"/>
    <x v="7"/>
    <b v="0"/>
    <s v="Monday"/>
    <s v="Normal"/>
    <n v="0.14000000000000001"/>
    <n v="0.13639999999999999"/>
    <n v="0.5"/>
    <x v="5"/>
    <x v="5"/>
    <n v="63"/>
    <x v="37"/>
    <x v="1"/>
    <x v="1"/>
    <x v="0"/>
  </r>
  <r>
    <n v="54"/>
    <x v="2"/>
    <x v="8"/>
    <b v="0"/>
    <s v="Monday"/>
    <s v="Normal"/>
    <n v="0.14000000000000001"/>
    <n v="0.1212"/>
    <n v="0.5"/>
    <x v="3"/>
    <x v="5"/>
    <n v="153"/>
    <x v="38"/>
    <x v="1"/>
    <x v="1"/>
    <x v="0"/>
  </r>
  <r>
    <n v="55"/>
    <x v="2"/>
    <x v="9"/>
    <b v="0"/>
    <s v="Monday"/>
    <s v="Normal"/>
    <n v="0.16"/>
    <n v="0.13639999999999999"/>
    <n v="0.43"/>
    <x v="13"/>
    <x v="18"/>
    <n v="81"/>
    <x v="39"/>
    <x v="1"/>
    <x v="1"/>
    <x v="0"/>
  </r>
  <r>
    <n v="56"/>
    <x v="2"/>
    <x v="10"/>
    <b v="0"/>
    <s v="Monday"/>
    <s v="Normal"/>
    <n v="0.18"/>
    <n v="0.16669999999999999"/>
    <n v="0.43"/>
    <x v="2"/>
    <x v="16"/>
    <n v="33"/>
    <x v="40"/>
    <x v="1"/>
    <x v="0"/>
    <x v="0"/>
  </r>
  <r>
    <n v="57"/>
    <x v="2"/>
    <x v="11"/>
    <b v="0"/>
    <s v="Monday"/>
    <s v="Normal"/>
    <n v="0.2"/>
    <n v="0.18179999999999999"/>
    <n v="0.4"/>
    <x v="9"/>
    <x v="22"/>
    <n v="41"/>
    <x v="41"/>
    <x v="1"/>
    <x v="0"/>
    <x v="0"/>
  </r>
  <r>
    <n v="58"/>
    <x v="2"/>
    <x v="12"/>
    <b v="0"/>
    <s v="Monday"/>
    <s v="Normal"/>
    <n v="0.22"/>
    <n v="0.21210000000000001"/>
    <n v="0.35"/>
    <x v="4"/>
    <x v="23"/>
    <n v="48"/>
    <x v="42"/>
    <x v="1"/>
    <x v="0"/>
    <x v="0"/>
  </r>
  <r>
    <n v="59"/>
    <x v="2"/>
    <x v="13"/>
    <b v="0"/>
    <s v="Monday"/>
    <s v="Normal"/>
    <n v="0.24"/>
    <n v="0"/>
    <n v="0.35"/>
    <x v="3"/>
    <x v="1"/>
    <n v="53"/>
    <x v="42"/>
    <x v="1"/>
    <x v="0"/>
    <x v="0"/>
  </r>
  <r>
    <n v="60"/>
    <x v="2"/>
    <x v="14"/>
    <b v="0"/>
    <s v="Monday"/>
    <s v="Normal"/>
    <n v="0.26"/>
    <n v="0.2424"/>
    <n v="0.3"/>
    <x v="3"/>
    <x v="16"/>
    <n v="66"/>
    <x v="43"/>
    <x v="1"/>
    <x v="0"/>
    <x v="0"/>
  </r>
  <r>
    <n v="61"/>
    <x v="2"/>
    <x v="15"/>
    <b v="0"/>
    <s v="Monday"/>
    <s v="Normal"/>
    <n v="0.26"/>
    <n v="0.2424"/>
    <n v="0.3"/>
    <x v="2"/>
    <x v="24"/>
    <n v="58"/>
    <x v="44"/>
    <x v="1"/>
    <x v="0"/>
    <x v="0"/>
  </r>
  <r>
    <n v="62"/>
    <x v="2"/>
    <x v="16"/>
    <b v="0"/>
    <s v="Monday"/>
    <s v="Normal"/>
    <n v="0.26"/>
    <n v="0.2424"/>
    <n v="0.3"/>
    <x v="2"/>
    <x v="14"/>
    <n v="67"/>
    <x v="31"/>
    <x v="1"/>
    <x v="0"/>
    <x v="0"/>
  </r>
  <r>
    <n v="63"/>
    <x v="2"/>
    <x v="17"/>
    <b v="0"/>
    <s v="Monday"/>
    <s v="Normal"/>
    <n v="0.24"/>
    <n v="0.2273"/>
    <n v="0.3"/>
    <x v="6"/>
    <x v="16"/>
    <n v="146"/>
    <x v="45"/>
    <x v="1"/>
    <x v="2"/>
    <x v="0"/>
  </r>
  <r>
    <n v="64"/>
    <x v="2"/>
    <x v="18"/>
    <b v="0"/>
    <s v="Monday"/>
    <s v="Normal"/>
    <n v="0.24"/>
    <n v="0.2576"/>
    <n v="0.32"/>
    <x v="14"/>
    <x v="14"/>
    <n v="148"/>
    <x v="45"/>
    <x v="1"/>
    <x v="2"/>
    <x v="0"/>
  </r>
  <r>
    <n v="65"/>
    <x v="2"/>
    <x v="19"/>
    <b v="0"/>
    <s v="Monday"/>
    <s v="Normal"/>
    <n v="0.2"/>
    <n v="0.2576"/>
    <n v="0.47"/>
    <x v="0"/>
    <x v="1"/>
    <n v="102"/>
    <x v="14"/>
    <x v="1"/>
    <x v="2"/>
    <x v="0"/>
  </r>
  <r>
    <n v="66"/>
    <x v="2"/>
    <x v="20"/>
    <b v="0"/>
    <s v="Monday"/>
    <s v="Normal"/>
    <n v="0.2"/>
    <n v="0"/>
    <n v="0.47"/>
    <x v="14"/>
    <x v="0"/>
    <n v="49"/>
    <x v="46"/>
    <x v="1"/>
    <x v="0"/>
    <x v="0"/>
  </r>
  <r>
    <n v="67"/>
    <x v="2"/>
    <x v="21"/>
    <b v="0"/>
    <s v="Monday"/>
    <s v="Normal"/>
    <n v="0.18"/>
    <n v="0.19700000000000001"/>
    <n v="0.64"/>
    <x v="7"/>
    <x v="0"/>
    <n v="49"/>
    <x v="46"/>
    <x v="1"/>
    <x v="0"/>
    <x v="0"/>
  </r>
  <r>
    <n v="68"/>
    <x v="2"/>
    <x v="22"/>
    <b v="0"/>
    <s v="Monday"/>
    <s v="Normal"/>
    <n v="0.14000000000000001"/>
    <n v="0.1515"/>
    <n v="0.69"/>
    <x v="7"/>
    <x v="3"/>
    <n v="20"/>
    <x v="25"/>
    <x v="1"/>
    <x v="0"/>
    <x v="0"/>
  </r>
  <r>
    <n v="69"/>
    <x v="2"/>
    <x v="23"/>
    <b v="0"/>
    <s v="Monday"/>
    <s v="Normal"/>
    <n v="0.18"/>
    <n v="0.21210000000000001"/>
    <n v="0.55000000000000004"/>
    <x v="14"/>
    <x v="5"/>
    <n v="11"/>
    <x v="47"/>
    <x v="1"/>
    <x v="0"/>
    <x v="0"/>
  </r>
  <r>
    <n v="70"/>
    <x v="3"/>
    <x v="0"/>
    <b v="0"/>
    <s v="Tuesday"/>
    <s v="Normal"/>
    <n v="0.16"/>
    <n v="0"/>
    <n v="0.55000000000000004"/>
    <x v="14"/>
    <x v="3"/>
    <n v="5"/>
    <x v="36"/>
    <x v="1"/>
    <x v="0"/>
    <x v="0"/>
  </r>
  <r>
    <n v="71"/>
    <x v="3"/>
    <x v="1"/>
    <b v="0"/>
    <s v="Tuesday"/>
    <s v="Normal"/>
    <n v="0.16"/>
    <n v="0.18179999999999999"/>
    <n v="0.59"/>
    <x v="14"/>
    <x v="3"/>
    <n v="2"/>
    <x v="5"/>
    <x v="1"/>
    <x v="0"/>
    <x v="0"/>
  </r>
  <r>
    <n v="72"/>
    <x v="3"/>
    <x v="2"/>
    <b v="0"/>
    <s v="Tuesday"/>
    <s v="Normal"/>
    <n v="0.14000000000000001"/>
    <n v="0.1515"/>
    <n v="0.63"/>
    <x v="7"/>
    <x v="3"/>
    <n v="1"/>
    <x v="4"/>
    <x v="1"/>
    <x v="0"/>
    <x v="0"/>
  </r>
  <r>
    <n v="73"/>
    <x v="3"/>
    <x v="4"/>
    <b v="0"/>
    <s v="Tuesday"/>
    <s v="Normal"/>
    <n v="0.14000000000000001"/>
    <n v="0.18179999999999999"/>
    <n v="0.63"/>
    <x v="1"/>
    <x v="3"/>
    <n v="2"/>
    <x v="5"/>
    <x v="1"/>
    <x v="0"/>
    <x v="0"/>
  </r>
  <r>
    <n v="74"/>
    <x v="3"/>
    <x v="5"/>
    <b v="0"/>
    <s v="Tuesday"/>
    <s v="Normal"/>
    <n v="0.12"/>
    <n v="0.1515"/>
    <n v="0.68"/>
    <x v="14"/>
    <x v="3"/>
    <n v="4"/>
    <x v="48"/>
    <x v="1"/>
    <x v="0"/>
    <x v="0"/>
  </r>
  <r>
    <n v="75"/>
    <x v="3"/>
    <x v="6"/>
    <b v="0"/>
    <s v="Tuesday"/>
    <s v="Normal"/>
    <n v="0.12"/>
    <n v="0.1515"/>
    <n v="0.74"/>
    <x v="14"/>
    <x v="3"/>
    <n v="36"/>
    <x v="9"/>
    <x v="1"/>
    <x v="0"/>
    <x v="0"/>
  </r>
  <r>
    <n v="76"/>
    <x v="3"/>
    <x v="7"/>
    <b v="0"/>
    <s v="Tuesday"/>
    <s v="Normal"/>
    <n v="0.12"/>
    <n v="0.1515"/>
    <n v="0.74"/>
    <x v="7"/>
    <x v="4"/>
    <n v="92"/>
    <x v="12"/>
    <x v="1"/>
    <x v="1"/>
    <x v="0"/>
  </r>
  <r>
    <n v="77"/>
    <x v="3"/>
    <x v="8"/>
    <b v="0"/>
    <s v="Tuesday"/>
    <s v="Normal"/>
    <n v="0.14000000000000001"/>
    <n v="0.1515"/>
    <n v="0.69"/>
    <x v="8"/>
    <x v="4"/>
    <n v="177"/>
    <x v="49"/>
    <x v="1"/>
    <x v="1"/>
    <x v="0"/>
  </r>
  <r>
    <n v="78"/>
    <x v="3"/>
    <x v="9"/>
    <b v="0"/>
    <s v="Tuesday"/>
    <s v="Normal"/>
    <n v="0.16"/>
    <n v="0.1515"/>
    <n v="0.64"/>
    <x v="6"/>
    <x v="4"/>
    <n v="98"/>
    <x v="50"/>
    <x v="1"/>
    <x v="1"/>
    <x v="0"/>
  </r>
  <r>
    <n v="79"/>
    <x v="3"/>
    <x v="10"/>
    <b v="0"/>
    <s v="Tuesday"/>
    <s v="Yellow Alert"/>
    <n v="0.16"/>
    <n v="0.13639999999999999"/>
    <n v="0.69"/>
    <x v="9"/>
    <x v="2"/>
    <n v="37"/>
    <x v="51"/>
    <x v="1"/>
    <x v="0"/>
    <x v="1"/>
  </r>
  <r>
    <n v="80"/>
    <x v="3"/>
    <x v="11"/>
    <b v="0"/>
    <s v="Tuesday"/>
    <s v="Normal"/>
    <n v="0.22"/>
    <n v="0.21210000000000001"/>
    <n v="0.51"/>
    <x v="4"/>
    <x v="18"/>
    <n v="50"/>
    <x v="52"/>
    <x v="1"/>
    <x v="0"/>
    <x v="0"/>
  </r>
  <r>
    <n v="81"/>
    <x v="3"/>
    <x v="12"/>
    <b v="0"/>
    <s v="Tuesday"/>
    <s v="Normal"/>
    <n v="0.22"/>
    <n v="0.2273"/>
    <n v="0.51"/>
    <x v="8"/>
    <x v="6"/>
    <n v="66"/>
    <x v="53"/>
    <x v="1"/>
    <x v="0"/>
    <x v="0"/>
  </r>
  <r>
    <n v="82"/>
    <x v="3"/>
    <x v="13"/>
    <b v="0"/>
    <s v="Tuesday"/>
    <s v="Normal"/>
    <n v="0.24"/>
    <n v="0.2273"/>
    <n v="0.56000000000000005"/>
    <x v="5"/>
    <x v="25"/>
    <n v="79"/>
    <x v="54"/>
    <x v="1"/>
    <x v="0"/>
    <x v="0"/>
  </r>
  <r>
    <n v="83"/>
    <x v="3"/>
    <x v="14"/>
    <b v="0"/>
    <s v="Tuesday"/>
    <s v="Normal"/>
    <n v="0.26"/>
    <n v="0.2576"/>
    <n v="0.52"/>
    <x v="6"/>
    <x v="14"/>
    <n v="54"/>
    <x v="55"/>
    <x v="1"/>
    <x v="0"/>
    <x v="0"/>
  </r>
  <r>
    <n v="84"/>
    <x v="3"/>
    <x v="15"/>
    <b v="0"/>
    <s v="Tuesday"/>
    <s v="Normal"/>
    <n v="0.28000000000000003"/>
    <n v="0.2727"/>
    <n v="0.52"/>
    <x v="2"/>
    <x v="26"/>
    <n v="48"/>
    <x v="32"/>
    <x v="1"/>
    <x v="0"/>
    <x v="0"/>
  </r>
  <r>
    <n v="85"/>
    <x v="3"/>
    <x v="16"/>
    <b v="0"/>
    <s v="Tuesday"/>
    <s v="Normal"/>
    <n v="0.3"/>
    <n v="0.28789999999999999"/>
    <n v="0.49"/>
    <x v="2"/>
    <x v="13"/>
    <n v="68"/>
    <x v="56"/>
    <x v="1"/>
    <x v="0"/>
    <x v="0"/>
  </r>
  <r>
    <n v="86"/>
    <x v="3"/>
    <x v="17"/>
    <b v="0"/>
    <s v="Tuesday"/>
    <s v="Normal"/>
    <n v="0.28000000000000003"/>
    <n v="0.2727"/>
    <n v="0.48"/>
    <x v="6"/>
    <x v="22"/>
    <n v="202"/>
    <x v="57"/>
    <x v="1"/>
    <x v="2"/>
    <x v="0"/>
  </r>
  <r>
    <n v="87"/>
    <x v="3"/>
    <x v="18"/>
    <b v="0"/>
    <s v="Tuesday"/>
    <s v="Normal"/>
    <n v="0.26"/>
    <n v="0.2576"/>
    <n v="0.48"/>
    <x v="5"/>
    <x v="0"/>
    <n v="179"/>
    <x v="58"/>
    <x v="1"/>
    <x v="2"/>
    <x v="0"/>
  </r>
  <r>
    <n v="88"/>
    <x v="3"/>
    <x v="19"/>
    <b v="0"/>
    <s v="Tuesday"/>
    <s v="Normal"/>
    <n v="0.24"/>
    <n v="0.2576"/>
    <n v="0.48"/>
    <x v="14"/>
    <x v="4"/>
    <n v="110"/>
    <x v="59"/>
    <x v="1"/>
    <x v="2"/>
    <x v="0"/>
  </r>
  <r>
    <n v="89"/>
    <x v="3"/>
    <x v="20"/>
    <b v="0"/>
    <s v="Tuesday"/>
    <s v="Normal"/>
    <n v="0.24"/>
    <n v="0.2576"/>
    <n v="0.48"/>
    <x v="14"/>
    <x v="5"/>
    <n v="53"/>
    <x v="60"/>
    <x v="1"/>
    <x v="0"/>
    <x v="0"/>
  </r>
  <r>
    <n v="90"/>
    <x v="3"/>
    <x v="21"/>
    <b v="0"/>
    <s v="Tuesday"/>
    <s v="Normal"/>
    <n v="0.22"/>
    <n v="0.2727"/>
    <n v="0.64"/>
    <x v="0"/>
    <x v="3"/>
    <n v="48"/>
    <x v="61"/>
    <x v="1"/>
    <x v="0"/>
    <x v="0"/>
  </r>
  <r>
    <n v="91"/>
    <x v="3"/>
    <x v="22"/>
    <b v="0"/>
    <s v="Tuesday"/>
    <s v="Normal"/>
    <n v="0.22"/>
    <n v="0.2576"/>
    <n v="0.64"/>
    <x v="1"/>
    <x v="5"/>
    <n v="34"/>
    <x v="17"/>
    <x v="1"/>
    <x v="0"/>
    <x v="0"/>
  </r>
  <r>
    <n v="92"/>
    <x v="3"/>
    <x v="23"/>
    <b v="0"/>
    <s v="Tuesday"/>
    <s v="Normal"/>
    <n v="0.2"/>
    <n v="0.2273"/>
    <n v="0.69"/>
    <x v="1"/>
    <x v="4"/>
    <n v="9"/>
    <x v="62"/>
    <x v="1"/>
    <x v="0"/>
    <x v="0"/>
  </r>
  <r>
    <n v="93"/>
    <x v="4"/>
    <x v="0"/>
    <b v="0"/>
    <s v="Wednesday"/>
    <s v="Normal"/>
    <n v="0.2"/>
    <n v="0.2576"/>
    <n v="0.64"/>
    <x v="0"/>
    <x v="3"/>
    <n v="6"/>
    <x v="24"/>
    <x v="1"/>
    <x v="0"/>
    <x v="0"/>
  </r>
  <r>
    <n v="94"/>
    <x v="4"/>
    <x v="1"/>
    <b v="0"/>
    <s v="Wednesday"/>
    <s v="Normal"/>
    <n v="0.16"/>
    <n v="0.19700000000000001"/>
    <n v="0.74"/>
    <x v="1"/>
    <x v="3"/>
    <n v="6"/>
    <x v="24"/>
    <x v="1"/>
    <x v="0"/>
    <x v="0"/>
  </r>
  <r>
    <n v="95"/>
    <x v="4"/>
    <x v="2"/>
    <b v="0"/>
    <s v="Wednesday"/>
    <s v="Normal"/>
    <n v="0.16"/>
    <n v="0.19700000000000001"/>
    <n v="0.74"/>
    <x v="1"/>
    <x v="3"/>
    <n v="2"/>
    <x v="5"/>
    <x v="1"/>
    <x v="0"/>
    <x v="0"/>
  </r>
  <r>
    <n v="96"/>
    <x v="4"/>
    <x v="4"/>
    <b v="0"/>
    <s v="Wednesday"/>
    <s v="Normal"/>
    <n v="0.24"/>
    <n v="0.2273"/>
    <n v="0.48"/>
    <x v="6"/>
    <x v="3"/>
    <n v="2"/>
    <x v="5"/>
    <x v="1"/>
    <x v="0"/>
    <x v="0"/>
  </r>
  <r>
    <n v="97"/>
    <x v="4"/>
    <x v="5"/>
    <b v="0"/>
    <s v="Wednesday"/>
    <s v="Normal"/>
    <n v="0.22"/>
    <n v="0.2273"/>
    <n v="0.47"/>
    <x v="8"/>
    <x v="3"/>
    <n v="3"/>
    <x v="6"/>
    <x v="1"/>
    <x v="0"/>
    <x v="0"/>
  </r>
  <r>
    <n v="98"/>
    <x v="4"/>
    <x v="6"/>
    <b v="0"/>
    <s v="Wednesday"/>
    <s v="Normal"/>
    <n v="0.2"/>
    <n v="0.19700000000000001"/>
    <n v="0.47"/>
    <x v="6"/>
    <x v="3"/>
    <n v="33"/>
    <x v="63"/>
    <x v="1"/>
    <x v="0"/>
    <x v="0"/>
  </r>
  <r>
    <n v="99"/>
    <x v="4"/>
    <x v="7"/>
    <b v="0"/>
    <s v="Wednesday"/>
    <s v="Normal"/>
    <n v="0.18"/>
    <n v="0.18179999999999999"/>
    <n v="0.43"/>
    <x v="5"/>
    <x v="5"/>
    <n v="87"/>
    <x v="39"/>
    <x v="1"/>
    <x v="1"/>
    <x v="0"/>
  </r>
  <r>
    <n v="100"/>
    <x v="4"/>
    <x v="8"/>
    <b v="0"/>
    <s v="Wednesday"/>
    <s v="Normal"/>
    <n v="0.2"/>
    <n v="0.18179999999999999"/>
    <n v="0.4"/>
    <x v="4"/>
    <x v="0"/>
    <n v="192"/>
    <x v="64"/>
    <x v="1"/>
    <x v="1"/>
    <x v="0"/>
  </r>
  <r>
    <n v="101"/>
    <x v="4"/>
    <x v="9"/>
    <b v="0"/>
    <s v="Wednesday"/>
    <s v="Normal"/>
    <n v="0.22"/>
    <n v="0.19700000000000001"/>
    <n v="0.37"/>
    <x v="9"/>
    <x v="15"/>
    <n v="109"/>
    <x v="65"/>
    <x v="1"/>
    <x v="1"/>
    <x v="0"/>
  </r>
  <r>
    <n v="102"/>
    <x v="4"/>
    <x v="10"/>
    <b v="0"/>
    <s v="Wednesday"/>
    <s v="Normal"/>
    <n v="0.22"/>
    <n v="0.19700000000000001"/>
    <n v="0.37"/>
    <x v="9"/>
    <x v="17"/>
    <n v="53"/>
    <x v="52"/>
    <x v="1"/>
    <x v="0"/>
    <x v="0"/>
  </r>
  <r>
    <n v="103"/>
    <x v="4"/>
    <x v="11"/>
    <b v="0"/>
    <s v="Wednesday"/>
    <s v="Normal"/>
    <n v="0.26"/>
    <n v="0.2273"/>
    <n v="0.33"/>
    <x v="9"/>
    <x v="6"/>
    <n v="34"/>
    <x v="66"/>
    <x v="1"/>
    <x v="0"/>
    <x v="0"/>
  </r>
  <r>
    <n v="104"/>
    <x v="4"/>
    <x v="12"/>
    <b v="0"/>
    <s v="Wednesday"/>
    <s v="Normal"/>
    <n v="0.26"/>
    <n v="0.2273"/>
    <n v="0.33"/>
    <x v="9"/>
    <x v="2"/>
    <n v="74"/>
    <x v="67"/>
    <x v="1"/>
    <x v="0"/>
    <x v="0"/>
  </r>
  <r>
    <n v="105"/>
    <x v="4"/>
    <x v="13"/>
    <b v="0"/>
    <s v="Wednesday"/>
    <s v="Normal"/>
    <n v="0.28000000000000003"/>
    <n v="0.2576"/>
    <n v="0.3"/>
    <x v="4"/>
    <x v="15"/>
    <n v="65"/>
    <x v="68"/>
    <x v="1"/>
    <x v="0"/>
    <x v="0"/>
  </r>
  <r>
    <n v="106"/>
    <x v="4"/>
    <x v="14"/>
    <b v="0"/>
    <s v="Wednesday"/>
    <s v="Normal"/>
    <n v="0.3"/>
    <n v="0.28789999999999999"/>
    <n v="0.28000000000000003"/>
    <x v="5"/>
    <x v="22"/>
    <n v="52"/>
    <x v="69"/>
    <x v="1"/>
    <x v="0"/>
    <x v="0"/>
  </r>
  <r>
    <n v="107"/>
    <x v="4"/>
    <x v="15"/>
    <b v="0"/>
    <s v="Wednesday"/>
    <s v="Normal"/>
    <n v="0.3"/>
    <n v="0.28789999999999999"/>
    <n v="0.28000000000000003"/>
    <x v="5"/>
    <x v="18"/>
    <n v="55"/>
    <x v="69"/>
    <x v="1"/>
    <x v="0"/>
    <x v="0"/>
  </r>
  <r>
    <n v="108"/>
    <x v="4"/>
    <x v="16"/>
    <b v="0"/>
    <s v="Wednesday"/>
    <s v="Normal"/>
    <n v="0.3"/>
    <n v="0.31819999999999998"/>
    <n v="0.28000000000000003"/>
    <x v="1"/>
    <x v="17"/>
    <n v="85"/>
    <x v="70"/>
    <x v="1"/>
    <x v="0"/>
    <x v="0"/>
  </r>
  <r>
    <n v="109"/>
    <x v="4"/>
    <x v="17"/>
    <b v="0"/>
    <s v="Wednesday"/>
    <s v="Normal"/>
    <n v="0.24"/>
    <n v="0.2273"/>
    <n v="0.38"/>
    <x v="5"/>
    <x v="17"/>
    <n v="186"/>
    <x v="71"/>
    <x v="1"/>
    <x v="2"/>
    <x v="0"/>
  </r>
  <r>
    <n v="110"/>
    <x v="4"/>
    <x v="18"/>
    <b v="0"/>
    <s v="Wednesday"/>
    <s v="Normal"/>
    <n v="0.24"/>
    <n v="0.2424"/>
    <n v="0.38"/>
    <x v="7"/>
    <x v="0"/>
    <n v="166"/>
    <x v="72"/>
    <x v="1"/>
    <x v="2"/>
    <x v="0"/>
  </r>
  <r>
    <n v="111"/>
    <x v="4"/>
    <x v="19"/>
    <b v="0"/>
    <s v="Wednesday"/>
    <s v="Normal"/>
    <n v="0.24"/>
    <n v="0.2576"/>
    <n v="0.38"/>
    <x v="14"/>
    <x v="2"/>
    <n v="127"/>
    <x v="73"/>
    <x v="1"/>
    <x v="2"/>
    <x v="0"/>
  </r>
  <r>
    <n v="112"/>
    <x v="4"/>
    <x v="20"/>
    <b v="0"/>
    <s v="Wednesday"/>
    <s v="Normal"/>
    <n v="0.22"/>
    <n v="0.2273"/>
    <n v="0.47"/>
    <x v="8"/>
    <x v="18"/>
    <n v="82"/>
    <x v="70"/>
    <x v="1"/>
    <x v="0"/>
    <x v="0"/>
  </r>
  <r>
    <n v="113"/>
    <x v="4"/>
    <x v="21"/>
    <b v="0"/>
    <s v="Wednesday"/>
    <s v="Normal"/>
    <n v="0.2"/>
    <n v="0.19700000000000001"/>
    <n v="0.51"/>
    <x v="5"/>
    <x v="0"/>
    <n v="40"/>
    <x v="74"/>
    <x v="1"/>
    <x v="0"/>
    <x v="0"/>
  </r>
  <r>
    <n v="114"/>
    <x v="4"/>
    <x v="22"/>
    <b v="0"/>
    <s v="Wednesday"/>
    <s v="Normal"/>
    <n v="0.18"/>
    <n v="0.19700000000000001"/>
    <n v="0.55000000000000004"/>
    <x v="7"/>
    <x v="5"/>
    <n v="41"/>
    <x v="51"/>
    <x v="1"/>
    <x v="0"/>
    <x v="0"/>
  </r>
  <r>
    <n v="115"/>
    <x v="4"/>
    <x v="23"/>
    <b v="0"/>
    <s v="Wednesday"/>
    <s v="Normal"/>
    <n v="0.2"/>
    <n v="0.2576"/>
    <n v="0.47"/>
    <x v="0"/>
    <x v="5"/>
    <n v="18"/>
    <x v="75"/>
    <x v="1"/>
    <x v="0"/>
    <x v="0"/>
  </r>
  <r>
    <n v="116"/>
    <x v="5"/>
    <x v="0"/>
    <b v="0"/>
    <s v="Thursday"/>
    <s v="Normal"/>
    <n v="0.18"/>
    <n v="0.2424"/>
    <n v="0.55000000000000004"/>
    <x v="0"/>
    <x v="3"/>
    <n v="11"/>
    <x v="62"/>
    <x v="1"/>
    <x v="0"/>
    <x v="0"/>
  </r>
  <r>
    <n v="117"/>
    <x v="5"/>
    <x v="1"/>
    <b v="0"/>
    <s v="Thursday"/>
    <s v="Normal"/>
    <n v="0.16"/>
    <n v="0.2273"/>
    <n v="0.64"/>
    <x v="0"/>
    <x v="3"/>
    <n v="4"/>
    <x v="48"/>
    <x v="1"/>
    <x v="0"/>
    <x v="0"/>
  </r>
  <r>
    <n v="118"/>
    <x v="5"/>
    <x v="2"/>
    <b v="0"/>
    <s v="Thursday"/>
    <s v="Normal"/>
    <n v="0.16"/>
    <n v="0.2273"/>
    <n v="0.64"/>
    <x v="0"/>
    <x v="3"/>
    <n v="2"/>
    <x v="5"/>
    <x v="1"/>
    <x v="0"/>
    <x v="0"/>
  </r>
  <r>
    <n v="119"/>
    <x v="5"/>
    <x v="4"/>
    <b v="0"/>
    <s v="Thursday"/>
    <s v="Yellow Alert"/>
    <n v="0.16"/>
    <n v="0.19700000000000001"/>
    <n v="0.64"/>
    <x v="1"/>
    <x v="3"/>
    <n v="1"/>
    <x v="4"/>
    <x v="1"/>
    <x v="0"/>
    <x v="1"/>
  </r>
  <r>
    <n v="120"/>
    <x v="5"/>
    <x v="5"/>
    <b v="0"/>
    <s v="Thursday"/>
    <s v="Yellow Alert"/>
    <n v="0.14000000000000001"/>
    <n v="0.18179999999999999"/>
    <n v="0.69"/>
    <x v="1"/>
    <x v="3"/>
    <n v="4"/>
    <x v="48"/>
    <x v="1"/>
    <x v="0"/>
    <x v="1"/>
  </r>
  <r>
    <n v="121"/>
    <x v="5"/>
    <x v="6"/>
    <b v="0"/>
    <s v="Thursday"/>
    <s v="Yellow Alert"/>
    <n v="0.14000000000000001"/>
    <n v="0.16669999999999999"/>
    <n v="0.63"/>
    <x v="14"/>
    <x v="3"/>
    <n v="36"/>
    <x v="9"/>
    <x v="1"/>
    <x v="0"/>
    <x v="1"/>
  </r>
  <r>
    <n v="122"/>
    <x v="5"/>
    <x v="7"/>
    <b v="0"/>
    <s v="Thursday"/>
    <s v="Yellow Alert"/>
    <n v="0.16"/>
    <n v="0.2273"/>
    <n v="0.59"/>
    <x v="0"/>
    <x v="3"/>
    <n v="95"/>
    <x v="76"/>
    <x v="1"/>
    <x v="1"/>
    <x v="1"/>
  </r>
  <r>
    <n v="123"/>
    <x v="5"/>
    <x v="8"/>
    <b v="0"/>
    <s v="Thursday"/>
    <s v="Normal"/>
    <n v="0.16"/>
    <n v="0.2273"/>
    <n v="0.59"/>
    <x v="0"/>
    <x v="0"/>
    <n v="216"/>
    <x v="77"/>
    <x v="1"/>
    <x v="1"/>
    <x v="0"/>
  </r>
  <r>
    <n v="124"/>
    <x v="5"/>
    <x v="9"/>
    <b v="0"/>
    <s v="Thursday"/>
    <s v="Yellow Alert"/>
    <n v="0.18"/>
    <n v="0.2424"/>
    <n v="0.51"/>
    <x v="0"/>
    <x v="15"/>
    <n v="116"/>
    <x v="78"/>
    <x v="1"/>
    <x v="1"/>
    <x v="1"/>
  </r>
  <r>
    <n v="125"/>
    <x v="5"/>
    <x v="10"/>
    <b v="0"/>
    <s v="Thursday"/>
    <s v="Normal"/>
    <n v="0.2"/>
    <n v="0.2576"/>
    <n v="0.47"/>
    <x v="0"/>
    <x v="0"/>
    <n v="42"/>
    <x v="79"/>
    <x v="1"/>
    <x v="0"/>
    <x v="0"/>
  </r>
  <r>
    <n v="126"/>
    <x v="5"/>
    <x v="11"/>
    <b v="0"/>
    <s v="Thursday"/>
    <s v="Normal"/>
    <n v="0.22"/>
    <n v="0.2576"/>
    <n v="0.44"/>
    <x v="1"/>
    <x v="4"/>
    <n v="57"/>
    <x v="29"/>
    <x v="1"/>
    <x v="0"/>
    <x v="0"/>
  </r>
  <r>
    <n v="127"/>
    <x v="5"/>
    <x v="12"/>
    <b v="0"/>
    <s v="Thursday"/>
    <s v="Normal"/>
    <n v="0.26"/>
    <n v="0.28789999999999999"/>
    <n v="0.35"/>
    <x v="0"/>
    <x v="15"/>
    <n v="78"/>
    <x v="11"/>
    <x v="1"/>
    <x v="0"/>
    <x v="0"/>
  </r>
  <r>
    <n v="128"/>
    <x v="5"/>
    <x v="13"/>
    <b v="0"/>
    <s v="Thursday"/>
    <s v="Normal"/>
    <n v="0.26"/>
    <n v="0.2727"/>
    <n v="0.35"/>
    <x v="14"/>
    <x v="6"/>
    <n v="55"/>
    <x v="16"/>
    <x v="1"/>
    <x v="0"/>
    <x v="0"/>
  </r>
  <r>
    <n v="129"/>
    <x v="5"/>
    <x v="14"/>
    <b v="0"/>
    <s v="Thursday"/>
    <s v="Normal"/>
    <n v="0.28000000000000003"/>
    <n v="0.2727"/>
    <n v="0.36"/>
    <x v="8"/>
    <x v="16"/>
    <n v="59"/>
    <x v="27"/>
    <x v="1"/>
    <x v="0"/>
    <x v="0"/>
  </r>
  <r>
    <n v="130"/>
    <x v="5"/>
    <x v="15"/>
    <b v="0"/>
    <s v="Thursday"/>
    <s v="Normal"/>
    <n v="0.28000000000000003"/>
    <n v="0.2727"/>
    <n v="0.36"/>
    <x v="0"/>
    <x v="1"/>
    <n v="54"/>
    <x v="69"/>
    <x v="1"/>
    <x v="0"/>
    <x v="0"/>
  </r>
  <r>
    <n v="131"/>
    <x v="5"/>
    <x v="16"/>
    <b v="0"/>
    <s v="Thursday"/>
    <s v="Normal"/>
    <n v="0.26"/>
    <n v="0.2576"/>
    <n v="0.38"/>
    <x v="8"/>
    <x v="6"/>
    <n v="74"/>
    <x v="80"/>
    <x v="1"/>
    <x v="0"/>
    <x v="0"/>
  </r>
  <r>
    <n v="132"/>
    <x v="5"/>
    <x v="17"/>
    <b v="0"/>
    <s v="Thursday"/>
    <s v="Normal"/>
    <n v="0.22"/>
    <n v="0.2273"/>
    <n v="0.51"/>
    <x v="8"/>
    <x v="14"/>
    <n v="163"/>
    <x v="81"/>
    <x v="1"/>
    <x v="2"/>
    <x v="0"/>
  </r>
  <r>
    <n v="133"/>
    <x v="5"/>
    <x v="18"/>
    <b v="0"/>
    <s v="Thursday"/>
    <s v="Normal"/>
    <n v="0.22"/>
    <n v="0.2273"/>
    <n v="0.51"/>
    <x v="7"/>
    <x v="2"/>
    <n v="158"/>
    <x v="82"/>
    <x v="1"/>
    <x v="2"/>
    <x v="0"/>
  </r>
  <r>
    <n v="134"/>
    <x v="5"/>
    <x v="19"/>
    <b v="0"/>
    <s v="Thursday"/>
    <s v="Normal"/>
    <n v="0.22"/>
    <n v="0.2576"/>
    <n v="0.55000000000000004"/>
    <x v="1"/>
    <x v="0"/>
    <n v="109"/>
    <x v="59"/>
    <x v="1"/>
    <x v="2"/>
    <x v="0"/>
  </r>
  <r>
    <n v="135"/>
    <x v="5"/>
    <x v="20"/>
    <b v="0"/>
    <s v="Thursday"/>
    <s v="Normal"/>
    <n v="0.2"/>
    <n v="0.21210000000000001"/>
    <n v="0.51"/>
    <x v="8"/>
    <x v="0"/>
    <n v="66"/>
    <x v="83"/>
    <x v="1"/>
    <x v="0"/>
    <x v="0"/>
  </r>
  <r>
    <n v="136"/>
    <x v="5"/>
    <x v="21"/>
    <b v="0"/>
    <s v="Thursday"/>
    <s v="Yellow Alert"/>
    <n v="0.22"/>
    <n v="0.21210000000000001"/>
    <n v="0.55000000000000004"/>
    <x v="6"/>
    <x v="3"/>
    <n v="48"/>
    <x v="61"/>
    <x v="1"/>
    <x v="0"/>
    <x v="1"/>
  </r>
  <r>
    <n v="137"/>
    <x v="5"/>
    <x v="22"/>
    <b v="0"/>
    <s v="Thursday"/>
    <s v="Yellow Alert"/>
    <n v="0.22"/>
    <n v="0.21210000000000001"/>
    <n v="0.51"/>
    <x v="3"/>
    <x v="5"/>
    <n v="51"/>
    <x v="46"/>
    <x v="1"/>
    <x v="0"/>
    <x v="1"/>
  </r>
  <r>
    <n v="138"/>
    <x v="5"/>
    <x v="23"/>
    <b v="0"/>
    <s v="Thursday"/>
    <s v="Yellow Alert"/>
    <n v="0.2"/>
    <n v="0.19700000000000001"/>
    <n v="0.59"/>
    <x v="5"/>
    <x v="17"/>
    <n v="19"/>
    <x v="84"/>
    <x v="1"/>
    <x v="0"/>
    <x v="1"/>
  </r>
  <r>
    <n v="139"/>
    <x v="6"/>
    <x v="0"/>
    <b v="0"/>
    <s v="Friday"/>
    <s v="Yellow Alert"/>
    <n v="0.2"/>
    <n v="0.19700000000000001"/>
    <n v="0.64"/>
    <x v="5"/>
    <x v="17"/>
    <n v="13"/>
    <x v="22"/>
    <x v="1"/>
    <x v="0"/>
    <x v="1"/>
  </r>
  <r>
    <n v="140"/>
    <x v="6"/>
    <x v="1"/>
    <b v="0"/>
    <s v="Friday"/>
    <s v="Yellow Alert"/>
    <n v="0.2"/>
    <n v="0.19700000000000001"/>
    <n v="0.69"/>
    <x v="6"/>
    <x v="4"/>
    <n v="5"/>
    <x v="85"/>
    <x v="1"/>
    <x v="0"/>
    <x v="1"/>
  </r>
  <r>
    <n v="141"/>
    <x v="6"/>
    <x v="2"/>
    <b v="0"/>
    <s v="Friday"/>
    <s v="Yellow Alert"/>
    <n v="0.2"/>
    <n v="0.19700000000000001"/>
    <n v="0.69"/>
    <x v="6"/>
    <x v="3"/>
    <n v="1"/>
    <x v="4"/>
    <x v="1"/>
    <x v="0"/>
    <x v="1"/>
  </r>
  <r>
    <n v="142"/>
    <x v="6"/>
    <x v="4"/>
    <b v="0"/>
    <s v="Friday"/>
    <s v="Yellow Alert"/>
    <n v="0.2"/>
    <n v="0.21210000000000001"/>
    <n v="0.69"/>
    <x v="7"/>
    <x v="3"/>
    <n v="1"/>
    <x v="4"/>
    <x v="1"/>
    <x v="0"/>
    <x v="1"/>
  </r>
  <r>
    <n v="143"/>
    <x v="6"/>
    <x v="5"/>
    <b v="0"/>
    <s v="Friday"/>
    <s v="Orange Alert"/>
    <n v="0.22"/>
    <n v="0.2727"/>
    <n v="0.55000000000000004"/>
    <x v="0"/>
    <x v="3"/>
    <n v="5"/>
    <x v="36"/>
    <x v="1"/>
    <x v="0"/>
    <x v="2"/>
  </r>
  <r>
    <n v="144"/>
    <x v="6"/>
    <x v="6"/>
    <b v="0"/>
    <s v="Friday"/>
    <s v="Yellow Alert"/>
    <n v="0.2"/>
    <n v="0.2576"/>
    <n v="0.69"/>
    <x v="0"/>
    <x v="1"/>
    <n v="26"/>
    <x v="19"/>
    <x v="1"/>
    <x v="0"/>
    <x v="1"/>
  </r>
  <r>
    <n v="145"/>
    <x v="6"/>
    <x v="7"/>
    <b v="0"/>
    <s v="Friday"/>
    <s v="Normal"/>
    <n v="0.2"/>
    <n v="0.21210000000000001"/>
    <n v="0.69"/>
    <x v="7"/>
    <x v="1"/>
    <n v="76"/>
    <x v="11"/>
    <x v="1"/>
    <x v="1"/>
    <x v="0"/>
  </r>
  <r>
    <n v="146"/>
    <x v="6"/>
    <x v="8"/>
    <b v="0"/>
    <s v="Friday"/>
    <s v="Normal"/>
    <n v="0.2"/>
    <n v="0.19700000000000001"/>
    <n v="0.51"/>
    <x v="2"/>
    <x v="20"/>
    <n v="190"/>
    <x v="86"/>
    <x v="1"/>
    <x v="1"/>
    <x v="0"/>
  </r>
  <r>
    <n v="147"/>
    <x v="6"/>
    <x v="9"/>
    <b v="0"/>
    <s v="Friday"/>
    <s v="Normal"/>
    <n v="0.2"/>
    <n v="0.18179999999999999"/>
    <n v="0.47"/>
    <x v="4"/>
    <x v="14"/>
    <n v="125"/>
    <x v="87"/>
    <x v="1"/>
    <x v="1"/>
    <x v="0"/>
  </r>
  <r>
    <n v="148"/>
    <x v="6"/>
    <x v="10"/>
    <b v="0"/>
    <s v="Friday"/>
    <s v="Normal"/>
    <n v="0.22"/>
    <n v="0.19700000000000001"/>
    <n v="0.37"/>
    <x v="9"/>
    <x v="19"/>
    <n v="47"/>
    <x v="55"/>
    <x v="1"/>
    <x v="0"/>
    <x v="0"/>
  </r>
  <r>
    <n v="149"/>
    <x v="6"/>
    <x v="11"/>
    <b v="0"/>
    <s v="Friday"/>
    <s v="Yellow Alert"/>
    <n v="0.2"/>
    <n v="0.19700000000000001"/>
    <n v="0.4"/>
    <x v="6"/>
    <x v="21"/>
    <n v="48"/>
    <x v="16"/>
    <x v="1"/>
    <x v="0"/>
    <x v="1"/>
  </r>
  <r>
    <n v="150"/>
    <x v="6"/>
    <x v="12"/>
    <b v="0"/>
    <s v="Friday"/>
    <s v="Yellow Alert"/>
    <n v="0.2"/>
    <n v="0.19700000000000001"/>
    <n v="0.37"/>
    <x v="2"/>
    <x v="14"/>
    <n v="50"/>
    <x v="29"/>
    <x v="1"/>
    <x v="0"/>
    <x v="1"/>
  </r>
  <r>
    <n v="151"/>
    <x v="6"/>
    <x v="13"/>
    <b v="0"/>
    <s v="Friday"/>
    <s v="Yellow Alert"/>
    <n v="0.2"/>
    <n v="0.18179999999999999"/>
    <n v="0.37"/>
    <x v="3"/>
    <x v="14"/>
    <n v="64"/>
    <x v="88"/>
    <x v="1"/>
    <x v="0"/>
    <x v="1"/>
  </r>
  <r>
    <n v="152"/>
    <x v="6"/>
    <x v="14"/>
    <b v="0"/>
    <s v="Friday"/>
    <s v="Yellow Alert"/>
    <n v="0.2"/>
    <n v="0.19700000000000001"/>
    <n v="0.4"/>
    <x v="2"/>
    <x v="18"/>
    <n v="43"/>
    <x v="89"/>
    <x v="1"/>
    <x v="0"/>
    <x v="1"/>
  </r>
  <r>
    <n v="153"/>
    <x v="6"/>
    <x v="15"/>
    <b v="0"/>
    <s v="Friday"/>
    <s v="Yellow Alert"/>
    <n v="0.2"/>
    <n v="0.21210000000000001"/>
    <n v="0.37"/>
    <x v="8"/>
    <x v="14"/>
    <n v="63"/>
    <x v="44"/>
    <x v="1"/>
    <x v="0"/>
    <x v="1"/>
  </r>
  <r>
    <n v="154"/>
    <x v="6"/>
    <x v="16"/>
    <b v="0"/>
    <s v="Friday"/>
    <s v="Yellow Alert"/>
    <n v="0.2"/>
    <n v="0.21210000000000001"/>
    <n v="0.37"/>
    <x v="8"/>
    <x v="2"/>
    <n v="82"/>
    <x v="90"/>
    <x v="1"/>
    <x v="0"/>
    <x v="1"/>
  </r>
  <r>
    <n v="155"/>
    <x v="6"/>
    <x v="17"/>
    <b v="0"/>
    <s v="Friday"/>
    <s v="Yellow Alert"/>
    <n v="0.2"/>
    <n v="0.2576"/>
    <n v="0.37"/>
    <x v="0"/>
    <x v="14"/>
    <n v="178"/>
    <x v="91"/>
    <x v="1"/>
    <x v="2"/>
    <x v="1"/>
  </r>
  <r>
    <n v="156"/>
    <x v="6"/>
    <x v="18"/>
    <b v="0"/>
    <s v="Friday"/>
    <s v="Normal"/>
    <n v="0.2"/>
    <n v="0.2273"/>
    <n v="0.4"/>
    <x v="1"/>
    <x v="18"/>
    <n v="116"/>
    <x v="92"/>
    <x v="1"/>
    <x v="2"/>
    <x v="0"/>
  </r>
  <r>
    <n v="157"/>
    <x v="6"/>
    <x v="19"/>
    <b v="0"/>
    <s v="Friday"/>
    <s v="Normal"/>
    <n v="0.16"/>
    <n v="0.19700000000000001"/>
    <n v="0.55000000000000004"/>
    <x v="1"/>
    <x v="0"/>
    <n v="92"/>
    <x v="76"/>
    <x v="1"/>
    <x v="2"/>
    <x v="0"/>
  </r>
  <r>
    <n v="158"/>
    <x v="6"/>
    <x v="20"/>
    <b v="0"/>
    <s v="Friday"/>
    <s v="Normal"/>
    <n v="0.18"/>
    <n v="0.21210000000000001"/>
    <n v="0.47"/>
    <x v="14"/>
    <x v="5"/>
    <n v="50"/>
    <x v="41"/>
    <x v="1"/>
    <x v="0"/>
    <x v="0"/>
  </r>
  <r>
    <n v="159"/>
    <x v="6"/>
    <x v="21"/>
    <b v="0"/>
    <s v="Friday"/>
    <s v="Normal"/>
    <n v="0.18"/>
    <n v="0.19700000000000001"/>
    <n v="0.47"/>
    <x v="7"/>
    <x v="3"/>
    <n v="39"/>
    <x v="21"/>
    <x v="1"/>
    <x v="0"/>
    <x v="0"/>
  </r>
  <r>
    <n v="160"/>
    <x v="6"/>
    <x v="22"/>
    <b v="0"/>
    <s v="Friday"/>
    <s v="Yellow Alert"/>
    <n v="0.18"/>
    <n v="0.19700000000000001"/>
    <n v="0.43"/>
    <x v="8"/>
    <x v="4"/>
    <n v="34"/>
    <x v="9"/>
    <x v="1"/>
    <x v="0"/>
    <x v="1"/>
  </r>
  <r>
    <n v="161"/>
    <x v="6"/>
    <x v="23"/>
    <b v="0"/>
    <s v="Friday"/>
    <s v="Yellow Alert"/>
    <n v="0.18"/>
    <n v="0.19700000000000001"/>
    <n v="0.51"/>
    <x v="8"/>
    <x v="5"/>
    <n v="14"/>
    <x v="93"/>
    <x v="1"/>
    <x v="0"/>
    <x v="1"/>
  </r>
  <r>
    <n v="162"/>
    <x v="7"/>
    <x v="0"/>
    <b v="0"/>
    <s v="Saturday"/>
    <s v="Yellow Alert"/>
    <n v="0.18"/>
    <n v="0.19700000000000001"/>
    <n v="0.51"/>
    <x v="8"/>
    <x v="5"/>
    <n v="24"/>
    <x v="94"/>
    <x v="0"/>
    <x v="0"/>
    <x v="1"/>
  </r>
  <r>
    <n v="163"/>
    <x v="7"/>
    <x v="1"/>
    <b v="0"/>
    <s v="Saturday"/>
    <s v="Yellow Alert"/>
    <n v="0.18"/>
    <n v="0.21210000000000001"/>
    <n v="0.55000000000000004"/>
    <x v="1"/>
    <x v="5"/>
    <n v="15"/>
    <x v="0"/>
    <x v="0"/>
    <x v="0"/>
    <x v="1"/>
  </r>
  <r>
    <n v="164"/>
    <x v="7"/>
    <x v="2"/>
    <b v="0"/>
    <s v="Saturday"/>
    <s v="Yellow Alert"/>
    <n v="0.18"/>
    <n v="0.2424"/>
    <n v="0.55000000000000004"/>
    <x v="0"/>
    <x v="0"/>
    <n v="13"/>
    <x v="0"/>
    <x v="0"/>
    <x v="0"/>
    <x v="1"/>
  </r>
  <r>
    <n v="165"/>
    <x v="7"/>
    <x v="3"/>
    <b v="0"/>
    <s v="Saturday"/>
    <s v="Orange Alert"/>
    <n v="0.18"/>
    <n v="0.19700000000000001"/>
    <n v="0.55000000000000004"/>
    <x v="8"/>
    <x v="3"/>
    <n v="7"/>
    <x v="85"/>
    <x v="0"/>
    <x v="0"/>
    <x v="2"/>
  </r>
  <r>
    <n v="166"/>
    <x v="7"/>
    <x v="4"/>
    <b v="0"/>
    <s v="Saturday"/>
    <s v="Orange Alert"/>
    <n v="0.18"/>
    <n v="0.19700000000000001"/>
    <n v="0.55000000000000004"/>
    <x v="8"/>
    <x v="3"/>
    <n v="1"/>
    <x v="4"/>
    <x v="0"/>
    <x v="0"/>
    <x v="2"/>
  </r>
  <r>
    <n v="167"/>
    <x v="7"/>
    <x v="5"/>
    <b v="0"/>
    <s v="Saturday"/>
    <s v="Yellow Alert"/>
    <n v="0.16"/>
    <n v="0.16669999999999999"/>
    <n v="0.74"/>
    <x v="8"/>
    <x v="3"/>
    <n v="5"/>
    <x v="36"/>
    <x v="0"/>
    <x v="0"/>
    <x v="1"/>
  </r>
  <r>
    <n v="168"/>
    <x v="7"/>
    <x v="6"/>
    <b v="0"/>
    <s v="Saturday"/>
    <s v="Yellow Alert"/>
    <n v="0.16"/>
    <n v="0.16669999999999999"/>
    <n v="0.74"/>
    <x v="8"/>
    <x v="3"/>
    <n v="2"/>
    <x v="5"/>
    <x v="0"/>
    <x v="0"/>
    <x v="1"/>
  </r>
  <r>
    <n v="169"/>
    <x v="7"/>
    <x v="7"/>
    <b v="0"/>
    <s v="Saturday"/>
    <s v="Yellow Alert"/>
    <n v="0.16"/>
    <n v="0.18179999999999999"/>
    <n v="0.74"/>
    <x v="14"/>
    <x v="5"/>
    <n v="8"/>
    <x v="23"/>
    <x v="0"/>
    <x v="1"/>
    <x v="1"/>
  </r>
  <r>
    <n v="170"/>
    <x v="7"/>
    <x v="8"/>
    <b v="0"/>
    <s v="Saturday"/>
    <s v="Orange Alert"/>
    <n v="0.16"/>
    <n v="0.18179999999999999"/>
    <n v="0.93"/>
    <x v="14"/>
    <x v="3"/>
    <n v="15"/>
    <x v="93"/>
    <x v="0"/>
    <x v="1"/>
    <x v="2"/>
  </r>
  <r>
    <n v="171"/>
    <x v="7"/>
    <x v="9"/>
    <b v="0"/>
    <s v="Saturday"/>
    <s v="Orange Alert"/>
    <n v="0.16"/>
    <n v="0.18179999999999999"/>
    <n v="0.93"/>
    <x v="14"/>
    <x v="3"/>
    <n v="20"/>
    <x v="25"/>
    <x v="0"/>
    <x v="1"/>
    <x v="2"/>
  </r>
  <r>
    <n v="172"/>
    <x v="7"/>
    <x v="10"/>
    <b v="0"/>
    <s v="Saturday"/>
    <s v="Yellow Alert"/>
    <n v="0.18"/>
    <n v="0.19700000000000001"/>
    <n v="0.8"/>
    <x v="8"/>
    <x v="2"/>
    <n v="56"/>
    <x v="42"/>
    <x v="0"/>
    <x v="0"/>
    <x v="1"/>
  </r>
  <r>
    <n v="173"/>
    <x v="7"/>
    <x v="11"/>
    <b v="0"/>
    <s v="Saturday"/>
    <s v="Yellow Alert"/>
    <n v="0.2"/>
    <n v="0.18179999999999999"/>
    <n v="0.69"/>
    <x v="13"/>
    <x v="4"/>
    <n v="60"/>
    <x v="69"/>
    <x v="0"/>
    <x v="0"/>
    <x v="1"/>
  </r>
  <r>
    <n v="174"/>
    <x v="7"/>
    <x v="12"/>
    <b v="0"/>
    <s v="Saturday"/>
    <s v="Yellow Alert"/>
    <n v="0.2"/>
    <n v="0.18179999999999999"/>
    <n v="0.59"/>
    <x v="11"/>
    <x v="1"/>
    <n v="90"/>
    <x v="95"/>
    <x v="0"/>
    <x v="0"/>
    <x v="1"/>
  </r>
  <r>
    <n v="175"/>
    <x v="7"/>
    <x v="13"/>
    <b v="0"/>
    <s v="Saturday"/>
    <s v="Normal"/>
    <n v="0.2"/>
    <n v="0.18179999999999999"/>
    <n v="0.44"/>
    <x v="9"/>
    <x v="18"/>
    <n v="95"/>
    <x v="96"/>
    <x v="0"/>
    <x v="0"/>
    <x v="0"/>
  </r>
  <r>
    <n v="176"/>
    <x v="7"/>
    <x v="14"/>
    <b v="0"/>
    <s v="Saturday"/>
    <s v="Normal"/>
    <n v="0.2"/>
    <n v="0.16669999999999999"/>
    <n v="0.32"/>
    <x v="15"/>
    <x v="6"/>
    <n v="83"/>
    <x v="76"/>
    <x v="0"/>
    <x v="0"/>
    <x v="0"/>
  </r>
  <r>
    <n v="177"/>
    <x v="7"/>
    <x v="15"/>
    <b v="0"/>
    <s v="Saturday"/>
    <s v="Normal"/>
    <n v="0.2"/>
    <n v="0.16669999999999999"/>
    <n v="0.32"/>
    <x v="10"/>
    <x v="2"/>
    <n v="69"/>
    <x v="30"/>
    <x v="0"/>
    <x v="0"/>
    <x v="0"/>
  </r>
  <r>
    <n v="178"/>
    <x v="7"/>
    <x v="16"/>
    <b v="0"/>
    <s v="Saturday"/>
    <s v="Normal"/>
    <n v="0.18"/>
    <n v="0.13639999999999999"/>
    <n v="0.28999999999999998"/>
    <x v="10"/>
    <x v="1"/>
    <n v="68"/>
    <x v="31"/>
    <x v="0"/>
    <x v="0"/>
    <x v="0"/>
  </r>
  <r>
    <n v="179"/>
    <x v="7"/>
    <x v="17"/>
    <b v="0"/>
    <s v="Saturday"/>
    <s v="Normal"/>
    <n v="0.16"/>
    <n v="0.1212"/>
    <n v="0.37"/>
    <x v="16"/>
    <x v="2"/>
    <n v="64"/>
    <x v="83"/>
    <x v="0"/>
    <x v="2"/>
    <x v="0"/>
  </r>
  <r>
    <n v="180"/>
    <x v="7"/>
    <x v="18"/>
    <b v="0"/>
    <s v="Saturday"/>
    <s v="Normal"/>
    <n v="0.14000000000000001"/>
    <n v="0.1212"/>
    <n v="0.39"/>
    <x v="4"/>
    <x v="0"/>
    <n v="52"/>
    <x v="97"/>
    <x v="0"/>
    <x v="2"/>
    <x v="0"/>
  </r>
  <r>
    <n v="181"/>
    <x v="7"/>
    <x v="19"/>
    <b v="0"/>
    <s v="Saturday"/>
    <s v="Normal"/>
    <n v="0.14000000000000001"/>
    <n v="0.1212"/>
    <n v="0.36"/>
    <x v="2"/>
    <x v="17"/>
    <n v="26"/>
    <x v="33"/>
    <x v="0"/>
    <x v="2"/>
    <x v="0"/>
  </r>
  <r>
    <n v="182"/>
    <x v="7"/>
    <x v="20"/>
    <b v="0"/>
    <s v="Saturday"/>
    <s v="Normal"/>
    <n v="0.12"/>
    <n v="0.1212"/>
    <n v="0.36"/>
    <x v="2"/>
    <x v="3"/>
    <n v="28"/>
    <x v="20"/>
    <x v="0"/>
    <x v="0"/>
    <x v="0"/>
  </r>
  <r>
    <n v="183"/>
    <x v="7"/>
    <x v="21"/>
    <b v="0"/>
    <s v="Saturday"/>
    <s v="Normal"/>
    <n v="0.12"/>
    <n v="0.1061"/>
    <n v="0.39"/>
    <x v="11"/>
    <x v="4"/>
    <n v="35"/>
    <x v="18"/>
    <x v="0"/>
    <x v="0"/>
    <x v="0"/>
  </r>
  <r>
    <n v="184"/>
    <x v="7"/>
    <x v="22"/>
    <b v="0"/>
    <s v="Saturday"/>
    <s v="Normal"/>
    <n v="0.12"/>
    <n v="0.1061"/>
    <n v="0.36"/>
    <x v="13"/>
    <x v="5"/>
    <n v="33"/>
    <x v="19"/>
    <x v="0"/>
    <x v="0"/>
    <x v="0"/>
  </r>
  <r>
    <n v="185"/>
    <x v="7"/>
    <x v="23"/>
    <b v="0"/>
    <s v="Saturday"/>
    <s v="Normal"/>
    <n v="0.1"/>
    <n v="6.0600000000000001E-2"/>
    <n v="0.39"/>
    <x v="10"/>
    <x v="3"/>
    <n v="22"/>
    <x v="34"/>
    <x v="0"/>
    <x v="0"/>
    <x v="0"/>
  </r>
  <r>
    <n v="186"/>
    <x v="8"/>
    <x v="0"/>
    <b v="0"/>
    <s v="Sunday"/>
    <s v="Normal"/>
    <n v="0.1"/>
    <n v="7.5800000000000006E-2"/>
    <n v="0.42"/>
    <x v="13"/>
    <x v="5"/>
    <n v="24"/>
    <x v="94"/>
    <x v="0"/>
    <x v="0"/>
    <x v="0"/>
  </r>
  <r>
    <n v="187"/>
    <x v="8"/>
    <x v="1"/>
    <b v="0"/>
    <s v="Sunday"/>
    <s v="Normal"/>
    <n v="0.1"/>
    <n v="6.0600000000000001E-2"/>
    <n v="0.42"/>
    <x v="17"/>
    <x v="3"/>
    <n v="12"/>
    <x v="47"/>
    <x v="0"/>
    <x v="0"/>
    <x v="0"/>
  </r>
  <r>
    <n v="188"/>
    <x v="8"/>
    <x v="2"/>
    <b v="0"/>
    <s v="Sunday"/>
    <s v="Normal"/>
    <n v="0.1"/>
    <n v="6.0600000000000001E-2"/>
    <n v="0.46"/>
    <x v="17"/>
    <x v="3"/>
    <n v="11"/>
    <x v="62"/>
    <x v="0"/>
    <x v="0"/>
    <x v="0"/>
  </r>
  <r>
    <n v="189"/>
    <x v="8"/>
    <x v="3"/>
    <b v="0"/>
    <s v="Sunday"/>
    <s v="Normal"/>
    <n v="0.1"/>
    <n v="7.5800000000000006E-2"/>
    <n v="0.46"/>
    <x v="12"/>
    <x v="3"/>
    <n v="4"/>
    <x v="48"/>
    <x v="0"/>
    <x v="0"/>
    <x v="0"/>
  </r>
  <r>
    <n v="190"/>
    <x v="8"/>
    <x v="4"/>
    <b v="0"/>
    <s v="Sunday"/>
    <s v="Normal"/>
    <n v="0.08"/>
    <n v="9.0899999999999995E-2"/>
    <n v="0.53"/>
    <x v="5"/>
    <x v="3"/>
    <n v="1"/>
    <x v="4"/>
    <x v="0"/>
    <x v="0"/>
    <x v="0"/>
  </r>
  <r>
    <n v="191"/>
    <x v="8"/>
    <x v="5"/>
    <b v="0"/>
    <s v="Sunday"/>
    <s v="Normal"/>
    <n v="0.08"/>
    <n v="9.0899999999999995E-2"/>
    <n v="0.53"/>
    <x v="5"/>
    <x v="3"/>
    <n v="1"/>
    <x v="4"/>
    <x v="0"/>
    <x v="0"/>
    <x v="0"/>
  </r>
  <r>
    <n v="192"/>
    <x v="8"/>
    <x v="6"/>
    <b v="0"/>
    <s v="Sunday"/>
    <s v="Normal"/>
    <n v="0.1"/>
    <n v="9.0899999999999995E-2"/>
    <n v="0.49"/>
    <x v="3"/>
    <x v="3"/>
    <n v="1"/>
    <x v="4"/>
    <x v="0"/>
    <x v="0"/>
    <x v="0"/>
  </r>
  <r>
    <n v="193"/>
    <x v="8"/>
    <x v="7"/>
    <b v="0"/>
    <s v="Sunday"/>
    <s v="Normal"/>
    <n v="0.08"/>
    <n v="9.0899999999999995E-2"/>
    <n v="0.53"/>
    <x v="5"/>
    <x v="5"/>
    <n v="5"/>
    <x v="24"/>
    <x v="0"/>
    <x v="1"/>
    <x v="0"/>
  </r>
  <r>
    <n v="194"/>
    <x v="8"/>
    <x v="8"/>
    <b v="0"/>
    <s v="Sunday"/>
    <s v="Normal"/>
    <n v="0.1"/>
    <n v="9.0899999999999995E-2"/>
    <n v="0.49"/>
    <x v="3"/>
    <x v="3"/>
    <n v="10"/>
    <x v="98"/>
    <x v="0"/>
    <x v="1"/>
    <x v="0"/>
  </r>
  <r>
    <n v="195"/>
    <x v="8"/>
    <x v="9"/>
    <b v="0"/>
    <s v="Sunday"/>
    <s v="Normal"/>
    <n v="0.12"/>
    <n v="7.5800000000000006E-2"/>
    <n v="0.46"/>
    <x v="18"/>
    <x v="3"/>
    <n v="19"/>
    <x v="75"/>
    <x v="0"/>
    <x v="1"/>
    <x v="0"/>
  </r>
  <r>
    <n v="196"/>
    <x v="8"/>
    <x v="10"/>
    <b v="0"/>
    <s v="Sunday"/>
    <s v="Normal"/>
    <n v="0.14000000000000001"/>
    <n v="0.1061"/>
    <n v="0.43"/>
    <x v="13"/>
    <x v="3"/>
    <n v="49"/>
    <x v="99"/>
    <x v="0"/>
    <x v="0"/>
    <x v="0"/>
  </r>
  <r>
    <n v="197"/>
    <x v="8"/>
    <x v="11"/>
    <b v="0"/>
    <s v="Sunday"/>
    <s v="Normal"/>
    <n v="0.16"/>
    <n v="0.1212"/>
    <n v="0.4"/>
    <x v="18"/>
    <x v="4"/>
    <n v="47"/>
    <x v="99"/>
    <x v="0"/>
    <x v="0"/>
    <x v="0"/>
  </r>
  <r>
    <n v="198"/>
    <x v="8"/>
    <x v="12"/>
    <b v="0"/>
    <s v="Sunday"/>
    <s v="Normal"/>
    <n v="0.18"/>
    <n v="0.13639999999999999"/>
    <n v="0.37"/>
    <x v="10"/>
    <x v="17"/>
    <n v="79"/>
    <x v="56"/>
    <x v="0"/>
    <x v="0"/>
    <x v="0"/>
  </r>
  <r>
    <n v="199"/>
    <x v="8"/>
    <x v="13"/>
    <b v="0"/>
    <s v="Sunday"/>
    <s v="Normal"/>
    <n v="0.2"/>
    <n v="0.16669999999999999"/>
    <n v="0.34"/>
    <x v="10"/>
    <x v="15"/>
    <n v="69"/>
    <x v="28"/>
    <x v="0"/>
    <x v="0"/>
    <x v="0"/>
  </r>
  <r>
    <n v="200"/>
    <x v="8"/>
    <x v="14"/>
    <b v="0"/>
    <s v="Sunday"/>
    <s v="Normal"/>
    <n v="0.22"/>
    <n v="0.18179999999999999"/>
    <n v="0.32"/>
    <x v="17"/>
    <x v="1"/>
    <n v="64"/>
    <x v="44"/>
    <x v="0"/>
    <x v="0"/>
    <x v="0"/>
  </r>
  <r>
    <n v="201"/>
    <x v="8"/>
    <x v="15"/>
    <b v="0"/>
    <s v="Sunday"/>
    <s v="Normal"/>
    <n v="0.22"/>
    <n v="0.19700000000000001"/>
    <n v="0.35"/>
    <x v="11"/>
    <x v="2"/>
    <n v="77"/>
    <x v="100"/>
    <x v="0"/>
    <x v="0"/>
    <x v="0"/>
  </r>
  <r>
    <n v="202"/>
    <x v="8"/>
    <x v="16"/>
    <b v="0"/>
    <s v="Sunday"/>
    <s v="Normal"/>
    <n v="0.2"/>
    <n v="0.16669999999999999"/>
    <n v="0.34"/>
    <x v="10"/>
    <x v="23"/>
    <n v="79"/>
    <x v="101"/>
    <x v="0"/>
    <x v="0"/>
    <x v="0"/>
  </r>
  <r>
    <n v="203"/>
    <x v="8"/>
    <x v="17"/>
    <b v="0"/>
    <s v="Sunday"/>
    <s v="Normal"/>
    <n v="0.18"/>
    <n v="0.1515"/>
    <n v="0.37"/>
    <x v="13"/>
    <x v="0"/>
    <n v="59"/>
    <x v="69"/>
    <x v="0"/>
    <x v="2"/>
    <x v="0"/>
  </r>
  <r>
    <n v="204"/>
    <x v="8"/>
    <x v="18"/>
    <b v="0"/>
    <s v="Sunday"/>
    <s v="Normal"/>
    <n v="0.16"/>
    <n v="0.13639999999999999"/>
    <n v="0.4"/>
    <x v="9"/>
    <x v="17"/>
    <n v="44"/>
    <x v="61"/>
    <x v="0"/>
    <x v="2"/>
    <x v="0"/>
  </r>
  <r>
    <n v="205"/>
    <x v="8"/>
    <x v="19"/>
    <b v="0"/>
    <s v="Sunday"/>
    <s v="Normal"/>
    <n v="0.16"/>
    <n v="0.13639999999999999"/>
    <n v="0.43"/>
    <x v="9"/>
    <x v="5"/>
    <n v="40"/>
    <x v="102"/>
    <x v="0"/>
    <x v="2"/>
    <x v="0"/>
  </r>
  <r>
    <n v="206"/>
    <x v="8"/>
    <x v="20"/>
    <b v="0"/>
    <s v="Sunday"/>
    <s v="Normal"/>
    <n v="0.14000000000000001"/>
    <n v="0.1212"/>
    <n v="0.46"/>
    <x v="2"/>
    <x v="3"/>
    <n v="38"/>
    <x v="103"/>
    <x v="0"/>
    <x v="0"/>
    <x v="0"/>
  </r>
  <r>
    <n v="207"/>
    <x v="8"/>
    <x v="21"/>
    <b v="0"/>
    <s v="Sunday"/>
    <s v="Normal"/>
    <n v="0.14000000000000001"/>
    <n v="0.1061"/>
    <n v="0.46"/>
    <x v="12"/>
    <x v="5"/>
    <n v="19"/>
    <x v="25"/>
    <x v="0"/>
    <x v="0"/>
    <x v="0"/>
  </r>
  <r>
    <n v="208"/>
    <x v="8"/>
    <x v="22"/>
    <b v="0"/>
    <s v="Sunday"/>
    <s v="Normal"/>
    <n v="0.14000000000000001"/>
    <n v="0.1212"/>
    <n v="0.46"/>
    <x v="4"/>
    <x v="2"/>
    <n v="10"/>
    <x v="93"/>
    <x v="0"/>
    <x v="0"/>
    <x v="0"/>
  </r>
  <r>
    <n v="209"/>
    <x v="8"/>
    <x v="23"/>
    <b v="0"/>
    <s v="Sunday"/>
    <s v="Normal"/>
    <n v="0.12"/>
    <n v="0.13639999999999999"/>
    <n v="0.5"/>
    <x v="5"/>
    <x v="3"/>
    <n v="6"/>
    <x v="24"/>
    <x v="0"/>
    <x v="0"/>
    <x v="0"/>
  </r>
  <r>
    <n v="210"/>
    <x v="9"/>
    <x v="0"/>
    <b v="0"/>
    <s v="Monday"/>
    <s v="Normal"/>
    <n v="0.12"/>
    <n v="0.1212"/>
    <n v="0.5"/>
    <x v="3"/>
    <x v="4"/>
    <n v="3"/>
    <x v="36"/>
    <x v="1"/>
    <x v="0"/>
    <x v="0"/>
  </r>
  <r>
    <n v="211"/>
    <x v="9"/>
    <x v="1"/>
    <b v="0"/>
    <s v="Monday"/>
    <s v="Normal"/>
    <n v="0.12"/>
    <n v="0.1212"/>
    <n v="0.5"/>
    <x v="3"/>
    <x v="5"/>
    <n v="0"/>
    <x v="4"/>
    <x v="1"/>
    <x v="0"/>
    <x v="0"/>
  </r>
  <r>
    <n v="212"/>
    <x v="9"/>
    <x v="2"/>
    <b v="0"/>
    <s v="Monday"/>
    <s v="Normal"/>
    <n v="0.12"/>
    <n v="0.1212"/>
    <n v="0.5"/>
    <x v="6"/>
    <x v="3"/>
    <n v="3"/>
    <x v="6"/>
    <x v="1"/>
    <x v="0"/>
    <x v="0"/>
  </r>
  <r>
    <n v="213"/>
    <x v="9"/>
    <x v="3"/>
    <b v="0"/>
    <s v="Monday"/>
    <s v="Normal"/>
    <n v="0.12"/>
    <n v="0.1212"/>
    <n v="0.5"/>
    <x v="6"/>
    <x v="3"/>
    <n v="1"/>
    <x v="4"/>
    <x v="1"/>
    <x v="0"/>
    <x v="0"/>
  </r>
  <r>
    <n v="214"/>
    <x v="9"/>
    <x v="4"/>
    <b v="0"/>
    <s v="Monday"/>
    <s v="Normal"/>
    <n v="0.1"/>
    <n v="0.1212"/>
    <n v="0.54"/>
    <x v="7"/>
    <x v="5"/>
    <n v="2"/>
    <x v="6"/>
    <x v="1"/>
    <x v="0"/>
    <x v="0"/>
  </r>
  <r>
    <n v="215"/>
    <x v="9"/>
    <x v="5"/>
    <b v="0"/>
    <s v="Monday"/>
    <s v="Normal"/>
    <n v="0.1"/>
    <n v="0.1061"/>
    <n v="0.54"/>
    <x v="2"/>
    <x v="3"/>
    <n v="3"/>
    <x v="6"/>
    <x v="1"/>
    <x v="0"/>
    <x v="0"/>
  </r>
  <r>
    <n v="216"/>
    <x v="9"/>
    <x v="6"/>
    <b v="0"/>
    <s v="Monday"/>
    <s v="Normal"/>
    <n v="0.12"/>
    <n v="0.1212"/>
    <n v="0.5"/>
    <x v="3"/>
    <x v="3"/>
    <n v="31"/>
    <x v="35"/>
    <x v="1"/>
    <x v="0"/>
    <x v="0"/>
  </r>
  <r>
    <n v="217"/>
    <x v="9"/>
    <x v="7"/>
    <b v="0"/>
    <s v="Monday"/>
    <s v="Normal"/>
    <n v="0.12"/>
    <n v="0.1212"/>
    <n v="0.5"/>
    <x v="6"/>
    <x v="4"/>
    <n v="75"/>
    <x v="43"/>
    <x v="1"/>
    <x v="1"/>
    <x v="0"/>
  </r>
  <r>
    <n v="218"/>
    <x v="9"/>
    <x v="8"/>
    <b v="0"/>
    <s v="Monday"/>
    <s v="Yellow Alert"/>
    <n v="0.12"/>
    <n v="0.1212"/>
    <n v="0.5"/>
    <x v="3"/>
    <x v="17"/>
    <n v="184"/>
    <x v="104"/>
    <x v="1"/>
    <x v="1"/>
    <x v="1"/>
  </r>
  <r>
    <n v="219"/>
    <x v="9"/>
    <x v="9"/>
    <b v="0"/>
    <s v="Monday"/>
    <s v="Yellow Alert"/>
    <n v="0.14000000000000001"/>
    <n v="0.1212"/>
    <n v="0.5"/>
    <x v="2"/>
    <x v="4"/>
    <n v="92"/>
    <x v="12"/>
    <x v="1"/>
    <x v="1"/>
    <x v="1"/>
  </r>
  <r>
    <n v="220"/>
    <x v="9"/>
    <x v="10"/>
    <b v="0"/>
    <s v="Monday"/>
    <s v="Yellow Alert"/>
    <n v="0.14000000000000001"/>
    <n v="0.1212"/>
    <n v="0.5"/>
    <x v="4"/>
    <x v="3"/>
    <n v="31"/>
    <x v="35"/>
    <x v="1"/>
    <x v="0"/>
    <x v="1"/>
  </r>
  <r>
    <n v="221"/>
    <x v="9"/>
    <x v="11"/>
    <b v="0"/>
    <s v="Monday"/>
    <s v="Yellow Alert"/>
    <n v="0.16"/>
    <n v="0.13639999999999999"/>
    <n v="0.47"/>
    <x v="3"/>
    <x v="4"/>
    <n v="28"/>
    <x v="33"/>
    <x v="1"/>
    <x v="0"/>
    <x v="1"/>
  </r>
  <r>
    <n v="222"/>
    <x v="9"/>
    <x v="12"/>
    <b v="0"/>
    <s v="Monday"/>
    <s v="Yellow Alert"/>
    <n v="0.2"/>
    <n v="0.18179999999999999"/>
    <n v="0.4"/>
    <x v="3"/>
    <x v="2"/>
    <n v="47"/>
    <x v="46"/>
    <x v="1"/>
    <x v="0"/>
    <x v="1"/>
  </r>
  <r>
    <n v="223"/>
    <x v="9"/>
    <x v="13"/>
    <b v="0"/>
    <s v="Monday"/>
    <s v="Yellow Alert"/>
    <n v="0.2"/>
    <n v="0.18179999999999999"/>
    <n v="0.4"/>
    <x v="3"/>
    <x v="17"/>
    <n v="50"/>
    <x v="60"/>
    <x v="1"/>
    <x v="0"/>
    <x v="1"/>
  </r>
  <r>
    <n v="224"/>
    <x v="9"/>
    <x v="14"/>
    <b v="0"/>
    <s v="Monday"/>
    <s v="Yellow Alert"/>
    <n v="0.2"/>
    <n v="0.19700000000000001"/>
    <n v="0.4"/>
    <x v="6"/>
    <x v="3"/>
    <n v="47"/>
    <x v="105"/>
    <x v="1"/>
    <x v="0"/>
    <x v="1"/>
  </r>
  <r>
    <n v="225"/>
    <x v="9"/>
    <x v="15"/>
    <b v="0"/>
    <s v="Monday"/>
    <s v="Yellow Alert"/>
    <n v="0.2"/>
    <n v="0.19700000000000001"/>
    <n v="0.4"/>
    <x v="6"/>
    <x v="4"/>
    <n v="43"/>
    <x v="79"/>
    <x v="1"/>
    <x v="0"/>
    <x v="1"/>
  </r>
  <r>
    <n v="226"/>
    <x v="9"/>
    <x v="16"/>
    <b v="0"/>
    <s v="Monday"/>
    <s v="Normal"/>
    <n v="0.2"/>
    <n v="0.21210000000000001"/>
    <n v="0.4"/>
    <x v="7"/>
    <x v="17"/>
    <n v="70"/>
    <x v="30"/>
    <x v="1"/>
    <x v="0"/>
    <x v="0"/>
  </r>
  <r>
    <n v="227"/>
    <x v="9"/>
    <x v="17"/>
    <b v="0"/>
    <s v="Monday"/>
    <s v="Normal"/>
    <n v="0.2"/>
    <n v="0.2273"/>
    <n v="0.4"/>
    <x v="14"/>
    <x v="17"/>
    <n v="174"/>
    <x v="106"/>
    <x v="1"/>
    <x v="2"/>
    <x v="0"/>
  </r>
  <r>
    <n v="228"/>
    <x v="9"/>
    <x v="18"/>
    <b v="0"/>
    <s v="Monday"/>
    <s v="Normal"/>
    <n v="0.2"/>
    <n v="0.19700000000000001"/>
    <n v="0.4"/>
    <x v="6"/>
    <x v="5"/>
    <n v="154"/>
    <x v="107"/>
    <x v="1"/>
    <x v="2"/>
    <x v="0"/>
  </r>
  <r>
    <n v="229"/>
    <x v="9"/>
    <x v="19"/>
    <b v="0"/>
    <s v="Monday"/>
    <s v="Normal"/>
    <n v="0.16"/>
    <n v="0.16669999999999999"/>
    <n v="0.47"/>
    <x v="8"/>
    <x v="0"/>
    <n v="92"/>
    <x v="76"/>
    <x v="1"/>
    <x v="2"/>
    <x v="0"/>
  </r>
  <r>
    <n v="230"/>
    <x v="9"/>
    <x v="20"/>
    <b v="0"/>
    <s v="Monday"/>
    <s v="Normal"/>
    <n v="0.16"/>
    <n v="0.16669999999999999"/>
    <n v="0.5"/>
    <x v="8"/>
    <x v="5"/>
    <n v="73"/>
    <x v="30"/>
    <x v="1"/>
    <x v="0"/>
    <x v="0"/>
  </r>
  <r>
    <n v="231"/>
    <x v="9"/>
    <x v="21"/>
    <b v="0"/>
    <s v="Monday"/>
    <s v="Normal"/>
    <n v="0.14000000000000001"/>
    <n v="0.13639999999999999"/>
    <n v="0.59"/>
    <x v="5"/>
    <x v="5"/>
    <n v="37"/>
    <x v="103"/>
    <x v="1"/>
    <x v="0"/>
    <x v="0"/>
  </r>
  <r>
    <n v="232"/>
    <x v="9"/>
    <x v="22"/>
    <b v="0"/>
    <s v="Monday"/>
    <s v="Normal"/>
    <n v="0.14000000000000001"/>
    <n v="0.1515"/>
    <n v="0.59"/>
    <x v="8"/>
    <x v="4"/>
    <n v="22"/>
    <x v="108"/>
    <x v="1"/>
    <x v="0"/>
    <x v="0"/>
  </r>
  <r>
    <n v="233"/>
    <x v="9"/>
    <x v="23"/>
    <b v="0"/>
    <s v="Monday"/>
    <s v="Normal"/>
    <n v="0.14000000000000001"/>
    <n v="0.1515"/>
    <n v="0.59"/>
    <x v="8"/>
    <x v="3"/>
    <n v="18"/>
    <x v="109"/>
    <x v="1"/>
    <x v="0"/>
    <x v="0"/>
  </r>
  <r>
    <n v="234"/>
    <x v="10"/>
    <x v="0"/>
    <b v="0"/>
    <s v="Tuesday"/>
    <s v="Normal"/>
    <n v="0.14000000000000001"/>
    <n v="0.16669999999999999"/>
    <n v="0.59"/>
    <x v="14"/>
    <x v="4"/>
    <n v="10"/>
    <x v="47"/>
    <x v="1"/>
    <x v="0"/>
    <x v="0"/>
  </r>
  <r>
    <n v="235"/>
    <x v="10"/>
    <x v="1"/>
    <b v="0"/>
    <s v="Tuesday"/>
    <s v="Normal"/>
    <n v="0.14000000000000001"/>
    <n v="0.1515"/>
    <n v="0.59"/>
    <x v="8"/>
    <x v="3"/>
    <n v="3"/>
    <x v="6"/>
    <x v="1"/>
    <x v="0"/>
    <x v="0"/>
  </r>
  <r>
    <n v="236"/>
    <x v="10"/>
    <x v="2"/>
    <b v="0"/>
    <s v="Tuesday"/>
    <s v="Yellow Alert"/>
    <n v="0.16"/>
    <n v="0.1515"/>
    <n v="0.55000000000000004"/>
    <x v="5"/>
    <x v="3"/>
    <n v="3"/>
    <x v="6"/>
    <x v="1"/>
    <x v="0"/>
    <x v="1"/>
  </r>
  <r>
    <n v="237"/>
    <x v="10"/>
    <x v="5"/>
    <b v="0"/>
    <s v="Tuesday"/>
    <s v="Yellow Alert"/>
    <n v="0.16"/>
    <n v="0.18179999999999999"/>
    <n v="0.55000000000000004"/>
    <x v="7"/>
    <x v="3"/>
    <n v="6"/>
    <x v="24"/>
    <x v="1"/>
    <x v="0"/>
    <x v="1"/>
  </r>
  <r>
    <n v="238"/>
    <x v="10"/>
    <x v="6"/>
    <b v="0"/>
    <s v="Tuesday"/>
    <s v="Yellow Alert"/>
    <n v="0.16"/>
    <n v="0.18179999999999999"/>
    <n v="0.55000000000000004"/>
    <x v="7"/>
    <x v="3"/>
    <n v="27"/>
    <x v="110"/>
    <x v="1"/>
    <x v="0"/>
    <x v="1"/>
  </r>
  <r>
    <n v="239"/>
    <x v="10"/>
    <x v="7"/>
    <b v="0"/>
    <s v="Tuesday"/>
    <s v="Yellow Alert"/>
    <n v="0.16"/>
    <n v="0.2273"/>
    <n v="0.55000000000000004"/>
    <x v="0"/>
    <x v="4"/>
    <n v="97"/>
    <x v="111"/>
    <x v="1"/>
    <x v="1"/>
    <x v="1"/>
  </r>
  <r>
    <n v="240"/>
    <x v="10"/>
    <x v="8"/>
    <b v="0"/>
    <s v="Tuesday"/>
    <s v="Yellow Alert"/>
    <n v="0.18"/>
    <n v="0.21210000000000001"/>
    <n v="0.51"/>
    <x v="1"/>
    <x v="0"/>
    <n v="214"/>
    <x v="112"/>
    <x v="1"/>
    <x v="1"/>
    <x v="1"/>
  </r>
  <r>
    <n v="241"/>
    <x v="10"/>
    <x v="9"/>
    <b v="0"/>
    <s v="Tuesday"/>
    <s v="Yellow Alert"/>
    <n v="0.18"/>
    <n v="0.19700000000000001"/>
    <n v="0.51"/>
    <x v="8"/>
    <x v="0"/>
    <n v="127"/>
    <x v="113"/>
    <x v="1"/>
    <x v="1"/>
    <x v="1"/>
  </r>
  <r>
    <n v="242"/>
    <x v="10"/>
    <x v="10"/>
    <b v="0"/>
    <s v="Tuesday"/>
    <s v="Yellow Alert"/>
    <n v="0.2"/>
    <n v="0.21210000000000001"/>
    <n v="0.51"/>
    <x v="8"/>
    <x v="0"/>
    <n v="51"/>
    <x v="60"/>
    <x v="1"/>
    <x v="0"/>
    <x v="1"/>
  </r>
  <r>
    <n v="243"/>
    <x v="10"/>
    <x v="11"/>
    <b v="0"/>
    <s v="Tuesday"/>
    <s v="Yellow Alert"/>
    <n v="0.2"/>
    <n v="0.21210000000000001"/>
    <n v="0.47"/>
    <x v="7"/>
    <x v="17"/>
    <n v="31"/>
    <x v="17"/>
    <x v="1"/>
    <x v="0"/>
    <x v="1"/>
  </r>
  <r>
    <n v="244"/>
    <x v="10"/>
    <x v="12"/>
    <b v="0"/>
    <s v="Tuesday"/>
    <s v="Yellow Alert"/>
    <n v="0.2"/>
    <n v="0.2273"/>
    <n v="0.51"/>
    <x v="14"/>
    <x v="4"/>
    <n v="55"/>
    <x v="52"/>
    <x v="1"/>
    <x v="0"/>
    <x v="1"/>
  </r>
  <r>
    <n v="245"/>
    <x v="10"/>
    <x v="13"/>
    <b v="0"/>
    <s v="Tuesday"/>
    <s v="Yellow Alert"/>
    <n v="0.2"/>
    <n v="0.2273"/>
    <n v="0.59"/>
    <x v="1"/>
    <x v="15"/>
    <n v="46"/>
    <x v="46"/>
    <x v="1"/>
    <x v="0"/>
    <x v="1"/>
  </r>
  <r>
    <n v="246"/>
    <x v="10"/>
    <x v="14"/>
    <b v="0"/>
    <s v="Tuesday"/>
    <s v="Yellow Alert"/>
    <n v="0.2"/>
    <n v="0.2273"/>
    <n v="0.59"/>
    <x v="1"/>
    <x v="0"/>
    <n v="60"/>
    <x v="55"/>
    <x v="1"/>
    <x v="0"/>
    <x v="1"/>
  </r>
  <r>
    <n v="247"/>
    <x v="10"/>
    <x v="15"/>
    <b v="0"/>
    <s v="Tuesday"/>
    <s v="Yellow Alert"/>
    <n v="0.16"/>
    <n v="0.19700000000000001"/>
    <n v="0.8"/>
    <x v="1"/>
    <x v="4"/>
    <n v="45"/>
    <x v="105"/>
    <x v="1"/>
    <x v="0"/>
    <x v="1"/>
  </r>
  <r>
    <n v="248"/>
    <x v="10"/>
    <x v="16"/>
    <b v="0"/>
    <s v="Tuesday"/>
    <s v="Yellow Alert"/>
    <n v="0.16"/>
    <n v="0.1515"/>
    <n v="0.86"/>
    <x v="6"/>
    <x v="17"/>
    <n v="72"/>
    <x v="31"/>
    <x v="1"/>
    <x v="0"/>
    <x v="1"/>
  </r>
  <r>
    <n v="249"/>
    <x v="10"/>
    <x v="17"/>
    <b v="0"/>
    <s v="Tuesday"/>
    <s v="Yellow Alert"/>
    <n v="0.16"/>
    <n v="0.1515"/>
    <n v="0.86"/>
    <x v="6"/>
    <x v="15"/>
    <n v="130"/>
    <x v="114"/>
    <x v="1"/>
    <x v="2"/>
    <x v="1"/>
  </r>
  <r>
    <n v="250"/>
    <x v="10"/>
    <x v="18"/>
    <b v="0"/>
    <s v="Tuesday"/>
    <s v="Orange Alert"/>
    <n v="0.16"/>
    <n v="0.18179999999999999"/>
    <n v="0.93"/>
    <x v="14"/>
    <x v="5"/>
    <n v="94"/>
    <x v="76"/>
    <x v="1"/>
    <x v="2"/>
    <x v="2"/>
  </r>
  <r>
    <n v="251"/>
    <x v="10"/>
    <x v="19"/>
    <b v="0"/>
    <s v="Tuesday"/>
    <s v="Orange Alert"/>
    <n v="0.16"/>
    <n v="0.2273"/>
    <n v="0.93"/>
    <x v="0"/>
    <x v="3"/>
    <n v="51"/>
    <x v="41"/>
    <x v="1"/>
    <x v="2"/>
    <x v="2"/>
  </r>
  <r>
    <n v="252"/>
    <x v="10"/>
    <x v="20"/>
    <b v="0"/>
    <s v="Tuesday"/>
    <s v="Orange Alert"/>
    <n v="0.16"/>
    <n v="0.1515"/>
    <n v="0.93"/>
    <x v="5"/>
    <x v="3"/>
    <n v="32"/>
    <x v="2"/>
    <x v="1"/>
    <x v="0"/>
    <x v="2"/>
  </r>
  <r>
    <n v="253"/>
    <x v="10"/>
    <x v="21"/>
    <b v="0"/>
    <s v="Tuesday"/>
    <s v="Orange Alert"/>
    <n v="0.16"/>
    <n v="0.19700000000000001"/>
    <n v="0.86"/>
    <x v="1"/>
    <x v="3"/>
    <n v="20"/>
    <x v="25"/>
    <x v="1"/>
    <x v="0"/>
    <x v="2"/>
  </r>
  <r>
    <n v="254"/>
    <x v="10"/>
    <x v="22"/>
    <b v="0"/>
    <s v="Tuesday"/>
    <s v="Orange Alert"/>
    <n v="0.16"/>
    <n v="0.18179999999999999"/>
    <n v="0.93"/>
    <x v="14"/>
    <x v="5"/>
    <n v="28"/>
    <x v="115"/>
    <x v="1"/>
    <x v="0"/>
    <x v="2"/>
  </r>
  <r>
    <n v="255"/>
    <x v="10"/>
    <x v="23"/>
    <b v="0"/>
    <s v="Tuesday"/>
    <s v="Orange Alert"/>
    <n v="0.16"/>
    <n v="0.19700000000000001"/>
    <n v="0.93"/>
    <x v="1"/>
    <x v="5"/>
    <n v="18"/>
    <x v="75"/>
    <x v="1"/>
    <x v="0"/>
    <x v="2"/>
  </r>
  <r>
    <n v="256"/>
    <x v="11"/>
    <x v="0"/>
    <b v="0"/>
    <s v="Wednesday"/>
    <s v="Yellow Alert"/>
    <n v="0.16"/>
    <n v="0.19700000000000001"/>
    <n v="0.86"/>
    <x v="1"/>
    <x v="3"/>
    <n v="7"/>
    <x v="85"/>
    <x v="1"/>
    <x v="0"/>
    <x v="1"/>
  </r>
  <r>
    <n v="257"/>
    <x v="11"/>
    <x v="1"/>
    <b v="0"/>
    <s v="Wednesday"/>
    <s v="Yellow Alert"/>
    <n v="0.16"/>
    <n v="0.18179999999999999"/>
    <n v="0.86"/>
    <x v="14"/>
    <x v="3"/>
    <n v="6"/>
    <x v="24"/>
    <x v="1"/>
    <x v="0"/>
    <x v="1"/>
  </r>
  <r>
    <n v="258"/>
    <x v="11"/>
    <x v="2"/>
    <b v="0"/>
    <s v="Wednesday"/>
    <s v="Normal"/>
    <n v="0.14000000000000001"/>
    <n v="0.1515"/>
    <n v="0.86"/>
    <x v="7"/>
    <x v="3"/>
    <n v="1"/>
    <x v="4"/>
    <x v="1"/>
    <x v="0"/>
    <x v="0"/>
  </r>
  <r>
    <n v="259"/>
    <x v="11"/>
    <x v="5"/>
    <b v="0"/>
    <s v="Wednesday"/>
    <s v="Normal"/>
    <n v="0.14000000000000001"/>
    <n v="0.1515"/>
    <n v="0.86"/>
    <x v="8"/>
    <x v="3"/>
    <n v="5"/>
    <x v="36"/>
    <x v="1"/>
    <x v="0"/>
    <x v="0"/>
  </r>
  <r>
    <n v="260"/>
    <x v="11"/>
    <x v="6"/>
    <b v="0"/>
    <s v="Wednesday"/>
    <s v="Normal"/>
    <n v="0.12"/>
    <n v="0.1515"/>
    <n v="0.93"/>
    <x v="7"/>
    <x v="3"/>
    <n v="16"/>
    <x v="0"/>
    <x v="1"/>
    <x v="0"/>
    <x v="0"/>
  </r>
  <r>
    <n v="261"/>
    <x v="11"/>
    <x v="7"/>
    <b v="0"/>
    <s v="Wednesday"/>
    <s v="Normal"/>
    <n v="0.14000000000000001"/>
    <n v="0.1515"/>
    <n v="0.69"/>
    <x v="7"/>
    <x v="3"/>
    <n v="54"/>
    <x v="60"/>
    <x v="1"/>
    <x v="1"/>
    <x v="0"/>
  </r>
  <r>
    <n v="262"/>
    <x v="11"/>
    <x v="8"/>
    <b v="0"/>
    <s v="Wednesday"/>
    <s v="Normal"/>
    <n v="0.16"/>
    <n v="0.16669999999999999"/>
    <n v="0.59"/>
    <x v="8"/>
    <x v="0"/>
    <n v="125"/>
    <x v="116"/>
    <x v="1"/>
    <x v="1"/>
    <x v="0"/>
  </r>
  <r>
    <n v="263"/>
    <x v="11"/>
    <x v="9"/>
    <b v="0"/>
    <s v="Wednesday"/>
    <s v="Normal"/>
    <n v="0.16"/>
    <n v="0.13639999999999999"/>
    <n v="0.59"/>
    <x v="9"/>
    <x v="0"/>
    <n v="78"/>
    <x v="117"/>
    <x v="1"/>
    <x v="1"/>
    <x v="0"/>
  </r>
  <r>
    <n v="264"/>
    <x v="11"/>
    <x v="10"/>
    <b v="0"/>
    <s v="Wednesday"/>
    <s v="Normal"/>
    <n v="0.18"/>
    <n v="0.18179999999999999"/>
    <n v="0.55000000000000004"/>
    <x v="6"/>
    <x v="3"/>
    <n v="39"/>
    <x v="21"/>
    <x v="1"/>
    <x v="0"/>
    <x v="0"/>
  </r>
  <r>
    <n v="265"/>
    <x v="11"/>
    <x v="11"/>
    <b v="0"/>
    <s v="Wednesday"/>
    <s v="Normal"/>
    <n v="0.2"/>
    <n v="0.18179999999999999"/>
    <n v="0.51"/>
    <x v="13"/>
    <x v="0"/>
    <n v="32"/>
    <x v="17"/>
    <x v="1"/>
    <x v="0"/>
    <x v="0"/>
  </r>
  <r>
    <n v="266"/>
    <x v="11"/>
    <x v="12"/>
    <b v="0"/>
    <s v="Wednesday"/>
    <s v="Normal"/>
    <n v="0.2"/>
    <n v="0.1515"/>
    <n v="0.47"/>
    <x v="19"/>
    <x v="0"/>
    <n v="52"/>
    <x v="97"/>
    <x v="1"/>
    <x v="0"/>
    <x v="0"/>
  </r>
  <r>
    <n v="267"/>
    <x v="11"/>
    <x v="13"/>
    <b v="0"/>
    <s v="Wednesday"/>
    <s v="Normal"/>
    <n v="0.22"/>
    <n v="0.19700000000000001"/>
    <n v="0.44"/>
    <x v="11"/>
    <x v="3"/>
    <n v="49"/>
    <x v="99"/>
    <x v="1"/>
    <x v="0"/>
    <x v="0"/>
  </r>
  <r>
    <n v="268"/>
    <x v="11"/>
    <x v="14"/>
    <b v="0"/>
    <s v="Wednesday"/>
    <s v="Normal"/>
    <n v="0.2"/>
    <n v="0.18179999999999999"/>
    <n v="0.47"/>
    <x v="9"/>
    <x v="3"/>
    <n v="44"/>
    <x v="40"/>
    <x v="1"/>
    <x v="0"/>
    <x v="0"/>
  </r>
  <r>
    <n v="269"/>
    <x v="11"/>
    <x v="15"/>
    <b v="0"/>
    <s v="Wednesday"/>
    <s v="Normal"/>
    <n v="0.2"/>
    <n v="0.16669999999999999"/>
    <n v="0.47"/>
    <x v="12"/>
    <x v="5"/>
    <n v="48"/>
    <x v="99"/>
    <x v="1"/>
    <x v="0"/>
    <x v="0"/>
  </r>
  <r>
    <n v="270"/>
    <x v="11"/>
    <x v="16"/>
    <b v="0"/>
    <s v="Wednesday"/>
    <s v="Normal"/>
    <n v="0.22"/>
    <n v="0.19700000000000001"/>
    <n v="0.44"/>
    <x v="9"/>
    <x v="2"/>
    <n v="63"/>
    <x v="118"/>
    <x v="1"/>
    <x v="0"/>
    <x v="0"/>
  </r>
  <r>
    <n v="271"/>
    <x v="11"/>
    <x v="17"/>
    <b v="0"/>
    <s v="Wednesday"/>
    <s v="Normal"/>
    <n v="0.2"/>
    <n v="0.18179999999999999"/>
    <n v="0.47"/>
    <x v="11"/>
    <x v="3"/>
    <n v="139"/>
    <x v="119"/>
    <x v="1"/>
    <x v="2"/>
    <x v="0"/>
  </r>
  <r>
    <n v="272"/>
    <x v="11"/>
    <x v="18"/>
    <b v="0"/>
    <s v="Wednesday"/>
    <s v="Normal"/>
    <n v="0.2"/>
    <n v="0.1515"/>
    <n v="0.47"/>
    <x v="18"/>
    <x v="4"/>
    <n v="135"/>
    <x v="120"/>
    <x v="1"/>
    <x v="2"/>
    <x v="0"/>
  </r>
  <r>
    <n v="273"/>
    <x v="11"/>
    <x v="19"/>
    <b v="0"/>
    <s v="Wednesday"/>
    <s v="Normal"/>
    <n v="0.18"/>
    <n v="0.1515"/>
    <n v="0.47"/>
    <x v="12"/>
    <x v="5"/>
    <n v="82"/>
    <x v="56"/>
    <x v="1"/>
    <x v="2"/>
    <x v="0"/>
  </r>
  <r>
    <n v="274"/>
    <x v="11"/>
    <x v="20"/>
    <b v="0"/>
    <s v="Wednesday"/>
    <s v="Normal"/>
    <n v="0.16"/>
    <n v="0.13639999999999999"/>
    <n v="0.5"/>
    <x v="9"/>
    <x v="4"/>
    <n v="54"/>
    <x v="10"/>
    <x v="1"/>
    <x v="0"/>
    <x v="0"/>
  </r>
  <r>
    <n v="275"/>
    <x v="11"/>
    <x v="21"/>
    <b v="0"/>
    <s v="Wednesday"/>
    <s v="Normal"/>
    <n v="0.16"/>
    <n v="0.13639999999999999"/>
    <n v="0.55000000000000004"/>
    <x v="9"/>
    <x v="3"/>
    <n v="57"/>
    <x v="52"/>
    <x v="1"/>
    <x v="0"/>
    <x v="0"/>
  </r>
  <r>
    <n v="276"/>
    <x v="11"/>
    <x v="22"/>
    <b v="0"/>
    <s v="Wednesday"/>
    <s v="Normal"/>
    <n v="0.16"/>
    <n v="0.1212"/>
    <n v="0.55000000000000004"/>
    <x v="10"/>
    <x v="5"/>
    <n v="32"/>
    <x v="63"/>
    <x v="1"/>
    <x v="0"/>
    <x v="0"/>
  </r>
  <r>
    <n v="277"/>
    <x v="11"/>
    <x v="23"/>
    <b v="0"/>
    <s v="Wednesday"/>
    <s v="Normal"/>
    <n v="0.14000000000000001"/>
    <n v="0.1061"/>
    <n v="0.59"/>
    <x v="12"/>
    <x v="5"/>
    <n v="19"/>
    <x v="25"/>
    <x v="1"/>
    <x v="0"/>
    <x v="0"/>
  </r>
  <r>
    <n v="278"/>
    <x v="12"/>
    <x v="0"/>
    <b v="0"/>
    <s v="Thursday"/>
    <s v="Normal"/>
    <n v="0.14000000000000001"/>
    <n v="0.1212"/>
    <n v="0.59"/>
    <x v="3"/>
    <x v="5"/>
    <n v="6"/>
    <x v="85"/>
    <x v="1"/>
    <x v="0"/>
    <x v="0"/>
  </r>
  <r>
    <n v="279"/>
    <x v="12"/>
    <x v="1"/>
    <b v="0"/>
    <s v="Thursday"/>
    <s v="Normal"/>
    <n v="0.14000000000000001"/>
    <n v="0.1212"/>
    <n v="0.5"/>
    <x v="3"/>
    <x v="3"/>
    <n v="2"/>
    <x v="5"/>
    <x v="1"/>
    <x v="0"/>
    <x v="0"/>
  </r>
  <r>
    <n v="280"/>
    <x v="12"/>
    <x v="2"/>
    <b v="0"/>
    <s v="Thursday"/>
    <s v="Normal"/>
    <n v="0.14000000000000001"/>
    <n v="0.1212"/>
    <n v="0.5"/>
    <x v="11"/>
    <x v="3"/>
    <n v="2"/>
    <x v="5"/>
    <x v="1"/>
    <x v="0"/>
    <x v="0"/>
  </r>
  <r>
    <n v="281"/>
    <x v="12"/>
    <x v="3"/>
    <b v="0"/>
    <s v="Thursday"/>
    <s v="Normal"/>
    <n v="0.14000000000000001"/>
    <n v="0.1212"/>
    <n v="0.5"/>
    <x v="9"/>
    <x v="3"/>
    <n v="3"/>
    <x v="6"/>
    <x v="1"/>
    <x v="0"/>
    <x v="0"/>
  </r>
  <r>
    <n v="282"/>
    <x v="12"/>
    <x v="4"/>
    <b v="0"/>
    <s v="Thursday"/>
    <s v="Normal"/>
    <n v="0.14000000000000001"/>
    <n v="0.1212"/>
    <n v="0.5"/>
    <x v="2"/>
    <x v="3"/>
    <n v="4"/>
    <x v="48"/>
    <x v="1"/>
    <x v="0"/>
    <x v="0"/>
  </r>
  <r>
    <n v="283"/>
    <x v="12"/>
    <x v="5"/>
    <b v="0"/>
    <s v="Thursday"/>
    <s v="Normal"/>
    <n v="0.14000000000000001"/>
    <n v="0.1212"/>
    <n v="0.5"/>
    <x v="4"/>
    <x v="3"/>
    <n v="3"/>
    <x v="6"/>
    <x v="1"/>
    <x v="0"/>
    <x v="0"/>
  </r>
  <r>
    <n v="284"/>
    <x v="12"/>
    <x v="6"/>
    <b v="0"/>
    <s v="Thursday"/>
    <s v="Normal"/>
    <n v="0.12"/>
    <n v="0.1515"/>
    <n v="0.54"/>
    <x v="7"/>
    <x v="3"/>
    <n v="28"/>
    <x v="20"/>
    <x v="1"/>
    <x v="0"/>
    <x v="0"/>
  </r>
  <r>
    <n v="285"/>
    <x v="12"/>
    <x v="7"/>
    <b v="0"/>
    <s v="Thursday"/>
    <s v="Normal"/>
    <n v="0.12"/>
    <n v="0.1515"/>
    <n v="0.54"/>
    <x v="7"/>
    <x v="3"/>
    <n v="72"/>
    <x v="44"/>
    <x v="1"/>
    <x v="1"/>
    <x v="0"/>
  </r>
  <r>
    <n v="286"/>
    <x v="12"/>
    <x v="8"/>
    <b v="0"/>
    <s v="Thursday"/>
    <s v="Normal"/>
    <n v="0.14000000000000001"/>
    <n v="0.13639999999999999"/>
    <n v="0.5"/>
    <x v="5"/>
    <x v="2"/>
    <n v="197"/>
    <x v="121"/>
    <x v="1"/>
    <x v="1"/>
    <x v="0"/>
  </r>
  <r>
    <n v="287"/>
    <x v="12"/>
    <x v="9"/>
    <b v="0"/>
    <s v="Thursday"/>
    <s v="Normal"/>
    <n v="0.14000000000000001"/>
    <n v="0.1212"/>
    <n v="0.5"/>
    <x v="9"/>
    <x v="4"/>
    <n v="137"/>
    <x v="119"/>
    <x v="1"/>
    <x v="1"/>
    <x v="0"/>
  </r>
  <r>
    <n v="288"/>
    <x v="12"/>
    <x v="10"/>
    <b v="0"/>
    <s v="Thursday"/>
    <s v="Yellow Alert"/>
    <n v="0.16"/>
    <n v="0.13639999999999999"/>
    <n v="0.5"/>
    <x v="11"/>
    <x v="4"/>
    <n v="36"/>
    <x v="103"/>
    <x v="1"/>
    <x v="0"/>
    <x v="1"/>
  </r>
  <r>
    <n v="289"/>
    <x v="12"/>
    <x v="11"/>
    <b v="0"/>
    <s v="Thursday"/>
    <s v="Yellow Alert"/>
    <n v="0.2"/>
    <n v="0.16669999999999999"/>
    <n v="0.44"/>
    <x v="10"/>
    <x v="17"/>
    <n v="33"/>
    <x v="18"/>
    <x v="1"/>
    <x v="0"/>
    <x v="1"/>
  </r>
  <r>
    <n v="290"/>
    <x v="12"/>
    <x v="12"/>
    <b v="0"/>
    <s v="Thursday"/>
    <s v="Normal"/>
    <n v="0.2"/>
    <n v="0.16669999999999999"/>
    <n v="0.44"/>
    <x v="12"/>
    <x v="0"/>
    <n v="49"/>
    <x v="46"/>
    <x v="1"/>
    <x v="0"/>
    <x v="0"/>
  </r>
  <r>
    <n v="291"/>
    <x v="12"/>
    <x v="13"/>
    <b v="0"/>
    <s v="Thursday"/>
    <s v="Normal"/>
    <n v="0.22"/>
    <n v="0.19700000000000001"/>
    <n v="0.41"/>
    <x v="10"/>
    <x v="4"/>
    <n v="81"/>
    <x v="56"/>
    <x v="1"/>
    <x v="0"/>
    <x v="0"/>
  </r>
  <r>
    <n v="292"/>
    <x v="12"/>
    <x v="14"/>
    <b v="0"/>
    <s v="Thursday"/>
    <s v="Normal"/>
    <n v="0.22"/>
    <n v="0.19700000000000001"/>
    <n v="0.41"/>
    <x v="13"/>
    <x v="0"/>
    <n v="39"/>
    <x v="51"/>
    <x v="1"/>
    <x v="0"/>
    <x v="0"/>
  </r>
  <r>
    <n v="293"/>
    <x v="12"/>
    <x v="15"/>
    <b v="0"/>
    <s v="Thursday"/>
    <s v="Normal"/>
    <n v="0.24"/>
    <n v="0.21210000000000001"/>
    <n v="0.38"/>
    <x v="4"/>
    <x v="2"/>
    <n v="55"/>
    <x v="122"/>
    <x v="1"/>
    <x v="0"/>
    <x v="0"/>
  </r>
  <r>
    <n v="294"/>
    <x v="12"/>
    <x v="16"/>
    <b v="0"/>
    <s v="Thursday"/>
    <s v="Normal"/>
    <n v="0.24"/>
    <n v="0.21210000000000001"/>
    <n v="0.38"/>
    <x v="11"/>
    <x v="4"/>
    <n v="76"/>
    <x v="53"/>
    <x v="1"/>
    <x v="0"/>
    <x v="0"/>
  </r>
  <r>
    <n v="295"/>
    <x v="12"/>
    <x v="17"/>
    <b v="0"/>
    <s v="Thursday"/>
    <s v="Normal"/>
    <n v="0.2"/>
    <n v="0.18179999999999999"/>
    <n v="0.4"/>
    <x v="3"/>
    <x v="17"/>
    <n v="158"/>
    <x v="123"/>
    <x v="1"/>
    <x v="2"/>
    <x v="0"/>
  </r>
  <r>
    <n v="296"/>
    <x v="12"/>
    <x v="18"/>
    <b v="0"/>
    <s v="Thursday"/>
    <s v="Normal"/>
    <n v="0.2"/>
    <n v="0.18179999999999999"/>
    <n v="0.4"/>
    <x v="9"/>
    <x v="0"/>
    <n v="141"/>
    <x v="124"/>
    <x v="1"/>
    <x v="2"/>
    <x v="0"/>
  </r>
  <r>
    <n v="297"/>
    <x v="12"/>
    <x v="19"/>
    <b v="0"/>
    <s v="Thursday"/>
    <s v="Normal"/>
    <n v="0.16"/>
    <n v="0.1515"/>
    <n v="0.47"/>
    <x v="2"/>
    <x v="5"/>
    <n v="98"/>
    <x v="111"/>
    <x v="1"/>
    <x v="2"/>
    <x v="0"/>
  </r>
  <r>
    <n v="298"/>
    <x v="12"/>
    <x v="20"/>
    <b v="0"/>
    <s v="Thursday"/>
    <s v="Normal"/>
    <n v="0.16"/>
    <n v="0.1515"/>
    <n v="0.47"/>
    <x v="6"/>
    <x v="3"/>
    <n v="64"/>
    <x v="37"/>
    <x v="1"/>
    <x v="0"/>
    <x v="0"/>
  </r>
  <r>
    <n v="299"/>
    <x v="12"/>
    <x v="21"/>
    <b v="0"/>
    <s v="Thursday"/>
    <s v="Normal"/>
    <n v="0.14000000000000001"/>
    <n v="0.1212"/>
    <n v="0.46"/>
    <x v="4"/>
    <x v="3"/>
    <n v="40"/>
    <x v="1"/>
    <x v="1"/>
    <x v="0"/>
    <x v="0"/>
  </r>
  <r>
    <n v="300"/>
    <x v="12"/>
    <x v="22"/>
    <b v="0"/>
    <s v="Thursday"/>
    <s v="Normal"/>
    <n v="0.14000000000000001"/>
    <n v="0.1212"/>
    <n v="0.46"/>
    <x v="9"/>
    <x v="3"/>
    <n v="30"/>
    <x v="33"/>
    <x v="1"/>
    <x v="0"/>
    <x v="0"/>
  </r>
  <r>
    <n v="301"/>
    <x v="12"/>
    <x v="23"/>
    <b v="0"/>
    <s v="Thursday"/>
    <s v="Normal"/>
    <n v="0.12"/>
    <n v="0.13639999999999999"/>
    <n v="0.5"/>
    <x v="5"/>
    <x v="5"/>
    <n v="14"/>
    <x v="93"/>
    <x v="1"/>
    <x v="0"/>
    <x v="0"/>
  </r>
  <r>
    <n v="302"/>
    <x v="13"/>
    <x v="0"/>
    <b v="0"/>
    <s v="Friday"/>
    <s v="Normal"/>
    <n v="0.12"/>
    <n v="0.13639999999999999"/>
    <n v="0.5"/>
    <x v="5"/>
    <x v="3"/>
    <n v="14"/>
    <x v="8"/>
    <x v="1"/>
    <x v="0"/>
    <x v="0"/>
  </r>
  <r>
    <n v="303"/>
    <x v="13"/>
    <x v="1"/>
    <b v="0"/>
    <s v="Friday"/>
    <s v="Normal"/>
    <n v="0.1"/>
    <n v="0.1212"/>
    <n v="0.54"/>
    <x v="8"/>
    <x v="3"/>
    <n v="5"/>
    <x v="36"/>
    <x v="1"/>
    <x v="0"/>
    <x v="0"/>
  </r>
  <r>
    <n v="304"/>
    <x v="13"/>
    <x v="2"/>
    <b v="0"/>
    <s v="Friday"/>
    <s v="Normal"/>
    <n v="0.1"/>
    <n v="0.1212"/>
    <n v="0.54"/>
    <x v="7"/>
    <x v="3"/>
    <n v="1"/>
    <x v="4"/>
    <x v="1"/>
    <x v="0"/>
    <x v="0"/>
  </r>
  <r>
    <n v="305"/>
    <x v="13"/>
    <x v="3"/>
    <b v="0"/>
    <s v="Friday"/>
    <s v="Normal"/>
    <n v="0.1"/>
    <n v="0.13639999999999999"/>
    <n v="0.54"/>
    <x v="14"/>
    <x v="3"/>
    <n v="1"/>
    <x v="4"/>
    <x v="1"/>
    <x v="0"/>
    <x v="0"/>
  </r>
  <r>
    <n v="306"/>
    <x v="13"/>
    <x v="5"/>
    <b v="0"/>
    <s v="Friday"/>
    <s v="Normal"/>
    <n v="0.1"/>
    <n v="0.13639999999999999"/>
    <n v="0.54"/>
    <x v="1"/>
    <x v="3"/>
    <n v="8"/>
    <x v="7"/>
    <x v="1"/>
    <x v="0"/>
    <x v="0"/>
  </r>
  <r>
    <n v="307"/>
    <x v="13"/>
    <x v="6"/>
    <b v="0"/>
    <s v="Friday"/>
    <s v="Normal"/>
    <n v="0.1"/>
    <n v="0.18179999999999999"/>
    <n v="0.54"/>
    <x v="0"/>
    <x v="3"/>
    <n v="17"/>
    <x v="22"/>
    <x v="1"/>
    <x v="0"/>
    <x v="0"/>
  </r>
  <r>
    <n v="308"/>
    <x v="13"/>
    <x v="7"/>
    <b v="0"/>
    <s v="Friday"/>
    <s v="Normal"/>
    <n v="0.1"/>
    <n v="0.1212"/>
    <n v="0.74"/>
    <x v="8"/>
    <x v="3"/>
    <n v="70"/>
    <x v="27"/>
    <x v="1"/>
    <x v="1"/>
    <x v="0"/>
  </r>
  <r>
    <n v="309"/>
    <x v="13"/>
    <x v="8"/>
    <b v="0"/>
    <s v="Friday"/>
    <s v="Normal"/>
    <n v="0.12"/>
    <n v="0.16669999999999999"/>
    <n v="0.68"/>
    <x v="0"/>
    <x v="4"/>
    <n v="156"/>
    <x v="125"/>
    <x v="1"/>
    <x v="1"/>
    <x v="0"/>
  </r>
  <r>
    <n v="310"/>
    <x v="13"/>
    <x v="9"/>
    <b v="0"/>
    <s v="Friday"/>
    <s v="Normal"/>
    <n v="0.14000000000000001"/>
    <n v="0.1515"/>
    <n v="0.69"/>
    <x v="7"/>
    <x v="3"/>
    <n v="117"/>
    <x v="126"/>
    <x v="1"/>
    <x v="1"/>
    <x v="0"/>
  </r>
  <r>
    <n v="311"/>
    <x v="13"/>
    <x v="10"/>
    <b v="0"/>
    <s v="Friday"/>
    <s v="Normal"/>
    <n v="0.18"/>
    <n v="0.18179999999999999"/>
    <n v="0.55000000000000004"/>
    <x v="5"/>
    <x v="17"/>
    <n v="40"/>
    <x v="40"/>
    <x v="1"/>
    <x v="0"/>
    <x v="0"/>
  </r>
  <r>
    <n v="312"/>
    <x v="13"/>
    <x v="11"/>
    <b v="0"/>
    <s v="Friday"/>
    <s v="Normal"/>
    <n v="0.18"/>
    <n v="0.16669999999999999"/>
    <n v="0.51"/>
    <x v="3"/>
    <x v="15"/>
    <n v="47"/>
    <x v="26"/>
    <x v="1"/>
    <x v="0"/>
    <x v="0"/>
  </r>
  <r>
    <n v="313"/>
    <x v="13"/>
    <x v="12"/>
    <b v="0"/>
    <s v="Friday"/>
    <s v="Normal"/>
    <n v="0.2"/>
    <n v="0.19700000000000001"/>
    <n v="0.44"/>
    <x v="2"/>
    <x v="4"/>
    <n v="59"/>
    <x v="42"/>
    <x v="1"/>
    <x v="0"/>
    <x v="0"/>
  </r>
  <r>
    <n v="314"/>
    <x v="13"/>
    <x v="13"/>
    <b v="0"/>
    <s v="Friday"/>
    <s v="Normal"/>
    <n v="0.22"/>
    <n v="0.19700000000000001"/>
    <n v="0.37"/>
    <x v="13"/>
    <x v="17"/>
    <n v="73"/>
    <x v="43"/>
    <x v="1"/>
    <x v="0"/>
    <x v="0"/>
  </r>
  <r>
    <n v="315"/>
    <x v="13"/>
    <x v="14"/>
    <b v="0"/>
    <s v="Friday"/>
    <s v="Normal"/>
    <n v="0.22"/>
    <n v="0.21210000000000001"/>
    <n v="0.41"/>
    <x v="3"/>
    <x v="2"/>
    <n v="59"/>
    <x v="37"/>
    <x v="1"/>
    <x v="0"/>
    <x v="0"/>
  </r>
  <r>
    <n v="316"/>
    <x v="13"/>
    <x v="15"/>
    <b v="0"/>
    <s v="Friday"/>
    <s v="Normal"/>
    <n v="0.24"/>
    <n v="0.2424"/>
    <n v="0.38"/>
    <x v="8"/>
    <x v="14"/>
    <n v="59"/>
    <x v="118"/>
    <x v="1"/>
    <x v="0"/>
    <x v="0"/>
  </r>
  <r>
    <n v="317"/>
    <x v="13"/>
    <x v="16"/>
    <b v="0"/>
    <s v="Friday"/>
    <s v="Normal"/>
    <n v="0.22"/>
    <n v="0.2424"/>
    <n v="0.41"/>
    <x v="14"/>
    <x v="0"/>
    <n v="87"/>
    <x v="127"/>
    <x v="1"/>
    <x v="0"/>
    <x v="0"/>
  </r>
  <r>
    <n v="318"/>
    <x v="13"/>
    <x v="17"/>
    <b v="0"/>
    <s v="Friday"/>
    <s v="Normal"/>
    <n v="0.22"/>
    <n v="0.2273"/>
    <n v="0.41"/>
    <x v="8"/>
    <x v="17"/>
    <n v="155"/>
    <x v="128"/>
    <x v="1"/>
    <x v="2"/>
    <x v="0"/>
  </r>
  <r>
    <n v="319"/>
    <x v="13"/>
    <x v="18"/>
    <b v="0"/>
    <s v="Friday"/>
    <s v="Normal"/>
    <n v="0.2"/>
    <n v="0.2576"/>
    <n v="0.47"/>
    <x v="0"/>
    <x v="2"/>
    <n v="134"/>
    <x v="119"/>
    <x v="1"/>
    <x v="2"/>
    <x v="0"/>
  </r>
  <r>
    <n v="320"/>
    <x v="13"/>
    <x v="19"/>
    <b v="0"/>
    <s v="Friday"/>
    <s v="Normal"/>
    <n v="0.16"/>
    <n v="0.19700000000000001"/>
    <n v="0.59"/>
    <x v="1"/>
    <x v="0"/>
    <n v="89"/>
    <x v="101"/>
    <x v="1"/>
    <x v="2"/>
    <x v="0"/>
  </r>
  <r>
    <n v="321"/>
    <x v="13"/>
    <x v="20"/>
    <b v="0"/>
    <s v="Friday"/>
    <s v="Normal"/>
    <n v="0.18"/>
    <n v="0.2424"/>
    <n v="0.59"/>
    <x v="0"/>
    <x v="3"/>
    <n v="68"/>
    <x v="118"/>
    <x v="1"/>
    <x v="0"/>
    <x v="0"/>
  </r>
  <r>
    <n v="322"/>
    <x v="13"/>
    <x v="21"/>
    <b v="0"/>
    <s v="Friday"/>
    <s v="Normal"/>
    <n v="0.16"/>
    <n v="0.2273"/>
    <n v="0.69"/>
    <x v="0"/>
    <x v="17"/>
    <n v="48"/>
    <x v="46"/>
    <x v="1"/>
    <x v="0"/>
    <x v="0"/>
  </r>
  <r>
    <n v="323"/>
    <x v="13"/>
    <x v="22"/>
    <b v="0"/>
    <s v="Friday"/>
    <s v="Yellow Alert"/>
    <n v="0.16"/>
    <n v="0.2273"/>
    <n v="0.69"/>
    <x v="0"/>
    <x v="4"/>
    <n v="34"/>
    <x v="9"/>
    <x v="1"/>
    <x v="0"/>
    <x v="1"/>
  </r>
  <r>
    <n v="324"/>
    <x v="13"/>
    <x v="23"/>
    <b v="0"/>
    <s v="Friday"/>
    <s v="Yellow Alert"/>
    <n v="0.18"/>
    <n v="0.2424"/>
    <n v="0.55000000000000004"/>
    <x v="0"/>
    <x v="5"/>
    <n v="26"/>
    <x v="110"/>
    <x v="1"/>
    <x v="0"/>
    <x v="1"/>
  </r>
  <r>
    <n v="325"/>
    <x v="14"/>
    <x v="0"/>
    <b v="0"/>
    <s v="Saturday"/>
    <s v="Normal"/>
    <n v="0.18"/>
    <n v="0.2424"/>
    <n v="0.55000000000000004"/>
    <x v="0"/>
    <x v="0"/>
    <n v="25"/>
    <x v="20"/>
    <x v="0"/>
    <x v="0"/>
    <x v="0"/>
  </r>
  <r>
    <n v="326"/>
    <x v="14"/>
    <x v="1"/>
    <b v="0"/>
    <s v="Saturday"/>
    <s v="Yellow Alert"/>
    <n v="0.16"/>
    <n v="0.19700000000000001"/>
    <n v="0.59"/>
    <x v="1"/>
    <x v="4"/>
    <n v="18"/>
    <x v="25"/>
    <x v="0"/>
    <x v="0"/>
    <x v="1"/>
  </r>
  <r>
    <n v="327"/>
    <x v="14"/>
    <x v="2"/>
    <b v="0"/>
    <s v="Saturday"/>
    <s v="Yellow Alert"/>
    <n v="0.16"/>
    <n v="0.19700000000000001"/>
    <n v="0.59"/>
    <x v="1"/>
    <x v="3"/>
    <n v="12"/>
    <x v="47"/>
    <x v="0"/>
    <x v="0"/>
    <x v="1"/>
  </r>
  <r>
    <n v="328"/>
    <x v="14"/>
    <x v="3"/>
    <b v="0"/>
    <s v="Saturday"/>
    <s v="Yellow Alert"/>
    <n v="0.16"/>
    <n v="0.2273"/>
    <n v="0.59"/>
    <x v="0"/>
    <x v="5"/>
    <n v="7"/>
    <x v="7"/>
    <x v="0"/>
    <x v="0"/>
    <x v="1"/>
  </r>
  <r>
    <n v="329"/>
    <x v="14"/>
    <x v="4"/>
    <b v="0"/>
    <s v="Saturday"/>
    <s v="Yellow Alert"/>
    <n v="0.16"/>
    <n v="0.2273"/>
    <n v="0.59"/>
    <x v="0"/>
    <x v="3"/>
    <n v="5"/>
    <x v="36"/>
    <x v="0"/>
    <x v="0"/>
    <x v="1"/>
  </r>
  <r>
    <n v="330"/>
    <x v="14"/>
    <x v="5"/>
    <b v="0"/>
    <s v="Saturday"/>
    <s v="Normal"/>
    <n v="0.16"/>
    <n v="0.2273"/>
    <n v="0.59"/>
    <x v="0"/>
    <x v="3"/>
    <n v="1"/>
    <x v="4"/>
    <x v="0"/>
    <x v="0"/>
    <x v="0"/>
  </r>
  <r>
    <n v="331"/>
    <x v="14"/>
    <x v="6"/>
    <b v="0"/>
    <s v="Saturday"/>
    <s v="Normal"/>
    <n v="0.14000000000000001"/>
    <n v="0.16669999999999999"/>
    <n v="0.63"/>
    <x v="14"/>
    <x v="5"/>
    <n v="2"/>
    <x v="6"/>
    <x v="0"/>
    <x v="0"/>
    <x v="0"/>
  </r>
  <r>
    <n v="332"/>
    <x v="14"/>
    <x v="7"/>
    <b v="0"/>
    <s v="Saturday"/>
    <s v="Normal"/>
    <n v="0.14000000000000001"/>
    <n v="0.21210000000000001"/>
    <n v="0.63"/>
    <x v="0"/>
    <x v="5"/>
    <n v="9"/>
    <x v="98"/>
    <x v="0"/>
    <x v="1"/>
    <x v="0"/>
  </r>
  <r>
    <n v="333"/>
    <x v="14"/>
    <x v="8"/>
    <b v="0"/>
    <s v="Saturday"/>
    <s v="Normal"/>
    <n v="0.14000000000000001"/>
    <n v="0.1515"/>
    <n v="0.63"/>
    <x v="7"/>
    <x v="5"/>
    <n v="22"/>
    <x v="84"/>
    <x v="0"/>
    <x v="1"/>
    <x v="0"/>
  </r>
  <r>
    <n v="334"/>
    <x v="14"/>
    <x v="9"/>
    <b v="0"/>
    <s v="Saturday"/>
    <s v="Normal"/>
    <n v="0.16"/>
    <n v="0.18179999999999999"/>
    <n v="0.64"/>
    <x v="7"/>
    <x v="4"/>
    <n v="31"/>
    <x v="63"/>
    <x v="0"/>
    <x v="1"/>
    <x v="0"/>
  </r>
  <r>
    <n v="335"/>
    <x v="14"/>
    <x v="10"/>
    <b v="0"/>
    <s v="Saturday"/>
    <s v="Normal"/>
    <n v="0.18"/>
    <n v="0.19700000000000001"/>
    <n v="0.59"/>
    <x v="8"/>
    <x v="4"/>
    <n v="57"/>
    <x v="29"/>
    <x v="0"/>
    <x v="0"/>
    <x v="0"/>
  </r>
  <r>
    <n v="336"/>
    <x v="14"/>
    <x v="11"/>
    <b v="0"/>
    <s v="Saturday"/>
    <s v="Normal"/>
    <n v="0.2"/>
    <n v="0.19700000000000001"/>
    <n v="0.55000000000000004"/>
    <x v="6"/>
    <x v="25"/>
    <n v="54"/>
    <x v="44"/>
    <x v="0"/>
    <x v="0"/>
    <x v="0"/>
  </r>
  <r>
    <n v="337"/>
    <x v="14"/>
    <x v="12"/>
    <b v="0"/>
    <s v="Saturday"/>
    <s v="Normal"/>
    <n v="0.24"/>
    <n v="0.2273"/>
    <n v="0.48"/>
    <x v="6"/>
    <x v="13"/>
    <n v="74"/>
    <x v="70"/>
    <x v="0"/>
    <x v="0"/>
    <x v="0"/>
  </r>
  <r>
    <n v="338"/>
    <x v="14"/>
    <x v="13"/>
    <b v="0"/>
    <s v="Saturday"/>
    <s v="Normal"/>
    <n v="0.28000000000000003"/>
    <n v="0.2576"/>
    <n v="0.38"/>
    <x v="4"/>
    <x v="27"/>
    <n v="80"/>
    <x v="129"/>
    <x v="0"/>
    <x v="0"/>
    <x v="0"/>
  </r>
  <r>
    <n v="339"/>
    <x v="14"/>
    <x v="14"/>
    <b v="0"/>
    <s v="Saturday"/>
    <s v="Normal"/>
    <n v="0.3"/>
    <n v="0.28789999999999999"/>
    <n v="0.39"/>
    <x v="3"/>
    <x v="7"/>
    <n v="92"/>
    <x v="130"/>
    <x v="0"/>
    <x v="0"/>
    <x v="0"/>
  </r>
  <r>
    <n v="340"/>
    <x v="14"/>
    <x v="15"/>
    <b v="0"/>
    <s v="Saturday"/>
    <s v="Yellow Alert"/>
    <n v="0.32"/>
    <n v="0.31819999999999998"/>
    <n v="0.36"/>
    <x v="5"/>
    <x v="27"/>
    <n v="108"/>
    <x v="131"/>
    <x v="0"/>
    <x v="0"/>
    <x v="1"/>
  </r>
  <r>
    <n v="341"/>
    <x v="14"/>
    <x v="16"/>
    <b v="0"/>
    <s v="Saturday"/>
    <s v="Yellow Alert"/>
    <n v="0.34"/>
    <n v="0.33329999999999999"/>
    <n v="0.34"/>
    <x v="5"/>
    <x v="28"/>
    <n v="95"/>
    <x v="116"/>
    <x v="0"/>
    <x v="0"/>
    <x v="1"/>
  </r>
  <r>
    <n v="342"/>
    <x v="14"/>
    <x v="17"/>
    <b v="0"/>
    <s v="Saturday"/>
    <s v="Yellow Alert"/>
    <n v="0.32"/>
    <n v="0.30299999999999999"/>
    <n v="0.36"/>
    <x v="3"/>
    <x v="8"/>
    <n v="54"/>
    <x v="56"/>
    <x v="0"/>
    <x v="2"/>
    <x v="1"/>
  </r>
  <r>
    <n v="343"/>
    <x v="14"/>
    <x v="18"/>
    <b v="0"/>
    <s v="Saturday"/>
    <s v="Yellow Alert"/>
    <n v="0.3"/>
    <n v="0.28789999999999999"/>
    <n v="0.45"/>
    <x v="2"/>
    <x v="13"/>
    <n v="69"/>
    <x v="11"/>
    <x v="0"/>
    <x v="2"/>
    <x v="1"/>
  </r>
  <r>
    <n v="344"/>
    <x v="14"/>
    <x v="19"/>
    <b v="0"/>
    <s v="Saturday"/>
    <s v="Yellow Alert"/>
    <n v="0.32"/>
    <n v="0.30299999999999999"/>
    <n v="0.39"/>
    <x v="2"/>
    <x v="24"/>
    <n v="60"/>
    <x v="30"/>
    <x v="0"/>
    <x v="2"/>
    <x v="1"/>
  </r>
  <r>
    <n v="345"/>
    <x v="14"/>
    <x v="20"/>
    <b v="0"/>
    <s v="Saturday"/>
    <s v="Yellow Alert"/>
    <n v="0.32"/>
    <n v="0.30299999999999999"/>
    <n v="0.39"/>
    <x v="2"/>
    <x v="15"/>
    <n v="35"/>
    <x v="102"/>
    <x v="0"/>
    <x v="0"/>
    <x v="1"/>
  </r>
  <r>
    <n v="346"/>
    <x v="14"/>
    <x v="21"/>
    <b v="0"/>
    <s v="Saturday"/>
    <s v="Yellow Alert"/>
    <n v="0.32"/>
    <n v="0.30299999999999999"/>
    <n v="0.39"/>
    <x v="6"/>
    <x v="15"/>
    <n v="51"/>
    <x v="52"/>
    <x v="0"/>
    <x v="0"/>
    <x v="1"/>
  </r>
  <r>
    <n v="347"/>
    <x v="14"/>
    <x v="22"/>
    <b v="0"/>
    <s v="Saturday"/>
    <s v="Yellow Alert"/>
    <n v="0.3"/>
    <n v="0.31819999999999998"/>
    <n v="0.42"/>
    <x v="14"/>
    <x v="3"/>
    <n v="26"/>
    <x v="132"/>
    <x v="0"/>
    <x v="0"/>
    <x v="1"/>
  </r>
  <r>
    <n v="348"/>
    <x v="14"/>
    <x v="23"/>
    <b v="0"/>
    <s v="Saturday"/>
    <s v="Normal"/>
    <n v="0.3"/>
    <n v="0.28789999999999999"/>
    <n v="0.45"/>
    <x v="3"/>
    <x v="2"/>
    <n v="39"/>
    <x v="40"/>
    <x v="0"/>
    <x v="0"/>
    <x v="0"/>
  </r>
  <r>
    <n v="349"/>
    <x v="15"/>
    <x v="0"/>
    <b v="0"/>
    <s v="Sunday"/>
    <s v="Normal"/>
    <n v="0.26"/>
    <n v="0.30299999999999999"/>
    <n v="0.56000000000000005"/>
    <x v="0"/>
    <x v="15"/>
    <n v="33"/>
    <x v="21"/>
    <x v="0"/>
    <x v="0"/>
    <x v="0"/>
  </r>
  <r>
    <n v="350"/>
    <x v="15"/>
    <x v="1"/>
    <b v="0"/>
    <s v="Sunday"/>
    <s v="Normal"/>
    <n v="0.26"/>
    <n v="0.2727"/>
    <n v="0.56000000000000005"/>
    <x v="7"/>
    <x v="17"/>
    <n v="19"/>
    <x v="84"/>
    <x v="0"/>
    <x v="0"/>
    <x v="0"/>
  </r>
  <r>
    <n v="351"/>
    <x v="15"/>
    <x v="2"/>
    <b v="0"/>
    <s v="Sunday"/>
    <s v="Normal"/>
    <n v="0.26"/>
    <n v="0.28789999999999999"/>
    <n v="0.56000000000000005"/>
    <x v="1"/>
    <x v="0"/>
    <n v="13"/>
    <x v="0"/>
    <x v="0"/>
    <x v="0"/>
    <x v="0"/>
  </r>
  <r>
    <n v="352"/>
    <x v="15"/>
    <x v="3"/>
    <b v="0"/>
    <s v="Sunday"/>
    <s v="Normal"/>
    <n v="0.22"/>
    <n v="0.2727"/>
    <n v="0.69"/>
    <x v="0"/>
    <x v="14"/>
    <n v="6"/>
    <x v="93"/>
    <x v="0"/>
    <x v="0"/>
    <x v="0"/>
  </r>
  <r>
    <n v="353"/>
    <x v="15"/>
    <x v="4"/>
    <b v="0"/>
    <s v="Sunday"/>
    <s v="Normal"/>
    <n v="0.26"/>
    <n v="0.2576"/>
    <n v="0.56000000000000005"/>
    <x v="8"/>
    <x v="3"/>
    <n v="1"/>
    <x v="4"/>
    <x v="0"/>
    <x v="0"/>
    <x v="0"/>
  </r>
  <r>
    <n v="354"/>
    <x v="15"/>
    <x v="5"/>
    <b v="0"/>
    <s v="Sunday"/>
    <s v="Yellow Alert"/>
    <n v="0.26"/>
    <n v="0.2576"/>
    <n v="0.56000000000000005"/>
    <x v="8"/>
    <x v="5"/>
    <n v="1"/>
    <x v="5"/>
    <x v="0"/>
    <x v="0"/>
    <x v="1"/>
  </r>
  <r>
    <n v="355"/>
    <x v="15"/>
    <x v="6"/>
    <b v="0"/>
    <s v="Sunday"/>
    <s v="Yellow Alert"/>
    <n v="0.26"/>
    <n v="0.2576"/>
    <n v="0.56000000000000005"/>
    <x v="8"/>
    <x v="3"/>
    <n v="1"/>
    <x v="4"/>
    <x v="0"/>
    <x v="0"/>
    <x v="1"/>
  </r>
  <r>
    <n v="356"/>
    <x v="15"/>
    <x v="7"/>
    <b v="0"/>
    <s v="Sunday"/>
    <s v="Yellow Alert"/>
    <n v="0.24"/>
    <n v="0.21210000000000001"/>
    <n v="0.56000000000000005"/>
    <x v="4"/>
    <x v="3"/>
    <n v="3"/>
    <x v="6"/>
    <x v="0"/>
    <x v="1"/>
    <x v="1"/>
  </r>
  <r>
    <n v="357"/>
    <x v="15"/>
    <x v="8"/>
    <b v="0"/>
    <s v="Sunday"/>
    <s v="Normal"/>
    <n v="0.22"/>
    <n v="0.21210000000000001"/>
    <n v="0.55000000000000004"/>
    <x v="3"/>
    <x v="3"/>
    <n v="18"/>
    <x v="109"/>
    <x v="0"/>
    <x v="1"/>
    <x v="0"/>
  </r>
  <r>
    <n v="358"/>
    <x v="15"/>
    <x v="9"/>
    <b v="0"/>
    <s v="Sunday"/>
    <s v="Normal"/>
    <n v="0.22"/>
    <n v="0.21210000000000001"/>
    <n v="0.51"/>
    <x v="2"/>
    <x v="0"/>
    <n v="29"/>
    <x v="2"/>
    <x v="0"/>
    <x v="1"/>
    <x v="0"/>
  </r>
  <r>
    <n v="359"/>
    <x v="15"/>
    <x v="10"/>
    <b v="0"/>
    <s v="Sunday"/>
    <s v="Normal"/>
    <n v="0.22"/>
    <n v="0.21210000000000001"/>
    <n v="0.51"/>
    <x v="3"/>
    <x v="1"/>
    <n v="71"/>
    <x v="67"/>
    <x v="0"/>
    <x v="0"/>
    <x v="0"/>
  </r>
  <r>
    <n v="360"/>
    <x v="15"/>
    <x v="11"/>
    <b v="0"/>
    <s v="Sunday"/>
    <s v="Normal"/>
    <n v="0.24"/>
    <n v="0.2273"/>
    <n v="0.44"/>
    <x v="2"/>
    <x v="29"/>
    <n v="70"/>
    <x v="15"/>
    <x v="0"/>
    <x v="0"/>
    <x v="0"/>
  </r>
  <r>
    <n v="361"/>
    <x v="15"/>
    <x v="12"/>
    <b v="0"/>
    <s v="Sunday"/>
    <s v="Normal"/>
    <n v="0.24"/>
    <n v="0.21210000000000001"/>
    <n v="0.41"/>
    <x v="3"/>
    <x v="8"/>
    <n v="75"/>
    <x v="133"/>
    <x v="0"/>
    <x v="0"/>
    <x v="0"/>
  </r>
  <r>
    <n v="362"/>
    <x v="15"/>
    <x v="13"/>
    <b v="0"/>
    <s v="Sunday"/>
    <s v="Normal"/>
    <n v="0.26"/>
    <n v="0.2273"/>
    <n v="0.35"/>
    <x v="4"/>
    <x v="29"/>
    <n v="95"/>
    <x v="130"/>
    <x v="0"/>
    <x v="0"/>
    <x v="0"/>
  </r>
  <r>
    <n v="363"/>
    <x v="15"/>
    <x v="14"/>
    <b v="0"/>
    <s v="Sunday"/>
    <s v="Normal"/>
    <n v="0.28000000000000003"/>
    <n v="0.2727"/>
    <n v="0.36"/>
    <x v="2"/>
    <x v="30"/>
    <n v="69"/>
    <x v="134"/>
    <x v="0"/>
    <x v="0"/>
    <x v="0"/>
  </r>
  <r>
    <n v="364"/>
    <x v="15"/>
    <x v="15"/>
    <b v="0"/>
    <s v="Sunday"/>
    <s v="Normal"/>
    <n v="0.26"/>
    <n v="0.2424"/>
    <n v="0.38"/>
    <x v="2"/>
    <x v="10"/>
    <n v="78"/>
    <x v="135"/>
    <x v="0"/>
    <x v="0"/>
    <x v="0"/>
  </r>
  <r>
    <n v="365"/>
    <x v="15"/>
    <x v="16"/>
    <b v="0"/>
    <s v="Sunday"/>
    <s v="Normal"/>
    <n v="0.24"/>
    <n v="0.2273"/>
    <n v="0.38"/>
    <x v="6"/>
    <x v="30"/>
    <n v="77"/>
    <x v="111"/>
    <x v="0"/>
    <x v="0"/>
    <x v="0"/>
  </r>
  <r>
    <n v="366"/>
    <x v="15"/>
    <x v="17"/>
    <b v="0"/>
    <s v="Sunday"/>
    <s v="Normal"/>
    <n v="0.22"/>
    <n v="0.21210000000000001"/>
    <n v="0.37"/>
    <x v="2"/>
    <x v="29"/>
    <n v="82"/>
    <x v="136"/>
    <x v="0"/>
    <x v="2"/>
    <x v="0"/>
  </r>
  <r>
    <n v="367"/>
    <x v="15"/>
    <x v="18"/>
    <b v="0"/>
    <s v="Sunday"/>
    <s v="Normal"/>
    <n v="0.2"/>
    <n v="0.21210000000000001"/>
    <n v="0.4"/>
    <x v="8"/>
    <x v="16"/>
    <n v="56"/>
    <x v="16"/>
    <x v="0"/>
    <x v="2"/>
    <x v="0"/>
  </r>
  <r>
    <n v="368"/>
    <x v="15"/>
    <x v="19"/>
    <b v="0"/>
    <s v="Sunday"/>
    <s v="Normal"/>
    <n v="0.18"/>
    <n v="0.19700000000000001"/>
    <n v="0.47"/>
    <x v="7"/>
    <x v="24"/>
    <n v="47"/>
    <x v="42"/>
    <x v="0"/>
    <x v="2"/>
    <x v="0"/>
  </r>
  <r>
    <n v="369"/>
    <x v="15"/>
    <x v="20"/>
    <b v="0"/>
    <s v="Sunday"/>
    <s v="Normal"/>
    <n v="0.18"/>
    <n v="0.19700000000000001"/>
    <n v="0.47"/>
    <x v="8"/>
    <x v="18"/>
    <n v="50"/>
    <x v="52"/>
    <x v="0"/>
    <x v="0"/>
    <x v="0"/>
  </r>
  <r>
    <n v="370"/>
    <x v="15"/>
    <x v="21"/>
    <b v="0"/>
    <s v="Sunday"/>
    <s v="Normal"/>
    <n v="0.18"/>
    <n v="0.19700000000000001"/>
    <n v="0.51"/>
    <x v="8"/>
    <x v="15"/>
    <n v="22"/>
    <x v="20"/>
    <x v="0"/>
    <x v="0"/>
    <x v="0"/>
  </r>
  <r>
    <n v="371"/>
    <x v="15"/>
    <x v="22"/>
    <b v="0"/>
    <s v="Sunday"/>
    <s v="Yellow Alert"/>
    <n v="0.2"/>
    <n v="0.21210000000000001"/>
    <n v="0.49"/>
    <x v="7"/>
    <x v="4"/>
    <n v="19"/>
    <x v="137"/>
    <x v="0"/>
    <x v="0"/>
    <x v="1"/>
  </r>
  <r>
    <n v="372"/>
    <x v="15"/>
    <x v="23"/>
    <b v="0"/>
    <s v="Sunday"/>
    <s v="Yellow Alert"/>
    <n v="0.2"/>
    <n v="0.2273"/>
    <n v="0.4"/>
    <x v="14"/>
    <x v="3"/>
    <n v="18"/>
    <x v="109"/>
    <x v="0"/>
    <x v="0"/>
    <x v="1"/>
  </r>
  <r>
    <n v="373"/>
    <x v="16"/>
    <x v="0"/>
    <b v="1"/>
    <s v="Monday"/>
    <s v="Yellow Alert"/>
    <n v="0.2"/>
    <n v="0.19700000000000001"/>
    <n v="0.47"/>
    <x v="6"/>
    <x v="5"/>
    <n v="16"/>
    <x v="22"/>
    <x v="1"/>
    <x v="0"/>
    <x v="1"/>
  </r>
  <r>
    <n v="374"/>
    <x v="16"/>
    <x v="1"/>
    <b v="1"/>
    <s v="Monday"/>
    <s v="Yellow Alert"/>
    <n v="0.2"/>
    <n v="0.19700000000000001"/>
    <n v="0.44"/>
    <x v="5"/>
    <x v="5"/>
    <n v="15"/>
    <x v="0"/>
    <x v="1"/>
    <x v="0"/>
    <x v="1"/>
  </r>
  <r>
    <n v="375"/>
    <x v="16"/>
    <x v="2"/>
    <b v="1"/>
    <s v="Monday"/>
    <s v="Yellow Alert"/>
    <n v="0.18"/>
    <n v="0.16669999999999999"/>
    <n v="0.43"/>
    <x v="2"/>
    <x v="3"/>
    <n v="8"/>
    <x v="7"/>
    <x v="1"/>
    <x v="0"/>
    <x v="1"/>
  </r>
  <r>
    <n v="376"/>
    <x v="16"/>
    <x v="3"/>
    <b v="1"/>
    <s v="Monday"/>
    <s v="Yellow Alert"/>
    <n v="0.18"/>
    <n v="0.18179999999999999"/>
    <n v="0.43"/>
    <x v="5"/>
    <x v="3"/>
    <n v="2"/>
    <x v="5"/>
    <x v="1"/>
    <x v="0"/>
    <x v="1"/>
  </r>
  <r>
    <n v="377"/>
    <x v="16"/>
    <x v="4"/>
    <b v="1"/>
    <s v="Monday"/>
    <s v="Yellow Alert"/>
    <n v="0.18"/>
    <n v="0.19700000000000001"/>
    <n v="0.43"/>
    <x v="7"/>
    <x v="5"/>
    <n v="2"/>
    <x v="6"/>
    <x v="1"/>
    <x v="0"/>
    <x v="1"/>
  </r>
  <r>
    <n v="378"/>
    <x v="16"/>
    <x v="5"/>
    <b v="1"/>
    <s v="Monday"/>
    <s v="Yellow Alert"/>
    <n v="0.18"/>
    <n v="0.19700000000000001"/>
    <n v="0.43"/>
    <x v="8"/>
    <x v="3"/>
    <n v="1"/>
    <x v="4"/>
    <x v="1"/>
    <x v="0"/>
    <x v="1"/>
  </r>
  <r>
    <n v="379"/>
    <x v="16"/>
    <x v="6"/>
    <b v="1"/>
    <s v="Monday"/>
    <s v="Yellow Alert"/>
    <n v="0.18"/>
    <n v="0.18179999999999999"/>
    <n v="0.43"/>
    <x v="5"/>
    <x v="3"/>
    <n v="5"/>
    <x v="36"/>
    <x v="1"/>
    <x v="0"/>
    <x v="1"/>
  </r>
  <r>
    <n v="380"/>
    <x v="16"/>
    <x v="7"/>
    <b v="1"/>
    <s v="Monday"/>
    <s v="Yellow Alert"/>
    <n v="0.16"/>
    <n v="0.18179999999999999"/>
    <n v="0.5"/>
    <x v="7"/>
    <x v="17"/>
    <n v="9"/>
    <x v="3"/>
    <x v="1"/>
    <x v="1"/>
    <x v="1"/>
  </r>
  <r>
    <n v="381"/>
    <x v="16"/>
    <x v="8"/>
    <b v="1"/>
    <s v="Monday"/>
    <s v="Yellow Alert"/>
    <n v="0.16"/>
    <n v="0.1515"/>
    <n v="0.47"/>
    <x v="6"/>
    <x v="0"/>
    <n v="30"/>
    <x v="63"/>
    <x v="1"/>
    <x v="1"/>
    <x v="1"/>
  </r>
  <r>
    <n v="382"/>
    <x v="16"/>
    <x v="9"/>
    <b v="1"/>
    <s v="Monday"/>
    <s v="Yellow Alert"/>
    <n v="0.16"/>
    <n v="0.1515"/>
    <n v="0.47"/>
    <x v="6"/>
    <x v="1"/>
    <n v="39"/>
    <x v="105"/>
    <x v="1"/>
    <x v="1"/>
    <x v="1"/>
  </r>
  <r>
    <n v="383"/>
    <x v="16"/>
    <x v="10"/>
    <b v="1"/>
    <s v="Monday"/>
    <s v="Yellow Alert"/>
    <n v="0.16"/>
    <n v="0.1515"/>
    <n v="0.5"/>
    <x v="2"/>
    <x v="18"/>
    <n v="50"/>
    <x v="52"/>
    <x v="1"/>
    <x v="0"/>
    <x v="1"/>
  </r>
  <r>
    <n v="384"/>
    <x v="16"/>
    <x v="11"/>
    <b v="1"/>
    <s v="Monday"/>
    <s v="Yellow Alert"/>
    <n v="0.16"/>
    <n v="0.1515"/>
    <n v="0.55000000000000004"/>
    <x v="5"/>
    <x v="14"/>
    <n v="55"/>
    <x v="37"/>
    <x v="1"/>
    <x v="0"/>
    <x v="1"/>
  </r>
  <r>
    <n v="385"/>
    <x v="16"/>
    <x v="12"/>
    <b v="1"/>
    <s v="Monday"/>
    <s v="Yellow Alert"/>
    <n v="0.18"/>
    <n v="0.19700000000000001"/>
    <n v="0.47"/>
    <x v="7"/>
    <x v="22"/>
    <n v="70"/>
    <x v="138"/>
    <x v="1"/>
    <x v="0"/>
    <x v="1"/>
  </r>
  <r>
    <n v="386"/>
    <x v="16"/>
    <x v="13"/>
    <b v="1"/>
    <s v="Monday"/>
    <s v="Yellow Alert"/>
    <n v="0.18"/>
    <n v="0.19700000000000001"/>
    <n v="0.47"/>
    <x v="7"/>
    <x v="23"/>
    <n v="80"/>
    <x v="15"/>
    <x v="1"/>
    <x v="0"/>
    <x v="1"/>
  </r>
  <r>
    <n v="387"/>
    <x v="16"/>
    <x v="14"/>
    <b v="1"/>
    <s v="Monday"/>
    <s v="Yellow Alert"/>
    <n v="0.18"/>
    <n v="0.21210000000000001"/>
    <n v="0.43"/>
    <x v="14"/>
    <x v="6"/>
    <n v="74"/>
    <x v="80"/>
    <x v="1"/>
    <x v="0"/>
    <x v="1"/>
  </r>
  <r>
    <n v="388"/>
    <x v="16"/>
    <x v="15"/>
    <b v="1"/>
    <s v="Monday"/>
    <s v="Yellow Alert"/>
    <n v="0.2"/>
    <n v="0.21210000000000001"/>
    <n v="0.47"/>
    <x v="8"/>
    <x v="27"/>
    <n v="72"/>
    <x v="15"/>
    <x v="1"/>
    <x v="0"/>
    <x v="1"/>
  </r>
  <r>
    <n v="389"/>
    <x v="16"/>
    <x v="16"/>
    <b v="1"/>
    <s v="Monday"/>
    <s v="Yellow Alert"/>
    <n v="0.2"/>
    <n v="0.21210000000000001"/>
    <n v="0.47"/>
    <x v="8"/>
    <x v="15"/>
    <n v="76"/>
    <x v="100"/>
    <x v="1"/>
    <x v="0"/>
    <x v="1"/>
  </r>
  <r>
    <n v="390"/>
    <x v="16"/>
    <x v="17"/>
    <b v="1"/>
    <s v="Monday"/>
    <s v="Normal"/>
    <n v="0.2"/>
    <n v="0.19700000000000001"/>
    <n v="0.51"/>
    <x v="5"/>
    <x v="17"/>
    <n v="67"/>
    <x v="68"/>
    <x v="1"/>
    <x v="2"/>
    <x v="0"/>
  </r>
  <r>
    <n v="391"/>
    <x v="16"/>
    <x v="18"/>
    <b v="1"/>
    <s v="Monday"/>
    <s v="Yellow Alert"/>
    <n v="0.18"/>
    <n v="0.16669999999999999"/>
    <n v="0.55000000000000004"/>
    <x v="2"/>
    <x v="18"/>
    <n v="85"/>
    <x v="101"/>
    <x v="1"/>
    <x v="2"/>
    <x v="1"/>
  </r>
  <r>
    <n v="392"/>
    <x v="16"/>
    <x v="19"/>
    <b v="1"/>
    <s v="Monday"/>
    <s v="Orange Alert"/>
    <n v="0.18"/>
    <n v="0.18179999999999999"/>
    <n v="0.59"/>
    <x v="5"/>
    <x v="4"/>
    <n v="58"/>
    <x v="122"/>
    <x v="1"/>
    <x v="2"/>
    <x v="2"/>
  </r>
  <r>
    <n v="393"/>
    <x v="16"/>
    <x v="20"/>
    <b v="1"/>
    <s v="Monday"/>
    <s v="Orange Alert"/>
    <n v="0.16"/>
    <n v="0.1515"/>
    <n v="0.8"/>
    <x v="5"/>
    <x v="17"/>
    <n v="29"/>
    <x v="63"/>
    <x v="1"/>
    <x v="0"/>
    <x v="2"/>
  </r>
  <r>
    <n v="394"/>
    <x v="16"/>
    <x v="21"/>
    <b v="1"/>
    <s v="Monday"/>
    <s v="Orange Alert"/>
    <n v="0.16"/>
    <n v="0.1515"/>
    <n v="0.8"/>
    <x v="5"/>
    <x v="0"/>
    <n v="24"/>
    <x v="110"/>
    <x v="1"/>
    <x v="0"/>
    <x v="2"/>
  </r>
  <r>
    <n v="395"/>
    <x v="16"/>
    <x v="22"/>
    <b v="1"/>
    <s v="Monday"/>
    <s v="Orange Alert"/>
    <n v="0.14000000000000001"/>
    <n v="0.1212"/>
    <n v="0.93"/>
    <x v="2"/>
    <x v="3"/>
    <n v="13"/>
    <x v="3"/>
    <x v="1"/>
    <x v="0"/>
    <x v="2"/>
  </r>
  <r>
    <n v="396"/>
    <x v="16"/>
    <x v="23"/>
    <b v="1"/>
    <s v="Monday"/>
    <s v="Orange Alert"/>
    <n v="0.16"/>
    <n v="0.13639999999999999"/>
    <n v="0.86"/>
    <x v="3"/>
    <x v="5"/>
    <n v="3"/>
    <x v="48"/>
    <x v="1"/>
    <x v="0"/>
    <x v="2"/>
  </r>
  <r>
    <n v="397"/>
    <x v="17"/>
    <x v="12"/>
    <b v="0"/>
    <s v="Tuesday"/>
    <s v="Yellow Alert"/>
    <n v="0.2"/>
    <n v="0.18179999999999999"/>
    <n v="0.86"/>
    <x v="9"/>
    <x v="3"/>
    <n v="3"/>
    <x v="6"/>
    <x v="1"/>
    <x v="0"/>
    <x v="1"/>
  </r>
  <r>
    <n v="398"/>
    <x v="17"/>
    <x v="13"/>
    <b v="0"/>
    <s v="Tuesday"/>
    <s v="Yellow Alert"/>
    <n v="0.2"/>
    <n v="0.19700000000000001"/>
    <n v="0.86"/>
    <x v="6"/>
    <x v="3"/>
    <n v="22"/>
    <x v="34"/>
    <x v="1"/>
    <x v="0"/>
    <x v="1"/>
  </r>
  <r>
    <n v="399"/>
    <x v="17"/>
    <x v="14"/>
    <b v="0"/>
    <s v="Tuesday"/>
    <s v="Yellow Alert"/>
    <n v="0.22"/>
    <n v="0.2273"/>
    <n v="0.8"/>
    <x v="8"/>
    <x v="4"/>
    <n v="26"/>
    <x v="20"/>
    <x v="1"/>
    <x v="0"/>
    <x v="1"/>
  </r>
  <r>
    <n v="400"/>
    <x v="17"/>
    <x v="15"/>
    <b v="0"/>
    <s v="Tuesday"/>
    <s v="Yellow Alert"/>
    <n v="0.22"/>
    <n v="0.2273"/>
    <n v="0.87"/>
    <x v="8"/>
    <x v="0"/>
    <n v="32"/>
    <x v="17"/>
    <x v="1"/>
    <x v="0"/>
    <x v="1"/>
  </r>
  <r>
    <n v="401"/>
    <x v="17"/>
    <x v="16"/>
    <b v="0"/>
    <s v="Tuesday"/>
    <s v="Yellow Alert"/>
    <n v="0.22"/>
    <n v="0.2273"/>
    <n v="0.87"/>
    <x v="5"/>
    <x v="3"/>
    <n v="61"/>
    <x v="42"/>
    <x v="1"/>
    <x v="0"/>
    <x v="1"/>
  </r>
  <r>
    <n v="402"/>
    <x v="17"/>
    <x v="17"/>
    <b v="0"/>
    <s v="Tuesday"/>
    <s v="Yellow Alert"/>
    <n v="0.22"/>
    <n v="0.2273"/>
    <n v="0.82"/>
    <x v="5"/>
    <x v="5"/>
    <n v="124"/>
    <x v="139"/>
    <x v="1"/>
    <x v="2"/>
    <x v="1"/>
  </r>
  <r>
    <n v="403"/>
    <x v="17"/>
    <x v="18"/>
    <b v="0"/>
    <s v="Tuesday"/>
    <s v="Yellow Alert"/>
    <n v="0.22"/>
    <n v="0.2273"/>
    <n v="0.8"/>
    <x v="8"/>
    <x v="5"/>
    <n v="132"/>
    <x v="140"/>
    <x v="1"/>
    <x v="2"/>
    <x v="1"/>
  </r>
  <r>
    <n v="404"/>
    <x v="17"/>
    <x v="19"/>
    <b v="0"/>
    <s v="Tuesday"/>
    <s v="Yellow Alert"/>
    <n v="0.22"/>
    <n v="0.2273"/>
    <n v="0.8"/>
    <x v="7"/>
    <x v="5"/>
    <n v="98"/>
    <x v="111"/>
    <x v="1"/>
    <x v="2"/>
    <x v="1"/>
  </r>
  <r>
    <n v="405"/>
    <x v="17"/>
    <x v="20"/>
    <b v="0"/>
    <s v="Tuesday"/>
    <s v="Yellow Alert"/>
    <n v="0.22"/>
    <n v="0.2727"/>
    <n v="0.87"/>
    <x v="0"/>
    <x v="3"/>
    <n v="83"/>
    <x v="56"/>
    <x v="1"/>
    <x v="0"/>
    <x v="1"/>
  </r>
  <r>
    <n v="406"/>
    <x v="17"/>
    <x v="21"/>
    <b v="0"/>
    <s v="Tuesday"/>
    <s v="Yellow Alert"/>
    <n v="0.22"/>
    <n v="0.2424"/>
    <n v="0.93"/>
    <x v="14"/>
    <x v="3"/>
    <n v="41"/>
    <x v="102"/>
    <x v="1"/>
    <x v="0"/>
    <x v="1"/>
  </r>
  <r>
    <n v="407"/>
    <x v="17"/>
    <x v="22"/>
    <b v="0"/>
    <s v="Tuesday"/>
    <s v="Yellow Alert"/>
    <n v="0.22"/>
    <n v="0.2576"/>
    <n v="0.93"/>
    <x v="1"/>
    <x v="3"/>
    <n v="33"/>
    <x v="63"/>
    <x v="1"/>
    <x v="0"/>
    <x v="1"/>
  </r>
  <r>
    <n v="408"/>
    <x v="17"/>
    <x v="23"/>
    <b v="0"/>
    <s v="Tuesday"/>
    <s v="Yellow Alert"/>
    <n v="0.22"/>
    <n v="0.2727"/>
    <n v="0.93"/>
    <x v="0"/>
    <x v="5"/>
    <n v="19"/>
    <x v="25"/>
    <x v="1"/>
    <x v="0"/>
    <x v="1"/>
  </r>
  <r>
    <n v="409"/>
    <x v="18"/>
    <x v="0"/>
    <b v="0"/>
    <s v="Wednesday"/>
    <s v="Yellow Alert"/>
    <n v="0.22"/>
    <n v="0.2727"/>
    <n v="0.93"/>
    <x v="0"/>
    <x v="3"/>
    <n v="3"/>
    <x v="6"/>
    <x v="1"/>
    <x v="0"/>
    <x v="1"/>
  </r>
  <r>
    <n v="410"/>
    <x v="18"/>
    <x v="1"/>
    <b v="0"/>
    <s v="Wednesday"/>
    <s v="Orange Alert"/>
    <n v="0.22"/>
    <n v="0.2273"/>
    <n v="0.93"/>
    <x v="7"/>
    <x v="5"/>
    <n v="6"/>
    <x v="85"/>
    <x v="1"/>
    <x v="0"/>
    <x v="2"/>
  </r>
  <r>
    <n v="411"/>
    <x v="18"/>
    <x v="2"/>
    <b v="0"/>
    <s v="Wednesday"/>
    <s v="Orange Alert"/>
    <n v="0.22"/>
    <n v="0.2273"/>
    <n v="0.93"/>
    <x v="7"/>
    <x v="3"/>
    <n v="3"/>
    <x v="6"/>
    <x v="1"/>
    <x v="0"/>
    <x v="2"/>
  </r>
  <r>
    <n v="412"/>
    <x v="18"/>
    <x v="4"/>
    <b v="0"/>
    <s v="Wednesday"/>
    <s v="Orange Alert"/>
    <n v="0.22"/>
    <n v="0.2273"/>
    <n v="0.93"/>
    <x v="7"/>
    <x v="5"/>
    <n v="1"/>
    <x v="5"/>
    <x v="1"/>
    <x v="0"/>
    <x v="2"/>
  </r>
  <r>
    <n v="413"/>
    <x v="18"/>
    <x v="5"/>
    <b v="0"/>
    <s v="Wednesday"/>
    <s v="Yellow Alert"/>
    <n v="0.22"/>
    <n v="0.2576"/>
    <n v="0.93"/>
    <x v="1"/>
    <x v="3"/>
    <n v="7"/>
    <x v="85"/>
    <x v="1"/>
    <x v="0"/>
    <x v="1"/>
  </r>
  <r>
    <n v="414"/>
    <x v="18"/>
    <x v="6"/>
    <b v="0"/>
    <s v="Wednesday"/>
    <s v="Yellow Alert"/>
    <n v="0.22"/>
    <n v="0.2576"/>
    <n v="0.93"/>
    <x v="1"/>
    <x v="3"/>
    <n v="32"/>
    <x v="2"/>
    <x v="1"/>
    <x v="0"/>
    <x v="1"/>
  </r>
  <r>
    <n v="415"/>
    <x v="18"/>
    <x v="7"/>
    <b v="0"/>
    <s v="Wednesday"/>
    <s v="Yellow Alert"/>
    <n v="0.24"/>
    <n v="0.2576"/>
    <n v="0.92"/>
    <x v="14"/>
    <x v="5"/>
    <n v="89"/>
    <x v="127"/>
    <x v="1"/>
    <x v="1"/>
    <x v="1"/>
  </r>
  <r>
    <n v="416"/>
    <x v="18"/>
    <x v="8"/>
    <b v="0"/>
    <s v="Wednesday"/>
    <s v="Yellow Alert"/>
    <n v="0.24"/>
    <n v="0.2576"/>
    <n v="0.93"/>
    <x v="14"/>
    <x v="5"/>
    <n v="196"/>
    <x v="141"/>
    <x v="1"/>
    <x v="1"/>
    <x v="1"/>
  </r>
  <r>
    <n v="417"/>
    <x v="18"/>
    <x v="9"/>
    <b v="0"/>
    <s v="Wednesday"/>
    <s v="Yellow Alert"/>
    <n v="0.24"/>
    <n v="0.2576"/>
    <n v="0.93"/>
    <x v="14"/>
    <x v="4"/>
    <n v="107"/>
    <x v="142"/>
    <x v="1"/>
    <x v="1"/>
    <x v="1"/>
  </r>
  <r>
    <n v="418"/>
    <x v="18"/>
    <x v="10"/>
    <b v="0"/>
    <s v="Wednesday"/>
    <s v="Yellow Alert"/>
    <n v="0.26"/>
    <n v="0.2727"/>
    <n v="0.93"/>
    <x v="7"/>
    <x v="5"/>
    <n v="46"/>
    <x v="105"/>
    <x v="1"/>
    <x v="0"/>
    <x v="1"/>
  </r>
  <r>
    <n v="419"/>
    <x v="18"/>
    <x v="11"/>
    <b v="0"/>
    <s v="Wednesday"/>
    <s v="Yellow Alert"/>
    <n v="0.28000000000000003"/>
    <n v="0.30299999999999999"/>
    <n v="0.87"/>
    <x v="1"/>
    <x v="2"/>
    <n v="47"/>
    <x v="46"/>
    <x v="1"/>
    <x v="0"/>
    <x v="1"/>
  </r>
  <r>
    <n v="420"/>
    <x v="18"/>
    <x v="12"/>
    <b v="0"/>
    <s v="Wednesday"/>
    <s v="Yellow Alert"/>
    <n v="0.3"/>
    <n v="0.31819999999999998"/>
    <n v="0.81"/>
    <x v="1"/>
    <x v="2"/>
    <n v="65"/>
    <x v="27"/>
    <x v="1"/>
    <x v="0"/>
    <x v="1"/>
  </r>
  <r>
    <n v="421"/>
    <x v="18"/>
    <x v="13"/>
    <b v="0"/>
    <s v="Wednesday"/>
    <s v="Normal"/>
    <n v="0.4"/>
    <n v="0.40910000000000002"/>
    <n v="0.62"/>
    <x v="3"/>
    <x v="16"/>
    <n v="67"/>
    <x v="53"/>
    <x v="1"/>
    <x v="0"/>
    <x v="0"/>
  </r>
  <r>
    <n v="422"/>
    <x v="18"/>
    <x v="14"/>
    <b v="0"/>
    <s v="Wednesday"/>
    <s v="Normal"/>
    <n v="0.4"/>
    <n v="0.40910000000000002"/>
    <n v="0.57999999999999996"/>
    <x v="2"/>
    <x v="18"/>
    <n v="68"/>
    <x v="28"/>
    <x v="1"/>
    <x v="0"/>
    <x v="0"/>
  </r>
  <r>
    <n v="423"/>
    <x v="18"/>
    <x v="15"/>
    <b v="0"/>
    <s v="Wednesday"/>
    <s v="Normal"/>
    <n v="0.4"/>
    <n v="0.40910000000000002"/>
    <n v="0.54"/>
    <x v="3"/>
    <x v="17"/>
    <n v="78"/>
    <x v="100"/>
    <x v="1"/>
    <x v="0"/>
    <x v="0"/>
  </r>
  <r>
    <n v="424"/>
    <x v="18"/>
    <x v="16"/>
    <b v="0"/>
    <s v="Wednesday"/>
    <s v="Normal"/>
    <n v="0.38"/>
    <n v="0.39389999999999997"/>
    <n v="0.57999999999999996"/>
    <x v="13"/>
    <x v="22"/>
    <n v="94"/>
    <x v="133"/>
    <x v="1"/>
    <x v="0"/>
    <x v="0"/>
  </r>
  <r>
    <n v="425"/>
    <x v="18"/>
    <x v="17"/>
    <b v="0"/>
    <s v="Wednesday"/>
    <s v="Normal"/>
    <n v="0.36"/>
    <n v="0.33329999999999999"/>
    <n v="0.56999999999999995"/>
    <x v="9"/>
    <x v="18"/>
    <n v="190"/>
    <x v="141"/>
    <x v="1"/>
    <x v="2"/>
    <x v="0"/>
  </r>
  <r>
    <n v="426"/>
    <x v="18"/>
    <x v="18"/>
    <b v="0"/>
    <s v="Wednesday"/>
    <s v="Normal"/>
    <n v="0.34"/>
    <n v="0.31819999999999998"/>
    <n v="0.61"/>
    <x v="3"/>
    <x v="2"/>
    <n v="156"/>
    <x v="143"/>
    <x v="1"/>
    <x v="2"/>
    <x v="0"/>
  </r>
  <r>
    <n v="427"/>
    <x v="18"/>
    <x v="19"/>
    <b v="0"/>
    <s v="Wednesday"/>
    <s v="Normal"/>
    <n v="0.32"/>
    <n v="0.28789999999999999"/>
    <n v="0.56999999999999995"/>
    <x v="12"/>
    <x v="17"/>
    <n v="108"/>
    <x v="59"/>
    <x v="1"/>
    <x v="2"/>
    <x v="0"/>
  </r>
  <r>
    <n v="428"/>
    <x v="18"/>
    <x v="20"/>
    <b v="0"/>
    <s v="Wednesday"/>
    <s v="Normal"/>
    <n v="0.32"/>
    <n v="0.30299999999999999"/>
    <n v="0.49"/>
    <x v="4"/>
    <x v="4"/>
    <n v="74"/>
    <x v="31"/>
    <x v="1"/>
    <x v="0"/>
    <x v="0"/>
  </r>
  <r>
    <n v="429"/>
    <x v="18"/>
    <x v="21"/>
    <b v="0"/>
    <s v="Wednesday"/>
    <s v="Normal"/>
    <n v="0.32"/>
    <n v="0.28789999999999999"/>
    <n v="0.49"/>
    <x v="12"/>
    <x v="17"/>
    <n v="55"/>
    <x v="29"/>
    <x v="1"/>
    <x v="0"/>
    <x v="0"/>
  </r>
  <r>
    <n v="430"/>
    <x v="18"/>
    <x v="22"/>
    <b v="0"/>
    <s v="Wednesday"/>
    <s v="Normal"/>
    <n v="0.3"/>
    <n v="0.30299999999999999"/>
    <n v="0.52"/>
    <x v="8"/>
    <x v="15"/>
    <n v="53"/>
    <x v="29"/>
    <x v="1"/>
    <x v="0"/>
    <x v="0"/>
  </r>
  <r>
    <n v="431"/>
    <x v="18"/>
    <x v="23"/>
    <b v="0"/>
    <s v="Wednesday"/>
    <s v="Normal"/>
    <n v="0.3"/>
    <n v="0.2727"/>
    <n v="0.52"/>
    <x v="17"/>
    <x v="5"/>
    <n v="27"/>
    <x v="20"/>
    <x v="1"/>
    <x v="0"/>
    <x v="0"/>
  </r>
  <r>
    <n v="432"/>
    <x v="19"/>
    <x v="0"/>
    <b v="0"/>
    <s v="Thursday"/>
    <s v="Normal"/>
    <n v="0.26"/>
    <n v="0.2273"/>
    <n v="0.56000000000000005"/>
    <x v="13"/>
    <x v="2"/>
    <n v="8"/>
    <x v="3"/>
    <x v="1"/>
    <x v="0"/>
    <x v="0"/>
  </r>
  <r>
    <n v="433"/>
    <x v="19"/>
    <x v="1"/>
    <b v="0"/>
    <s v="Thursday"/>
    <s v="Normal"/>
    <n v="0.26"/>
    <n v="0.2727"/>
    <n v="0.56000000000000005"/>
    <x v="0"/>
    <x v="4"/>
    <n v="3"/>
    <x v="36"/>
    <x v="1"/>
    <x v="0"/>
    <x v="0"/>
  </r>
  <r>
    <n v="434"/>
    <x v="19"/>
    <x v="2"/>
    <b v="0"/>
    <s v="Thursday"/>
    <s v="Normal"/>
    <n v="0.26"/>
    <n v="0.2727"/>
    <n v="0.56000000000000005"/>
    <x v="0"/>
    <x v="3"/>
    <n v="2"/>
    <x v="5"/>
    <x v="1"/>
    <x v="0"/>
    <x v="0"/>
  </r>
  <r>
    <n v="435"/>
    <x v="19"/>
    <x v="3"/>
    <b v="0"/>
    <s v="Thursday"/>
    <s v="Normal"/>
    <n v="0.26"/>
    <n v="0.2576"/>
    <n v="0.56000000000000005"/>
    <x v="8"/>
    <x v="3"/>
    <n v="1"/>
    <x v="4"/>
    <x v="1"/>
    <x v="0"/>
    <x v="0"/>
  </r>
  <r>
    <n v="436"/>
    <x v="19"/>
    <x v="4"/>
    <b v="0"/>
    <s v="Thursday"/>
    <s v="Normal"/>
    <n v="0.26"/>
    <n v="0.2576"/>
    <n v="0.56000000000000005"/>
    <x v="8"/>
    <x v="3"/>
    <n v="1"/>
    <x v="4"/>
    <x v="1"/>
    <x v="0"/>
    <x v="0"/>
  </r>
  <r>
    <n v="437"/>
    <x v="19"/>
    <x v="5"/>
    <b v="0"/>
    <s v="Thursday"/>
    <s v="Normal"/>
    <n v="0.24"/>
    <n v="0.2273"/>
    <n v="0.6"/>
    <x v="6"/>
    <x v="3"/>
    <n v="6"/>
    <x v="24"/>
    <x v="1"/>
    <x v="0"/>
    <x v="0"/>
  </r>
  <r>
    <n v="438"/>
    <x v="19"/>
    <x v="6"/>
    <b v="0"/>
    <s v="Thursday"/>
    <s v="Normal"/>
    <n v="0.22"/>
    <n v="0.21210000000000001"/>
    <n v="0.6"/>
    <x v="6"/>
    <x v="3"/>
    <n v="35"/>
    <x v="17"/>
    <x v="1"/>
    <x v="0"/>
    <x v="0"/>
  </r>
  <r>
    <n v="439"/>
    <x v="19"/>
    <x v="7"/>
    <b v="0"/>
    <s v="Thursday"/>
    <s v="Normal"/>
    <n v="0.22"/>
    <n v="0.21210000000000001"/>
    <n v="0.55000000000000004"/>
    <x v="6"/>
    <x v="5"/>
    <n v="100"/>
    <x v="129"/>
    <x v="1"/>
    <x v="1"/>
    <x v="0"/>
  </r>
  <r>
    <n v="440"/>
    <x v="19"/>
    <x v="8"/>
    <b v="0"/>
    <s v="Thursday"/>
    <s v="Normal"/>
    <n v="0.22"/>
    <n v="0.21210000000000001"/>
    <n v="0.55000000000000004"/>
    <x v="3"/>
    <x v="4"/>
    <n v="247"/>
    <x v="144"/>
    <x v="1"/>
    <x v="1"/>
    <x v="0"/>
  </r>
  <r>
    <n v="441"/>
    <x v="19"/>
    <x v="9"/>
    <b v="0"/>
    <s v="Thursday"/>
    <s v="Yellow Alert"/>
    <n v="0.24"/>
    <n v="0.2273"/>
    <n v="0.52"/>
    <x v="6"/>
    <x v="0"/>
    <n v="140"/>
    <x v="145"/>
    <x v="1"/>
    <x v="1"/>
    <x v="1"/>
  </r>
  <r>
    <n v="442"/>
    <x v="19"/>
    <x v="10"/>
    <b v="0"/>
    <s v="Thursday"/>
    <s v="Normal"/>
    <n v="0.26"/>
    <n v="0.2273"/>
    <n v="0.48"/>
    <x v="4"/>
    <x v="5"/>
    <n v="56"/>
    <x v="52"/>
    <x v="1"/>
    <x v="0"/>
    <x v="0"/>
  </r>
  <r>
    <n v="443"/>
    <x v="19"/>
    <x v="11"/>
    <b v="0"/>
    <s v="Thursday"/>
    <s v="Yellow Alert"/>
    <n v="0.28000000000000003"/>
    <n v="0.2727"/>
    <n v="0.45"/>
    <x v="8"/>
    <x v="2"/>
    <n v="63"/>
    <x v="118"/>
    <x v="1"/>
    <x v="0"/>
    <x v="1"/>
  </r>
  <r>
    <n v="444"/>
    <x v="19"/>
    <x v="12"/>
    <b v="0"/>
    <s v="Thursday"/>
    <s v="Yellow Alert"/>
    <n v="0.3"/>
    <n v="0.33329999999999999"/>
    <n v="0.42"/>
    <x v="0"/>
    <x v="18"/>
    <n v="77"/>
    <x v="11"/>
    <x v="1"/>
    <x v="0"/>
    <x v="1"/>
  </r>
  <r>
    <n v="445"/>
    <x v="19"/>
    <x v="13"/>
    <b v="0"/>
    <s v="Thursday"/>
    <s v="Yellow Alert"/>
    <n v="0.28000000000000003"/>
    <n v="0.28789999999999999"/>
    <n v="0.45"/>
    <x v="14"/>
    <x v="6"/>
    <n v="86"/>
    <x v="95"/>
    <x v="1"/>
    <x v="0"/>
    <x v="1"/>
  </r>
  <r>
    <n v="446"/>
    <x v="19"/>
    <x v="14"/>
    <b v="0"/>
    <s v="Thursday"/>
    <s v="Yellow Alert"/>
    <n v="0.3"/>
    <n v="0.30299999999999999"/>
    <n v="0.45"/>
    <x v="7"/>
    <x v="15"/>
    <n v="75"/>
    <x v="117"/>
    <x v="1"/>
    <x v="0"/>
    <x v="1"/>
  </r>
  <r>
    <n v="447"/>
    <x v="19"/>
    <x v="15"/>
    <b v="0"/>
    <s v="Thursday"/>
    <s v="Yellow Alert"/>
    <n v="0.32"/>
    <n v="0.31819999999999998"/>
    <n v="0.45"/>
    <x v="5"/>
    <x v="1"/>
    <n v="62"/>
    <x v="27"/>
    <x v="1"/>
    <x v="0"/>
    <x v="1"/>
  </r>
  <r>
    <n v="448"/>
    <x v="19"/>
    <x v="16"/>
    <b v="0"/>
    <s v="Thursday"/>
    <s v="Yellow Alert"/>
    <n v="0.3"/>
    <n v="0.30299999999999999"/>
    <n v="0.49"/>
    <x v="7"/>
    <x v="1"/>
    <n v="83"/>
    <x v="134"/>
    <x v="1"/>
    <x v="0"/>
    <x v="1"/>
  </r>
  <r>
    <n v="449"/>
    <x v="19"/>
    <x v="17"/>
    <b v="0"/>
    <s v="Thursday"/>
    <s v="Yellow Alert"/>
    <n v="0.3"/>
    <n v="0.31819999999999998"/>
    <n v="0.49"/>
    <x v="14"/>
    <x v="1"/>
    <n v="207"/>
    <x v="146"/>
    <x v="1"/>
    <x v="2"/>
    <x v="1"/>
  </r>
  <r>
    <n v="450"/>
    <x v="19"/>
    <x v="18"/>
    <b v="0"/>
    <s v="Thursday"/>
    <s v="Yellow Alert"/>
    <n v="0.26"/>
    <n v="0.2576"/>
    <n v="0.56000000000000005"/>
    <x v="5"/>
    <x v="5"/>
    <n v="184"/>
    <x v="147"/>
    <x v="1"/>
    <x v="2"/>
    <x v="1"/>
  </r>
  <r>
    <n v="451"/>
    <x v="19"/>
    <x v="19"/>
    <b v="0"/>
    <s v="Thursday"/>
    <s v="Normal"/>
    <n v="0.26"/>
    <n v="0.2273"/>
    <n v="0.56000000000000005"/>
    <x v="9"/>
    <x v="15"/>
    <n v="146"/>
    <x v="148"/>
    <x v="1"/>
    <x v="2"/>
    <x v="0"/>
  </r>
  <r>
    <n v="452"/>
    <x v="19"/>
    <x v="20"/>
    <b v="0"/>
    <s v="Thursday"/>
    <s v="Yellow Alert"/>
    <n v="0.26"/>
    <n v="0.2424"/>
    <n v="0.6"/>
    <x v="3"/>
    <x v="4"/>
    <n v="124"/>
    <x v="149"/>
    <x v="1"/>
    <x v="0"/>
    <x v="1"/>
  </r>
  <r>
    <n v="453"/>
    <x v="19"/>
    <x v="21"/>
    <b v="0"/>
    <s v="Thursday"/>
    <s v="Yellow Alert"/>
    <n v="0.24"/>
    <n v="0.2273"/>
    <n v="0.6"/>
    <x v="2"/>
    <x v="0"/>
    <n v="54"/>
    <x v="52"/>
    <x v="1"/>
    <x v="0"/>
    <x v="1"/>
  </r>
  <r>
    <n v="454"/>
    <x v="19"/>
    <x v="22"/>
    <b v="0"/>
    <s v="Thursday"/>
    <s v="Yellow Alert"/>
    <n v="0.24"/>
    <n v="0.21210000000000001"/>
    <n v="0.65"/>
    <x v="3"/>
    <x v="3"/>
    <n v="56"/>
    <x v="10"/>
    <x v="1"/>
    <x v="0"/>
    <x v="1"/>
  </r>
  <r>
    <n v="455"/>
    <x v="19"/>
    <x v="23"/>
    <b v="0"/>
    <s v="Thursday"/>
    <s v="Yellow Alert"/>
    <n v="0.24"/>
    <n v="0.21210000000000001"/>
    <n v="0.65"/>
    <x v="9"/>
    <x v="0"/>
    <n v="28"/>
    <x v="35"/>
    <x v="1"/>
    <x v="0"/>
    <x v="1"/>
  </r>
  <r>
    <n v="456"/>
    <x v="20"/>
    <x v="0"/>
    <b v="0"/>
    <s v="Friday"/>
    <s v="Yellow Alert"/>
    <n v="0.24"/>
    <n v="0.2273"/>
    <n v="0.7"/>
    <x v="2"/>
    <x v="5"/>
    <n v="20"/>
    <x v="137"/>
    <x v="1"/>
    <x v="0"/>
    <x v="1"/>
  </r>
  <r>
    <n v="457"/>
    <x v="20"/>
    <x v="1"/>
    <b v="0"/>
    <s v="Friday"/>
    <s v="Yellow Alert"/>
    <n v="0.24"/>
    <n v="0.2273"/>
    <n v="0.7"/>
    <x v="2"/>
    <x v="3"/>
    <n v="6"/>
    <x v="24"/>
    <x v="1"/>
    <x v="0"/>
    <x v="1"/>
  </r>
  <r>
    <n v="458"/>
    <x v="20"/>
    <x v="2"/>
    <b v="0"/>
    <s v="Friday"/>
    <s v="Orange Alert"/>
    <n v="0.24"/>
    <n v="0.2424"/>
    <n v="0.75"/>
    <x v="8"/>
    <x v="3"/>
    <n v="2"/>
    <x v="5"/>
    <x v="1"/>
    <x v="0"/>
    <x v="2"/>
  </r>
  <r>
    <n v="459"/>
    <x v="20"/>
    <x v="3"/>
    <b v="0"/>
    <s v="Friday"/>
    <s v="Orange Alert"/>
    <n v="0.22"/>
    <n v="0.21210000000000001"/>
    <n v="0.8"/>
    <x v="4"/>
    <x v="3"/>
    <n v="1"/>
    <x v="4"/>
    <x v="1"/>
    <x v="0"/>
    <x v="2"/>
  </r>
  <r>
    <n v="460"/>
    <x v="20"/>
    <x v="4"/>
    <b v="0"/>
    <s v="Friday"/>
    <s v="Yellow Alert"/>
    <n v="0.22"/>
    <n v="0.2576"/>
    <n v="0.87"/>
    <x v="1"/>
    <x v="3"/>
    <n v="1"/>
    <x v="4"/>
    <x v="1"/>
    <x v="0"/>
    <x v="1"/>
  </r>
  <r>
    <n v="461"/>
    <x v="20"/>
    <x v="5"/>
    <b v="0"/>
    <s v="Friday"/>
    <s v="Normal"/>
    <n v="0.24"/>
    <n v="0.19700000000000001"/>
    <n v="0.6"/>
    <x v="12"/>
    <x v="5"/>
    <n v="4"/>
    <x v="36"/>
    <x v="1"/>
    <x v="0"/>
    <x v="0"/>
  </r>
  <r>
    <n v="462"/>
    <x v="20"/>
    <x v="6"/>
    <b v="0"/>
    <s v="Friday"/>
    <s v="Normal"/>
    <n v="0.22"/>
    <n v="0.21210000000000001"/>
    <n v="0.55000000000000004"/>
    <x v="2"/>
    <x v="3"/>
    <n v="27"/>
    <x v="110"/>
    <x v="1"/>
    <x v="0"/>
    <x v="0"/>
  </r>
  <r>
    <n v="463"/>
    <x v="20"/>
    <x v="7"/>
    <b v="0"/>
    <s v="Friday"/>
    <s v="Normal"/>
    <n v="0.2"/>
    <n v="0.18179999999999999"/>
    <n v="0.51"/>
    <x v="3"/>
    <x v="4"/>
    <n v="66"/>
    <x v="118"/>
    <x v="1"/>
    <x v="1"/>
    <x v="0"/>
  </r>
  <r>
    <n v="464"/>
    <x v="20"/>
    <x v="8"/>
    <b v="0"/>
    <s v="Friday"/>
    <s v="Normal"/>
    <n v="0.2"/>
    <n v="0.18179999999999999"/>
    <n v="0.47"/>
    <x v="9"/>
    <x v="18"/>
    <n v="210"/>
    <x v="112"/>
    <x v="1"/>
    <x v="1"/>
    <x v="0"/>
  </r>
  <r>
    <n v="465"/>
    <x v="20"/>
    <x v="9"/>
    <b v="0"/>
    <s v="Friday"/>
    <s v="Normal"/>
    <n v="0.2"/>
    <n v="0.18179999999999999"/>
    <n v="0.51"/>
    <x v="11"/>
    <x v="18"/>
    <n v="159"/>
    <x v="150"/>
    <x v="1"/>
    <x v="1"/>
    <x v="0"/>
  </r>
  <r>
    <n v="466"/>
    <x v="20"/>
    <x v="10"/>
    <b v="0"/>
    <s v="Friday"/>
    <s v="Normal"/>
    <n v="0.2"/>
    <n v="0.16669999999999999"/>
    <n v="0.47"/>
    <x v="17"/>
    <x v="15"/>
    <n v="57"/>
    <x v="55"/>
    <x v="1"/>
    <x v="0"/>
    <x v="0"/>
  </r>
  <r>
    <n v="467"/>
    <x v="20"/>
    <x v="11"/>
    <b v="0"/>
    <s v="Friday"/>
    <s v="Normal"/>
    <n v="0.22"/>
    <n v="0.18179999999999999"/>
    <n v="0.41"/>
    <x v="17"/>
    <x v="15"/>
    <n v="53"/>
    <x v="29"/>
    <x v="1"/>
    <x v="0"/>
    <x v="0"/>
  </r>
  <r>
    <n v="468"/>
    <x v="20"/>
    <x v="12"/>
    <b v="0"/>
    <s v="Friday"/>
    <s v="Normal"/>
    <n v="0.22"/>
    <n v="0.18179999999999999"/>
    <n v="0.27"/>
    <x v="19"/>
    <x v="16"/>
    <n v="67"/>
    <x v="53"/>
    <x v="1"/>
    <x v="0"/>
    <x v="0"/>
  </r>
  <r>
    <n v="469"/>
    <x v="20"/>
    <x v="13"/>
    <b v="0"/>
    <s v="Friday"/>
    <s v="Normal"/>
    <n v="0.2"/>
    <n v="0.1515"/>
    <n v="0.21"/>
    <x v="19"/>
    <x v="1"/>
    <n v="65"/>
    <x v="88"/>
    <x v="1"/>
    <x v="0"/>
    <x v="0"/>
  </r>
  <r>
    <n v="470"/>
    <x v="20"/>
    <x v="14"/>
    <b v="0"/>
    <s v="Friday"/>
    <s v="Normal"/>
    <n v="0.2"/>
    <n v="0.1515"/>
    <n v="0.25"/>
    <x v="18"/>
    <x v="15"/>
    <n v="56"/>
    <x v="69"/>
    <x v="1"/>
    <x v="0"/>
    <x v="0"/>
  </r>
  <r>
    <n v="471"/>
    <x v="20"/>
    <x v="15"/>
    <b v="0"/>
    <s v="Friday"/>
    <s v="Normal"/>
    <n v="0.16"/>
    <n v="0.1212"/>
    <n v="0.26"/>
    <x v="10"/>
    <x v="17"/>
    <n v="61"/>
    <x v="32"/>
    <x v="1"/>
    <x v="0"/>
    <x v="0"/>
  </r>
  <r>
    <n v="472"/>
    <x v="20"/>
    <x v="16"/>
    <b v="0"/>
    <s v="Friday"/>
    <s v="Normal"/>
    <n v="0.16"/>
    <n v="0.13639999999999999"/>
    <n v="0.26"/>
    <x v="11"/>
    <x v="3"/>
    <n v="97"/>
    <x v="54"/>
    <x v="1"/>
    <x v="0"/>
    <x v="0"/>
  </r>
  <r>
    <n v="473"/>
    <x v="20"/>
    <x v="17"/>
    <b v="0"/>
    <s v="Friday"/>
    <s v="Normal"/>
    <n v="0.14000000000000001"/>
    <n v="0.1212"/>
    <n v="0.28000000000000003"/>
    <x v="11"/>
    <x v="22"/>
    <n v="151"/>
    <x v="143"/>
    <x v="1"/>
    <x v="2"/>
    <x v="0"/>
  </r>
  <r>
    <n v="474"/>
    <x v="20"/>
    <x v="18"/>
    <b v="0"/>
    <s v="Friday"/>
    <s v="Normal"/>
    <n v="0.12"/>
    <n v="0.1212"/>
    <n v="0.3"/>
    <x v="2"/>
    <x v="5"/>
    <n v="119"/>
    <x v="151"/>
    <x v="1"/>
    <x v="2"/>
    <x v="0"/>
  </r>
  <r>
    <n v="475"/>
    <x v="20"/>
    <x v="19"/>
    <b v="0"/>
    <s v="Friday"/>
    <s v="Normal"/>
    <n v="0.12"/>
    <n v="0.1061"/>
    <n v="0.3"/>
    <x v="9"/>
    <x v="0"/>
    <n v="93"/>
    <x v="152"/>
    <x v="1"/>
    <x v="2"/>
    <x v="0"/>
  </r>
  <r>
    <n v="476"/>
    <x v="20"/>
    <x v="20"/>
    <b v="0"/>
    <s v="Friday"/>
    <s v="Normal"/>
    <n v="0.1"/>
    <n v="7.5800000000000006E-2"/>
    <n v="0.33"/>
    <x v="12"/>
    <x v="5"/>
    <n v="52"/>
    <x v="26"/>
    <x v="1"/>
    <x v="0"/>
    <x v="0"/>
  </r>
  <r>
    <n v="477"/>
    <x v="20"/>
    <x v="21"/>
    <b v="0"/>
    <s v="Friday"/>
    <s v="Normal"/>
    <n v="0.08"/>
    <n v="7.5800000000000006E-2"/>
    <n v="0.38"/>
    <x v="3"/>
    <x v="3"/>
    <n v="41"/>
    <x v="102"/>
    <x v="1"/>
    <x v="0"/>
    <x v="0"/>
  </r>
  <r>
    <n v="478"/>
    <x v="20"/>
    <x v="22"/>
    <b v="0"/>
    <s v="Friday"/>
    <s v="Normal"/>
    <n v="0.06"/>
    <n v="3.0300000000000001E-2"/>
    <n v="0.41"/>
    <x v="13"/>
    <x v="5"/>
    <n v="33"/>
    <x v="19"/>
    <x v="1"/>
    <x v="0"/>
    <x v="0"/>
  </r>
  <r>
    <n v="479"/>
    <x v="20"/>
    <x v="23"/>
    <b v="0"/>
    <s v="Friday"/>
    <s v="Normal"/>
    <n v="0.06"/>
    <n v="4.5499999999999999E-2"/>
    <n v="0.38"/>
    <x v="9"/>
    <x v="3"/>
    <n v="27"/>
    <x v="110"/>
    <x v="1"/>
    <x v="0"/>
    <x v="0"/>
  </r>
  <r>
    <n v="480"/>
    <x v="21"/>
    <x v="0"/>
    <b v="0"/>
    <s v="Saturday"/>
    <s v="Normal"/>
    <n v="0.04"/>
    <n v="3.0300000000000001E-2"/>
    <n v="0.45"/>
    <x v="2"/>
    <x v="3"/>
    <n v="13"/>
    <x v="3"/>
    <x v="0"/>
    <x v="0"/>
    <x v="0"/>
  </r>
  <r>
    <n v="481"/>
    <x v="21"/>
    <x v="1"/>
    <b v="0"/>
    <s v="Saturday"/>
    <s v="Yellow Alert"/>
    <n v="0.04"/>
    <n v="0"/>
    <n v="0.41"/>
    <x v="13"/>
    <x v="0"/>
    <n v="9"/>
    <x v="47"/>
    <x v="0"/>
    <x v="0"/>
    <x v="1"/>
  </r>
  <r>
    <n v="482"/>
    <x v="21"/>
    <x v="2"/>
    <b v="0"/>
    <s v="Saturday"/>
    <s v="Yellow Alert"/>
    <n v="0.04"/>
    <n v="3.0300000000000001E-2"/>
    <n v="0.41"/>
    <x v="2"/>
    <x v="3"/>
    <n v="11"/>
    <x v="62"/>
    <x v="0"/>
    <x v="0"/>
    <x v="1"/>
  </r>
  <r>
    <n v="483"/>
    <x v="21"/>
    <x v="3"/>
    <b v="0"/>
    <s v="Saturday"/>
    <s v="Yellow Alert"/>
    <n v="0.04"/>
    <n v="3.0300000000000001E-2"/>
    <n v="0.41"/>
    <x v="3"/>
    <x v="5"/>
    <n v="6"/>
    <x v="85"/>
    <x v="0"/>
    <x v="0"/>
    <x v="1"/>
  </r>
  <r>
    <n v="484"/>
    <x v="21"/>
    <x v="4"/>
    <b v="0"/>
    <s v="Saturday"/>
    <s v="Yellow Alert"/>
    <n v="0.02"/>
    <n v="1.52E-2"/>
    <n v="0.48"/>
    <x v="4"/>
    <x v="3"/>
    <n v="3"/>
    <x v="6"/>
    <x v="0"/>
    <x v="0"/>
    <x v="1"/>
  </r>
  <r>
    <n v="485"/>
    <x v="21"/>
    <x v="6"/>
    <b v="0"/>
    <s v="Saturday"/>
    <s v="Yellow Alert"/>
    <n v="0.02"/>
    <n v="3.0300000000000001E-2"/>
    <n v="0.44"/>
    <x v="6"/>
    <x v="3"/>
    <n v="2"/>
    <x v="5"/>
    <x v="0"/>
    <x v="0"/>
    <x v="1"/>
  </r>
  <r>
    <n v="486"/>
    <x v="21"/>
    <x v="7"/>
    <b v="0"/>
    <s v="Saturday"/>
    <s v="Normal"/>
    <n v="0.02"/>
    <n v="1.52E-2"/>
    <n v="0.44"/>
    <x v="3"/>
    <x v="3"/>
    <n v="8"/>
    <x v="7"/>
    <x v="0"/>
    <x v="1"/>
    <x v="0"/>
  </r>
  <r>
    <n v="487"/>
    <x v="21"/>
    <x v="8"/>
    <b v="0"/>
    <s v="Saturday"/>
    <s v="Normal"/>
    <n v="0.02"/>
    <n v="0"/>
    <n v="0.44"/>
    <x v="9"/>
    <x v="5"/>
    <n v="26"/>
    <x v="110"/>
    <x v="0"/>
    <x v="1"/>
    <x v="0"/>
  </r>
  <r>
    <n v="488"/>
    <x v="21"/>
    <x v="9"/>
    <b v="0"/>
    <s v="Saturday"/>
    <s v="Normal"/>
    <n v="0.04"/>
    <n v="3.0300000000000001E-2"/>
    <n v="0.41"/>
    <x v="2"/>
    <x v="0"/>
    <n v="37"/>
    <x v="1"/>
    <x v="0"/>
    <x v="1"/>
    <x v="0"/>
  </r>
  <r>
    <n v="489"/>
    <x v="21"/>
    <x v="10"/>
    <b v="0"/>
    <s v="Saturday"/>
    <s v="Yellow Alert"/>
    <n v="0.04"/>
    <n v="6.0600000000000001E-2"/>
    <n v="0.41"/>
    <x v="8"/>
    <x v="0"/>
    <n v="50"/>
    <x v="26"/>
    <x v="0"/>
    <x v="0"/>
    <x v="1"/>
  </r>
  <r>
    <n v="490"/>
    <x v="21"/>
    <x v="11"/>
    <b v="0"/>
    <s v="Saturday"/>
    <s v="Yellow Alert"/>
    <n v="0.06"/>
    <n v="7.5800000000000006E-2"/>
    <n v="0.38"/>
    <x v="7"/>
    <x v="17"/>
    <n v="59"/>
    <x v="55"/>
    <x v="0"/>
    <x v="0"/>
    <x v="1"/>
  </r>
  <r>
    <n v="491"/>
    <x v="21"/>
    <x v="12"/>
    <b v="0"/>
    <s v="Saturday"/>
    <s v="Yellow Alert"/>
    <n v="0.06"/>
    <n v="0.1061"/>
    <n v="0.38"/>
    <x v="14"/>
    <x v="22"/>
    <n v="60"/>
    <x v="27"/>
    <x v="0"/>
    <x v="0"/>
    <x v="1"/>
  </r>
  <r>
    <n v="492"/>
    <x v="21"/>
    <x v="13"/>
    <b v="0"/>
    <s v="Saturday"/>
    <s v="Normal"/>
    <n v="0.08"/>
    <n v="0.16669999999999999"/>
    <n v="0.35"/>
    <x v="0"/>
    <x v="6"/>
    <n v="72"/>
    <x v="11"/>
    <x v="0"/>
    <x v="0"/>
    <x v="0"/>
  </r>
  <r>
    <n v="493"/>
    <x v="21"/>
    <x v="14"/>
    <b v="0"/>
    <s v="Saturday"/>
    <s v="Normal"/>
    <n v="0.1"/>
    <n v="0.13639999999999999"/>
    <n v="0.33"/>
    <x v="14"/>
    <x v="16"/>
    <n v="64"/>
    <x v="28"/>
    <x v="0"/>
    <x v="0"/>
    <x v="0"/>
  </r>
  <r>
    <n v="494"/>
    <x v="21"/>
    <x v="15"/>
    <b v="0"/>
    <s v="Saturday"/>
    <s v="Normal"/>
    <n v="0.12"/>
    <n v="0.1515"/>
    <n v="0.28000000000000003"/>
    <x v="0"/>
    <x v="22"/>
    <n v="93"/>
    <x v="153"/>
    <x v="0"/>
    <x v="0"/>
    <x v="0"/>
  </r>
  <r>
    <n v="495"/>
    <x v="21"/>
    <x v="16"/>
    <b v="0"/>
    <s v="Saturday"/>
    <s v="Normal"/>
    <n v="0.12"/>
    <n v="0.13639999999999999"/>
    <n v="0.28000000000000003"/>
    <x v="5"/>
    <x v="16"/>
    <n v="72"/>
    <x v="56"/>
    <x v="0"/>
    <x v="0"/>
    <x v="0"/>
  </r>
  <r>
    <n v="496"/>
    <x v="21"/>
    <x v="17"/>
    <b v="0"/>
    <s v="Saturday"/>
    <s v="Normal"/>
    <n v="0.12"/>
    <n v="0.19700000000000001"/>
    <n v="0.28000000000000003"/>
    <x v="0"/>
    <x v="1"/>
    <n v="59"/>
    <x v="16"/>
    <x v="0"/>
    <x v="2"/>
    <x v="0"/>
  </r>
  <r>
    <n v="497"/>
    <x v="21"/>
    <x v="18"/>
    <b v="0"/>
    <s v="Saturday"/>
    <s v="Normal"/>
    <n v="0.08"/>
    <n v="9.0899999999999995E-2"/>
    <n v="0.35"/>
    <x v="5"/>
    <x v="3"/>
    <n v="54"/>
    <x v="60"/>
    <x v="0"/>
    <x v="2"/>
    <x v="0"/>
  </r>
  <r>
    <n v="498"/>
    <x v="21"/>
    <x v="19"/>
    <b v="0"/>
    <s v="Saturday"/>
    <s v="Normal"/>
    <n v="0.08"/>
    <n v="0.1061"/>
    <n v="0.35"/>
    <x v="7"/>
    <x v="15"/>
    <n v="53"/>
    <x v="29"/>
    <x v="0"/>
    <x v="2"/>
    <x v="0"/>
  </r>
  <r>
    <n v="499"/>
    <x v="21"/>
    <x v="20"/>
    <b v="0"/>
    <s v="Saturday"/>
    <s v="Normal"/>
    <n v="0.06"/>
    <n v="7.5800000000000006E-2"/>
    <n v="0.45"/>
    <x v="8"/>
    <x v="5"/>
    <n v="44"/>
    <x v="79"/>
    <x v="0"/>
    <x v="0"/>
    <x v="0"/>
  </r>
  <r>
    <n v="500"/>
    <x v="21"/>
    <x v="21"/>
    <b v="0"/>
    <s v="Saturday"/>
    <s v="Normal"/>
    <n v="0.06"/>
    <n v="0.1061"/>
    <n v="0.41"/>
    <x v="1"/>
    <x v="3"/>
    <n v="39"/>
    <x v="21"/>
    <x v="0"/>
    <x v="0"/>
    <x v="0"/>
  </r>
  <r>
    <n v="501"/>
    <x v="21"/>
    <x v="22"/>
    <b v="0"/>
    <s v="Saturday"/>
    <s v="Normal"/>
    <n v="0.06"/>
    <n v="0.1515"/>
    <n v="0.49"/>
    <x v="0"/>
    <x v="18"/>
    <n v="23"/>
    <x v="33"/>
    <x v="0"/>
    <x v="0"/>
    <x v="0"/>
  </r>
  <r>
    <n v="502"/>
    <x v="21"/>
    <x v="23"/>
    <b v="0"/>
    <s v="Saturday"/>
    <s v="Normal"/>
    <n v="0.04"/>
    <n v="7.5800000000000006E-2"/>
    <n v="0.56999999999999995"/>
    <x v="14"/>
    <x v="4"/>
    <n v="31"/>
    <x v="63"/>
    <x v="0"/>
    <x v="0"/>
    <x v="0"/>
  </r>
  <r>
    <n v="503"/>
    <x v="22"/>
    <x v="0"/>
    <b v="0"/>
    <s v="Sunday"/>
    <s v="Normal"/>
    <n v="0.04"/>
    <n v="7.5800000000000006E-2"/>
    <n v="0.56999999999999995"/>
    <x v="14"/>
    <x v="4"/>
    <n v="20"/>
    <x v="34"/>
    <x v="0"/>
    <x v="0"/>
    <x v="0"/>
  </r>
  <r>
    <n v="504"/>
    <x v="22"/>
    <x v="1"/>
    <b v="0"/>
    <s v="Sunday"/>
    <s v="Normal"/>
    <n v="0.04"/>
    <n v="7.5800000000000006E-2"/>
    <n v="0.56999999999999995"/>
    <x v="14"/>
    <x v="5"/>
    <n v="12"/>
    <x v="3"/>
    <x v="0"/>
    <x v="0"/>
    <x v="0"/>
  </r>
  <r>
    <n v="505"/>
    <x v="22"/>
    <x v="2"/>
    <b v="0"/>
    <s v="Sunday"/>
    <s v="Normal"/>
    <n v="0.02"/>
    <n v="6.0600000000000001E-2"/>
    <n v="0.62"/>
    <x v="7"/>
    <x v="0"/>
    <n v="15"/>
    <x v="109"/>
    <x v="0"/>
    <x v="0"/>
    <x v="0"/>
  </r>
  <r>
    <n v="506"/>
    <x v="22"/>
    <x v="3"/>
    <b v="0"/>
    <s v="Sunday"/>
    <s v="Normal"/>
    <n v="0.02"/>
    <n v="6.0600000000000001E-2"/>
    <n v="0.62"/>
    <x v="7"/>
    <x v="5"/>
    <n v="4"/>
    <x v="36"/>
    <x v="0"/>
    <x v="0"/>
    <x v="0"/>
  </r>
  <r>
    <n v="507"/>
    <x v="22"/>
    <x v="5"/>
    <b v="0"/>
    <s v="Sunday"/>
    <s v="Yellow Alert"/>
    <n v="0.04"/>
    <n v="7.5800000000000006E-2"/>
    <n v="0.56999999999999995"/>
    <x v="14"/>
    <x v="3"/>
    <n v="3"/>
    <x v="6"/>
    <x v="0"/>
    <x v="0"/>
    <x v="1"/>
  </r>
  <r>
    <n v="508"/>
    <x v="22"/>
    <x v="6"/>
    <b v="0"/>
    <s v="Sunday"/>
    <s v="Yellow Alert"/>
    <n v="0.04"/>
    <n v="7.5800000000000006E-2"/>
    <n v="0.56999999999999995"/>
    <x v="14"/>
    <x v="3"/>
    <n v="1"/>
    <x v="4"/>
    <x v="0"/>
    <x v="0"/>
    <x v="1"/>
  </r>
  <r>
    <n v="509"/>
    <x v="22"/>
    <x v="7"/>
    <b v="0"/>
    <s v="Sunday"/>
    <s v="Normal"/>
    <n v="0.08"/>
    <n v="0.1061"/>
    <n v="0.57999999999999996"/>
    <x v="8"/>
    <x v="5"/>
    <n v="1"/>
    <x v="5"/>
    <x v="0"/>
    <x v="1"/>
    <x v="0"/>
  </r>
  <r>
    <n v="510"/>
    <x v="22"/>
    <x v="8"/>
    <b v="0"/>
    <s v="Sunday"/>
    <s v="Normal"/>
    <n v="0.06"/>
    <n v="7.5800000000000006E-2"/>
    <n v="0.62"/>
    <x v="8"/>
    <x v="4"/>
    <n v="17"/>
    <x v="75"/>
    <x v="0"/>
    <x v="1"/>
    <x v="0"/>
  </r>
  <r>
    <n v="511"/>
    <x v="22"/>
    <x v="9"/>
    <b v="0"/>
    <s v="Sunday"/>
    <s v="Normal"/>
    <n v="0.1"/>
    <n v="7.5800000000000006E-2"/>
    <n v="0.54"/>
    <x v="11"/>
    <x v="0"/>
    <n v="25"/>
    <x v="20"/>
    <x v="0"/>
    <x v="1"/>
    <x v="0"/>
  </r>
  <r>
    <n v="512"/>
    <x v="22"/>
    <x v="10"/>
    <b v="0"/>
    <s v="Sunday"/>
    <s v="Normal"/>
    <n v="0.14000000000000001"/>
    <n v="0.1061"/>
    <n v="0.46"/>
    <x v="13"/>
    <x v="18"/>
    <n v="51"/>
    <x v="154"/>
    <x v="0"/>
    <x v="0"/>
    <x v="0"/>
  </r>
  <r>
    <n v="513"/>
    <x v="22"/>
    <x v="11"/>
    <b v="0"/>
    <s v="Sunday"/>
    <s v="Normal"/>
    <n v="0.14000000000000001"/>
    <n v="0.13639999999999999"/>
    <n v="0.43"/>
    <x v="6"/>
    <x v="30"/>
    <n v="77"/>
    <x v="111"/>
    <x v="0"/>
    <x v="0"/>
    <x v="0"/>
  </r>
  <r>
    <n v="514"/>
    <x v="22"/>
    <x v="12"/>
    <b v="0"/>
    <s v="Sunday"/>
    <s v="Normal"/>
    <n v="0.16"/>
    <n v="0.1212"/>
    <n v="0.37"/>
    <x v="17"/>
    <x v="31"/>
    <n v="92"/>
    <x v="155"/>
    <x v="0"/>
    <x v="0"/>
    <x v="0"/>
  </r>
  <r>
    <n v="515"/>
    <x v="22"/>
    <x v="13"/>
    <b v="0"/>
    <s v="Sunday"/>
    <s v="Normal"/>
    <n v="0.14000000000000001"/>
    <n v="0.1061"/>
    <n v="0.33"/>
    <x v="13"/>
    <x v="6"/>
    <n v="75"/>
    <x v="90"/>
    <x v="0"/>
    <x v="0"/>
    <x v="0"/>
  </r>
  <r>
    <n v="516"/>
    <x v="22"/>
    <x v="14"/>
    <b v="0"/>
    <s v="Sunday"/>
    <s v="Normal"/>
    <n v="0.16"/>
    <n v="0.13639999999999999"/>
    <n v="0.28000000000000003"/>
    <x v="11"/>
    <x v="26"/>
    <n v="93"/>
    <x v="14"/>
    <x v="0"/>
    <x v="0"/>
    <x v="0"/>
  </r>
  <r>
    <n v="517"/>
    <x v="22"/>
    <x v="15"/>
    <b v="0"/>
    <s v="Sunday"/>
    <s v="Normal"/>
    <n v="0.16"/>
    <n v="0.13639999999999999"/>
    <n v="0.28000000000000003"/>
    <x v="11"/>
    <x v="23"/>
    <n v="64"/>
    <x v="43"/>
    <x v="0"/>
    <x v="0"/>
    <x v="0"/>
  </r>
  <r>
    <n v="518"/>
    <x v="22"/>
    <x v="16"/>
    <b v="0"/>
    <s v="Sunday"/>
    <s v="Normal"/>
    <n v="0.16"/>
    <n v="0.13639999999999999"/>
    <n v="0.26"/>
    <x v="9"/>
    <x v="14"/>
    <n v="56"/>
    <x v="32"/>
    <x v="0"/>
    <x v="0"/>
    <x v="0"/>
  </r>
  <r>
    <n v="519"/>
    <x v="22"/>
    <x v="17"/>
    <b v="0"/>
    <s v="Sunday"/>
    <s v="Normal"/>
    <n v="0.14000000000000001"/>
    <n v="0.1061"/>
    <n v="0.26"/>
    <x v="13"/>
    <x v="2"/>
    <n v="50"/>
    <x v="97"/>
    <x v="0"/>
    <x v="2"/>
    <x v="0"/>
  </r>
  <r>
    <n v="520"/>
    <x v="22"/>
    <x v="18"/>
    <b v="0"/>
    <s v="Sunday"/>
    <s v="Normal"/>
    <n v="0.12"/>
    <n v="0.1212"/>
    <n v="0.3"/>
    <x v="2"/>
    <x v="2"/>
    <n v="44"/>
    <x v="99"/>
    <x v="0"/>
    <x v="2"/>
    <x v="0"/>
  </r>
  <r>
    <n v="521"/>
    <x v="22"/>
    <x v="19"/>
    <b v="0"/>
    <s v="Sunday"/>
    <s v="Normal"/>
    <n v="0.12"/>
    <n v="0.1212"/>
    <n v="0.3"/>
    <x v="3"/>
    <x v="2"/>
    <n v="45"/>
    <x v="89"/>
    <x v="0"/>
    <x v="2"/>
    <x v="0"/>
  </r>
  <r>
    <n v="522"/>
    <x v="22"/>
    <x v="20"/>
    <b v="0"/>
    <s v="Sunday"/>
    <s v="Normal"/>
    <n v="0.1"/>
    <n v="0.1061"/>
    <n v="0.36"/>
    <x v="2"/>
    <x v="17"/>
    <n v="31"/>
    <x v="17"/>
    <x v="0"/>
    <x v="0"/>
    <x v="0"/>
  </r>
  <r>
    <n v="523"/>
    <x v="22"/>
    <x v="21"/>
    <b v="0"/>
    <s v="Sunday"/>
    <s v="Normal"/>
    <n v="0.1"/>
    <n v="0.1061"/>
    <n v="0.36"/>
    <x v="5"/>
    <x v="2"/>
    <n v="20"/>
    <x v="94"/>
    <x v="0"/>
    <x v="0"/>
    <x v="0"/>
  </r>
  <r>
    <n v="524"/>
    <x v="22"/>
    <x v="22"/>
    <b v="0"/>
    <s v="Sunday"/>
    <s v="Normal"/>
    <n v="0.08"/>
    <n v="9.0899999999999995E-2"/>
    <n v="0.38"/>
    <x v="5"/>
    <x v="2"/>
    <n v="23"/>
    <x v="20"/>
    <x v="0"/>
    <x v="0"/>
    <x v="0"/>
  </r>
  <r>
    <n v="525"/>
    <x v="22"/>
    <x v="23"/>
    <b v="0"/>
    <s v="Sunday"/>
    <s v="Normal"/>
    <n v="0.06"/>
    <n v="6.0600000000000001E-2"/>
    <n v="0.41"/>
    <x v="6"/>
    <x v="17"/>
    <n v="17"/>
    <x v="137"/>
    <x v="0"/>
    <x v="0"/>
    <x v="0"/>
  </r>
  <r>
    <n v="526"/>
    <x v="23"/>
    <x v="0"/>
    <b v="0"/>
    <s v="Monday"/>
    <s v="Normal"/>
    <n v="0.06"/>
    <n v="6.0600000000000001E-2"/>
    <n v="0.41"/>
    <x v="5"/>
    <x v="3"/>
    <n v="7"/>
    <x v="85"/>
    <x v="1"/>
    <x v="0"/>
    <x v="0"/>
  </r>
  <r>
    <n v="527"/>
    <x v="23"/>
    <x v="1"/>
    <b v="0"/>
    <s v="Monday"/>
    <s v="Normal"/>
    <n v="0.04"/>
    <n v="4.5499999999999999E-2"/>
    <n v="0.45"/>
    <x v="5"/>
    <x v="3"/>
    <n v="1"/>
    <x v="4"/>
    <x v="1"/>
    <x v="0"/>
    <x v="0"/>
  </r>
  <r>
    <n v="528"/>
    <x v="23"/>
    <x v="3"/>
    <b v="0"/>
    <s v="Monday"/>
    <s v="Normal"/>
    <n v="0.04"/>
    <n v="3.0300000000000001E-2"/>
    <n v="0.45"/>
    <x v="2"/>
    <x v="3"/>
    <n v="1"/>
    <x v="4"/>
    <x v="1"/>
    <x v="0"/>
    <x v="0"/>
  </r>
  <r>
    <n v="529"/>
    <x v="23"/>
    <x v="4"/>
    <b v="0"/>
    <s v="Monday"/>
    <s v="Normal"/>
    <n v="0.02"/>
    <n v="6.0600000000000001E-2"/>
    <n v="0.48"/>
    <x v="7"/>
    <x v="3"/>
    <n v="1"/>
    <x v="4"/>
    <x v="1"/>
    <x v="0"/>
    <x v="0"/>
  </r>
  <r>
    <n v="530"/>
    <x v="23"/>
    <x v="5"/>
    <b v="0"/>
    <s v="Monday"/>
    <s v="Normal"/>
    <n v="0.02"/>
    <n v="6.0600000000000001E-2"/>
    <n v="0.48"/>
    <x v="7"/>
    <x v="3"/>
    <n v="5"/>
    <x v="36"/>
    <x v="1"/>
    <x v="0"/>
    <x v="0"/>
  </r>
  <r>
    <n v="531"/>
    <x v="23"/>
    <x v="6"/>
    <b v="0"/>
    <s v="Monday"/>
    <s v="Normal"/>
    <n v="0.02"/>
    <n v="7.5800000000000006E-2"/>
    <n v="0.48"/>
    <x v="1"/>
    <x v="3"/>
    <n v="15"/>
    <x v="93"/>
    <x v="1"/>
    <x v="0"/>
    <x v="0"/>
  </r>
  <r>
    <n v="532"/>
    <x v="23"/>
    <x v="7"/>
    <b v="0"/>
    <s v="Monday"/>
    <s v="Normal"/>
    <n v="0.02"/>
    <n v="0.1212"/>
    <n v="0.48"/>
    <x v="0"/>
    <x v="2"/>
    <n v="79"/>
    <x v="11"/>
    <x v="1"/>
    <x v="1"/>
    <x v="0"/>
  </r>
  <r>
    <n v="533"/>
    <x v="23"/>
    <x v="8"/>
    <b v="0"/>
    <s v="Monday"/>
    <s v="Normal"/>
    <n v="0.04"/>
    <n v="0.13639999999999999"/>
    <n v="0.49"/>
    <x v="0"/>
    <x v="15"/>
    <n v="171"/>
    <x v="156"/>
    <x v="1"/>
    <x v="1"/>
    <x v="0"/>
  </r>
  <r>
    <n v="534"/>
    <x v="23"/>
    <x v="9"/>
    <b v="0"/>
    <s v="Monday"/>
    <s v="Normal"/>
    <n v="0.06"/>
    <n v="0.1515"/>
    <n v="0.41"/>
    <x v="0"/>
    <x v="17"/>
    <n v="98"/>
    <x v="96"/>
    <x v="1"/>
    <x v="1"/>
    <x v="0"/>
  </r>
  <r>
    <n v="535"/>
    <x v="23"/>
    <x v="10"/>
    <b v="0"/>
    <s v="Monday"/>
    <s v="Normal"/>
    <n v="0.1"/>
    <n v="0.13639999999999999"/>
    <n v="0.42"/>
    <x v="0"/>
    <x v="15"/>
    <n v="34"/>
    <x v="1"/>
    <x v="1"/>
    <x v="0"/>
    <x v="0"/>
  </r>
  <r>
    <n v="536"/>
    <x v="23"/>
    <x v="11"/>
    <b v="0"/>
    <s v="Monday"/>
    <s v="Normal"/>
    <n v="0.1"/>
    <n v="0.1212"/>
    <n v="0.46"/>
    <x v="7"/>
    <x v="0"/>
    <n v="43"/>
    <x v="66"/>
    <x v="1"/>
    <x v="0"/>
    <x v="0"/>
  </r>
  <r>
    <n v="537"/>
    <x v="23"/>
    <x v="12"/>
    <b v="0"/>
    <s v="Monday"/>
    <s v="Yellow Alert"/>
    <n v="0.12"/>
    <n v="0.13639999999999999"/>
    <n v="0.42"/>
    <x v="5"/>
    <x v="16"/>
    <n v="52"/>
    <x v="55"/>
    <x v="1"/>
    <x v="0"/>
    <x v="1"/>
  </r>
  <r>
    <n v="538"/>
    <x v="23"/>
    <x v="13"/>
    <b v="0"/>
    <s v="Monday"/>
    <s v="Yellow Alert"/>
    <n v="0.14000000000000001"/>
    <n v="0.13639999999999999"/>
    <n v="0.43"/>
    <x v="6"/>
    <x v="15"/>
    <n v="54"/>
    <x v="122"/>
    <x v="1"/>
    <x v="0"/>
    <x v="1"/>
  </r>
  <r>
    <n v="539"/>
    <x v="23"/>
    <x v="14"/>
    <b v="0"/>
    <s v="Monday"/>
    <s v="Yellow Alert"/>
    <n v="0.14000000000000001"/>
    <n v="0.13639999999999999"/>
    <n v="0.46"/>
    <x v="6"/>
    <x v="4"/>
    <n v="43"/>
    <x v="79"/>
    <x v="1"/>
    <x v="0"/>
    <x v="1"/>
  </r>
  <r>
    <n v="540"/>
    <x v="23"/>
    <x v="15"/>
    <b v="0"/>
    <s v="Monday"/>
    <s v="Normal"/>
    <n v="0.16"/>
    <n v="0.16669999999999999"/>
    <n v="0.4"/>
    <x v="8"/>
    <x v="18"/>
    <n v="50"/>
    <x v="52"/>
    <x v="1"/>
    <x v="0"/>
    <x v="0"/>
  </r>
  <r>
    <n v="541"/>
    <x v="23"/>
    <x v="16"/>
    <b v="0"/>
    <s v="Monday"/>
    <s v="Normal"/>
    <n v="0.16"/>
    <n v="0.1515"/>
    <n v="0.47"/>
    <x v="2"/>
    <x v="17"/>
    <n v="66"/>
    <x v="27"/>
    <x v="1"/>
    <x v="0"/>
    <x v="0"/>
  </r>
  <r>
    <n v="542"/>
    <x v="23"/>
    <x v="17"/>
    <b v="0"/>
    <s v="Monday"/>
    <s v="Normal"/>
    <n v="0.14000000000000001"/>
    <n v="0.1212"/>
    <n v="0.5"/>
    <x v="2"/>
    <x v="15"/>
    <n v="178"/>
    <x v="157"/>
    <x v="1"/>
    <x v="2"/>
    <x v="0"/>
  </r>
  <r>
    <n v="543"/>
    <x v="23"/>
    <x v="18"/>
    <b v="0"/>
    <s v="Monday"/>
    <s v="Normal"/>
    <n v="0.14000000000000001"/>
    <n v="0.13639999999999999"/>
    <n v="0.59"/>
    <x v="5"/>
    <x v="1"/>
    <n v="145"/>
    <x v="158"/>
    <x v="1"/>
    <x v="2"/>
    <x v="0"/>
  </r>
  <r>
    <n v="544"/>
    <x v="23"/>
    <x v="19"/>
    <b v="0"/>
    <s v="Monday"/>
    <s v="Normal"/>
    <n v="0.14000000000000001"/>
    <n v="0.1515"/>
    <n v="0.54"/>
    <x v="8"/>
    <x v="2"/>
    <n v="101"/>
    <x v="13"/>
    <x v="1"/>
    <x v="2"/>
    <x v="0"/>
  </r>
  <r>
    <n v="545"/>
    <x v="23"/>
    <x v="20"/>
    <b v="0"/>
    <s v="Monday"/>
    <s v="Normal"/>
    <n v="0.14000000000000001"/>
    <n v="0.13639999999999999"/>
    <n v="0.59"/>
    <x v="5"/>
    <x v="5"/>
    <n v="80"/>
    <x v="117"/>
    <x v="1"/>
    <x v="0"/>
    <x v="0"/>
  </r>
  <r>
    <n v="546"/>
    <x v="23"/>
    <x v="21"/>
    <b v="0"/>
    <s v="Monday"/>
    <s v="Normal"/>
    <n v="0.14000000000000001"/>
    <n v="0.1515"/>
    <n v="0.63"/>
    <x v="8"/>
    <x v="15"/>
    <n v="53"/>
    <x v="29"/>
    <x v="1"/>
    <x v="0"/>
    <x v="0"/>
  </r>
  <r>
    <n v="547"/>
    <x v="23"/>
    <x v="22"/>
    <b v="0"/>
    <s v="Monday"/>
    <s v="Yellow Alert"/>
    <n v="0.14000000000000001"/>
    <n v="0.13639999999999999"/>
    <n v="0.63"/>
    <x v="6"/>
    <x v="0"/>
    <n v="32"/>
    <x v="17"/>
    <x v="1"/>
    <x v="0"/>
    <x v="1"/>
  </r>
  <r>
    <n v="548"/>
    <x v="23"/>
    <x v="23"/>
    <b v="0"/>
    <s v="Monday"/>
    <s v="Yellow Alert"/>
    <n v="0.16"/>
    <n v="0.1515"/>
    <n v="0.64"/>
    <x v="2"/>
    <x v="0"/>
    <n v="21"/>
    <x v="108"/>
    <x v="1"/>
    <x v="0"/>
    <x v="1"/>
  </r>
  <r>
    <n v="549"/>
    <x v="24"/>
    <x v="0"/>
    <b v="0"/>
    <s v="Tuesday"/>
    <s v="Yellow Alert"/>
    <n v="0.16"/>
    <n v="0.13639999999999999"/>
    <n v="0.69"/>
    <x v="3"/>
    <x v="0"/>
    <n v="6"/>
    <x v="23"/>
    <x v="1"/>
    <x v="0"/>
    <x v="1"/>
  </r>
  <r>
    <n v="550"/>
    <x v="24"/>
    <x v="1"/>
    <b v="0"/>
    <s v="Tuesday"/>
    <s v="Yellow Alert"/>
    <n v="0.16"/>
    <n v="0.16669999999999999"/>
    <n v="0.69"/>
    <x v="8"/>
    <x v="3"/>
    <n v="5"/>
    <x v="36"/>
    <x v="1"/>
    <x v="0"/>
    <x v="1"/>
  </r>
  <r>
    <n v="551"/>
    <x v="24"/>
    <x v="2"/>
    <b v="0"/>
    <s v="Tuesday"/>
    <s v="Normal"/>
    <n v="0.16"/>
    <n v="0.1515"/>
    <n v="0.69"/>
    <x v="6"/>
    <x v="3"/>
    <n v="2"/>
    <x v="5"/>
    <x v="1"/>
    <x v="0"/>
    <x v="0"/>
  </r>
  <r>
    <n v="552"/>
    <x v="24"/>
    <x v="4"/>
    <b v="0"/>
    <s v="Tuesday"/>
    <s v="Normal"/>
    <n v="0.14000000000000001"/>
    <n v="0.16669999999999999"/>
    <n v="0.74"/>
    <x v="14"/>
    <x v="3"/>
    <n v="1"/>
    <x v="4"/>
    <x v="1"/>
    <x v="0"/>
    <x v="0"/>
  </r>
  <r>
    <n v="553"/>
    <x v="24"/>
    <x v="5"/>
    <b v="0"/>
    <s v="Tuesday"/>
    <s v="Normal"/>
    <n v="0.14000000000000001"/>
    <n v="0.13639999999999999"/>
    <n v="0.74"/>
    <x v="6"/>
    <x v="3"/>
    <n v="9"/>
    <x v="23"/>
    <x v="1"/>
    <x v="0"/>
    <x v="0"/>
  </r>
  <r>
    <n v="554"/>
    <x v="24"/>
    <x v="6"/>
    <b v="0"/>
    <s v="Tuesday"/>
    <s v="Normal"/>
    <n v="0.16"/>
    <n v="0.18179999999999999"/>
    <n v="0.74"/>
    <x v="14"/>
    <x v="5"/>
    <n v="35"/>
    <x v="9"/>
    <x v="1"/>
    <x v="0"/>
    <x v="0"/>
  </r>
  <r>
    <n v="555"/>
    <x v="24"/>
    <x v="7"/>
    <b v="0"/>
    <s v="Tuesday"/>
    <s v="Normal"/>
    <n v="0.16"/>
    <n v="0.1515"/>
    <n v="0.74"/>
    <x v="6"/>
    <x v="2"/>
    <n v="103"/>
    <x v="159"/>
    <x v="1"/>
    <x v="1"/>
    <x v="0"/>
  </r>
  <r>
    <n v="556"/>
    <x v="24"/>
    <x v="8"/>
    <b v="0"/>
    <s v="Tuesday"/>
    <s v="Yellow Alert"/>
    <n v="0.16"/>
    <n v="0.18179999999999999"/>
    <n v="0.74"/>
    <x v="7"/>
    <x v="2"/>
    <n v="233"/>
    <x v="160"/>
    <x v="1"/>
    <x v="1"/>
    <x v="1"/>
  </r>
  <r>
    <n v="557"/>
    <x v="24"/>
    <x v="9"/>
    <b v="0"/>
    <s v="Tuesday"/>
    <s v="Yellow Alert"/>
    <n v="0.2"/>
    <n v="0.2273"/>
    <n v="0.64"/>
    <x v="1"/>
    <x v="22"/>
    <n v="134"/>
    <x v="124"/>
    <x v="1"/>
    <x v="1"/>
    <x v="1"/>
  </r>
  <r>
    <n v="558"/>
    <x v="24"/>
    <x v="10"/>
    <b v="0"/>
    <s v="Tuesday"/>
    <s v="Yellow Alert"/>
    <n v="0.22"/>
    <n v="0.2424"/>
    <n v="0.6"/>
    <x v="14"/>
    <x v="15"/>
    <n v="49"/>
    <x v="97"/>
    <x v="1"/>
    <x v="0"/>
    <x v="1"/>
  </r>
  <r>
    <n v="559"/>
    <x v="24"/>
    <x v="11"/>
    <b v="0"/>
    <s v="Tuesday"/>
    <s v="Yellow Alert"/>
    <n v="0.24"/>
    <n v="0.2424"/>
    <n v="0.6"/>
    <x v="7"/>
    <x v="15"/>
    <n v="55"/>
    <x v="42"/>
    <x v="1"/>
    <x v="0"/>
    <x v="1"/>
  </r>
  <r>
    <n v="560"/>
    <x v="24"/>
    <x v="12"/>
    <b v="0"/>
    <s v="Tuesday"/>
    <s v="Yellow Alert"/>
    <n v="0.26"/>
    <n v="0.28789999999999999"/>
    <n v="0.56000000000000005"/>
    <x v="1"/>
    <x v="27"/>
    <n v="85"/>
    <x v="13"/>
    <x v="1"/>
    <x v="0"/>
    <x v="1"/>
  </r>
  <r>
    <n v="561"/>
    <x v="24"/>
    <x v="13"/>
    <b v="0"/>
    <s v="Tuesday"/>
    <s v="Yellow Alert"/>
    <n v="0.26"/>
    <n v="0.2727"/>
    <n v="0.56000000000000005"/>
    <x v="7"/>
    <x v="27"/>
    <n v="72"/>
    <x v="15"/>
    <x v="1"/>
    <x v="0"/>
    <x v="1"/>
  </r>
  <r>
    <n v="562"/>
    <x v="24"/>
    <x v="14"/>
    <b v="0"/>
    <s v="Tuesday"/>
    <s v="Yellow Alert"/>
    <n v="0.3"/>
    <n v="0.33329999999999999"/>
    <n v="0.45"/>
    <x v="0"/>
    <x v="16"/>
    <n v="57"/>
    <x v="118"/>
    <x v="1"/>
    <x v="0"/>
    <x v="1"/>
  </r>
  <r>
    <n v="563"/>
    <x v="24"/>
    <x v="15"/>
    <b v="0"/>
    <s v="Tuesday"/>
    <s v="Yellow Alert"/>
    <n v="0.32"/>
    <n v="0.34849999999999998"/>
    <n v="0.42"/>
    <x v="0"/>
    <x v="27"/>
    <n v="63"/>
    <x v="11"/>
    <x v="1"/>
    <x v="0"/>
    <x v="1"/>
  </r>
  <r>
    <n v="564"/>
    <x v="24"/>
    <x v="16"/>
    <b v="0"/>
    <s v="Tuesday"/>
    <s v="Yellow Alert"/>
    <n v="0.32"/>
    <n v="0.34849999999999998"/>
    <n v="0.42"/>
    <x v="0"/>
    <x v="24"/>
    <n v="102"/>
    <x v="155"/>
    <x v="1"/>
    <x v="0"/>
    <x v="1"/>
  </r>
  <r>
    <n v="565"/>
    <x v="24"/>
    <x v="17"/>
    <b v="0"/>
    <s v="Tuesday"/>
    <s v="Normal"/>
    <n v="0.3"/>
    <n v="0.33329999999999999"/>
    <n v="0.45"/>
    <x v="0"/>
    <x v="24"/>
    <n v="208"/>
    <x v="161"/>
    <x v="1"/>
    <x v="2"/>
    <x v="0"/>
  </r>
  <r>
    <n v="566"/>
    <x v="24"/>
    <x v="18"/>
    <b v="0"/>
    <s v="Tuesday"/>
    <s v="Yellow Alert"/>
    <n v="0.3"/>
    <n v="0.31819999999999998"/>
    <n v="0.49"/>
    <x v="1"/>
    <x v="18"/>
    <n v="218"/>
    <x v="162"/>
    <x v="1"/>
    <x v="2"/>
    <x v="1"/>
  </r>
  <r>
    <n v="567"/>
    <x v="24"/>
    <x v="19"/>
    <b v="0"/>
    <s v="Tuesday"/>
    <s v="Yellow Alert"/>
    <n v="0.26"/>
    <n v="0.2576"/>
    <n v="0.65"/>
    <x v="8"/>
    <x v="23"/>
    <n v="133"/>
    <x v="163"/>
    <x v="1"/>
    <x v="2"/>
    <x v="1"/>
  </r>
  <r>
    <n v="568"/>
    <x v="24"/>
    <x v="20"/>
    <b v="0"/>
    <s v="Tuesday"/>
    <s v="Normal"/>
    <n v="0.24"/>
    <n v="0.2273"/>
    <n v="0.65"/>
    <x v="5"/>
    <x v="19"/>
    <n v="103"/>
    <x v="164"/>
    <x v="1"/>
    <x v="0"/>
    <x v="0"/>
  </r>
  <r>
    <n v="569"/>
    <x v="24"/>
    <x v="21"/>
    <b v="0"/>
    <s v="Tuesday"/>
    <s v="Normal"/>
    <n v="0.24"/>
    <n v="0.2273"/>
    <n v="0.65"/>
    <x v="5"/>
    <x v="2"/>
    <n v="40"/>
    <x v="79"/>
    <x v="1"/>
    <x v="0"/>
    <x v="0"/>
  </r>
  <r>
    <n v="570"/>
    <x v="24"/>
    <x v="22"/>
    <b v="0"/>
    <s v="Tuesday"/>
    <s v="Normal"/>
    <n v="0.22"/>
    <n v="0.2273"/>
    <n v="0.64"/>
    <x v="8"/>
    <x v="17"/>
    <n v="49"/>
    <x v="26"/>
    <x v="1"/>
    <x v="0"/>
    <x v="0"/>
  </r>
  <r>
    <n v="571"/>
    <x v="24"/>
    <x v="23"/>
    <b v="0"/>
    <s v="Tuesday"/>
    <s v="Yellow Alert"/>
    <n v="0.22"/>
    <n v="0.2273"/>
    <n v="0.64"/>
    <x v="8"/>
    <x v="0"/>
    <n v="37"/>
    <x v="1"/>
    <x v="1"/>
    <x v="0"/>
    <x v="1"/>
  </r>
  <r>
    <n v="572"/>
    <x v="25"/>
    <x v="0"/>
    <b v="0"/>
    <s v="Wednesday"/>
    <s v="Yellow Alert"/>
    <n v="0.22"/>
    <n v="0.2273"/>
    <n v="0.69"/>
    <x v="7"/>
    <x v="0"/>
    <n v="14"/>
    <x v="22"/>
    <x v="1"/>
    <x v="0"/>
    <x v="1"/>
  </r>
  <r>
    <n v="573"/>
    <x v="25"/>
    <x v="1"/>
    <b v="0"/>
    <s v="Wednesday"/>
    <s v="Yellow Alert"/>
    <n v="0.24"/>
    <n v="0.2424"/>
    <n v="0.65"/>
    <x v="7"/>
    <x v="3"/>
    <n v="5"/>
    <x v="36"/>
    <x v="1"/>
    <x v="0"/>
    <x v="1"/>
  </r>
  <r>
    <n v="574"/>
    <x v="25"/>
    <x v="2"/>
    <b v="0"/>
    <s v="Wednesday"/>
    <s v="Orange Alert"/>
    <n v="0.22"/>
    <n v="0.2273"/>
    <n v="0.69"/>
    <x v="5"/>
    <x v="0"/>
    <n v="7"/>
    <x v="98"/>
    <x v="1"/>
    <x v="0"/>
    <x v="2"/>
  </r>
  <r>
    <n v="575"/>
    <x v="25"/>
    <x v="5"/>
    <b v="0"/>
    <s v="Wednesday"/>
    <s v="Orange Alert"/>
    <n v="0.2"/>
    <n v="0.18179999999999999"/>
    <n v="0.86"/>
    <x v="3"/>
    <x v="3"/>
    <n v="1"/>
    <x v="4"/>
    <x v="1"/>
    <x v="0"/>
    <x v="2"/>
  </r>
  <r>
    <n v="576"/>
    <x v="25"/>
    <x v="6"/>
    <b v="0"/>
    <s v="Wednesday"/>
    <s v="Orange Alert"/>
    <n v="0.2"/>
    <n v="0.18179999999999999"/>
    <n v="0.86"/>
    <x v="3"/>
    <x v="3"/>
    <n v="8"/>
    <x v="7"/>
    <x v="1"/>
    <x v="0"/>
    <x v="2"/>
  </r>
  <r>
    <n v="577"/>
    <x v="25"/>
    <x v="7"/>
    <b v="0"/>
    <s v="Wednesday"/>
    <s v="Orange Alert"/>
    <n v="0.22"/>
    <n v="0.21210000000000001"/>
    <n v="0.87"/>
    <x v="4"/>
    <x v="5"/>
    <n v="29"/>
    <x v="33"/>
    <x v="1"/>
    <x v="1"/>
    <x v="2"/>
  </r>
  <r>
    <n v="578"/>
    <x v="25"/>
    <x v="8"/>
    <b v="0"/>
    <s v="Wednesday"/>
    <s v="Orange Alert"/>
    <n v="0.22"/>
    <n v="0.21210000000000001"/>
    <n v="0.87"/>
    <x v="4"/>
    <x v="0"/>
    <n v="69"/>
    <x v="44"/>
    <x v="1"/>
    <x v="1"/>
    <x v="2"/>
  </r>
  <r>
    <n v="579"/>
    <x v="25"/>
    <x v="9"/>
    <b v="0"/>
    <s v="Wednesday"/>
    <s v="Orange Alert"/>
    <n v="0.22"/>
    <n v="0.21210000000000001"/>
    <n v="0.87"/>
    <x v="4"/>
    <x v="0"/>
    <n v="55"/>
    <x v="154"/>
    <x v="1"/>
    <x v="1"/>
    <x v="2"/>
  </r>
  <r>
    <n v="580"/>
    <x v="25"/>
    <x v="10"/>
    <b v="0"/>
    <s v="Wednesday"/>
    <s v="Orange Alert"/>
    <n v="0.22"/>
    <n v="0.21210000000000001"/>
    <n v="0.93"/>
    <x v="3"/>
    <x v="4"/>
    <n v="26"/>
    <x v="20"/>
    <x v="1"/>
    <x v="0"/>
    <x v="2"/>
  </r>
  <r>
    <n v="581"/>
    <x v="25"/>
    <x v="11"/>
    <b v="0"/>
    <s v="Wednesday"/>
    <s v="Orange Alert"/>
    <n v="0.22"/>
    <n v="0.19700000000000001"/>
    <n v="0.93"/>
    <x v="9"/>
    <x v="15"/>
    <n v="35"/>
    <x v="102"/>
    <x v="1"/>
    <x v="0"/>
    <x v="2"/>
  </r>
  <r>
    <n v="582"/>
    <x v="25"/>
    <x v="12"/>
    <b v="0"/>
    <s v="Wednesday"/>
    <s v="Orange Alert"/>
    <n v="0.22"/>
    <n v="0.19700000000000001"/>
    <n v="0.93"/>
    <x v="9"/>
    <x v="18"/>
    <n v="41"/>
    <x v="61"/>
    <x v="1"/>
    <x v="0"/>
    <x v="2"/>
  </r>
  <r>
    <n v="583"/>
    <x v="25"/>
    <x v="13"/>
    <b v="0"/>
    <s v="Wednesday"/>
    <s v="Orange Alert"/>
    <n v="0.22"/>
    <n v="0.19700000000000001"/>
    <n v="0.93"/>
    <x v="9"/>
    <x v="17"/>
    <n v="43"/>
    <x v="105"/>
    <x v="1"/>
    <x v="0"/>
    <x v="2"/>
  </r>
  <r>
    <n v="584"/>
    <x v="25"/>
    <x v="14"/>
    <b v="0"/>
    <s v="Wednesday"/>
    <s v="Orange Alert"/>
    <n v="0.22"/>
    <n v="0.19700000000000001"/>
    <n v="0.93"/>
    <x v="11"/>
    <x v="3"/>
    <n v="36"/>
    <x v="9"/>
    <x v="1"/>
    <x v="0"/>
    <x v="2"/>
  </r>
  <r>
    <n v="585"/>
    <x v="25"/>
    <x v="15"/>
    <b v="0"/>
    <s v="Wednesday"/>
    <s v="Orange Alert"/>
    <n v="0.22"/>
    <n v="0.18179999999999999"/>
    <n v="0.93"/>
    <x v="17"/>
    <x v="5"/>
    <n v="42"/>
    <x v="74"/>
    <x v="1"/>
    <x v="0"/>
    <x v="2"/>
  </r>
  <r>
    <n v="586"/>
    <x v="25"/>
    <x v="16"/>
    <b v="0"/>
    <s v="Wednesday"/>
    <s v="Red Alert"/>
    <n v="0.22"/>
    <n v="0.19700000000000001"/>
    <n v="0.93"/>
    <x v="9"/>
    <x v="5"/>
    <n v="35"/>
    <x v="9"/>
    <x v="1"/>
    <x v="0"/>
    <x v="3"/>
  </r>
  <r>
    <n v="587"/>
    <x v="25"/>
    <x v="17"/>
    <b v="0"/>
    <s v="Wednesday"/>
    <s v="Orange Alert"/>
    <n v="0.2"/>
    <n v="0.18179999999999999"/>
    <n v="0.93"/>
    <x v="11"/>
    <x v="3"/>
    <n v="26"/>
    <x v="132"/>
    <x v="1"/>
    <x v="2"/>
    <x v="2"/>
  </r>
  <r>
    <n v="588"/>
    <x v="26"/>
    <x v="16"/>
    <b v="0"/>
    <s v="Thursday"/>
    <s v="Normal"/>
    <n v="0.22"/>
    <n v="0.2273"/>
    <n v="0.55000000000000004"/>
    <x v="5"/>
    <x v="5"/>
    <n v="23"/>
    <x v="108"/>
    <x v="1"/>
    <x v="0"/>
    <x v="0"/>
  </r>
  <r>
    <n v="589"/>
    <x v="26"/>
    <x v="17"/>
    <b v="0"/>
    <s v="Thursday"/>
    <s v="Normal"/>
    <n v="0.22"/>
    <n v="0.2424"/>
    <n v="0.55000000000000004"/>
    <x v="14"/>
    <x v="4"/>
    <n v="82"/>
    <x v="11"/>
    <x v="1"/>
    <x v="2"/>
    <x v="0"/>
  </r>
  <r>
    <n v="590"/>
    <x v="26"/>
    <x v="18"/>
    <b v="0"/>
    <s v="Thursday"/>
    <s v="Normal"/>
    <n v="0.2"/>
    <n v="0.2273"/>
    <n v="0.69"/>
    <x v="1"/>
    <x v="0"/>
    <n v="101"/>
    <x v="133"/>
    <x v="1"/>
    <x v="2"/>
    <x v="0"/>
  </r>
  <r>
    <n v="591"/>
    <x v="26"/>
    <x v="19"/>
    <b v="0"/>
    <s v="Thursday"/>
    <s v="Normal"/>
    <n v="0.2"/>
    <n v="0.2273"/>
    <n v="0.69"/>
    <x v="1"/>
    <x v="0"/>
    <n v="76"/>
    <x v="67"/>
    <x v="1"/>
    <x v="2"/>
    <x v="0"/>
  </r>
  <r>
    <n v="592"/>
    <x v="26"/>
    <x v="20"/>
    <b v="0"/>
    <s v="Thursday"/>
    <s v="Normal"/>
    <n v="0.18"/>
    <n v="0.21210000000000001"/>
    <n v="0.74"/>
    <x v="1"/>
    <x v="17"/>
    <n v="55"/>
    <x v="29"/>
    <x v="1"/>
    <x v="0"/>
    <x v="0"/>
  </r>
  <r>
    <n v="593"/>
    <x v="26"/>
    <x v="21"/>
    <b v="0"/>
    <s v="Thursday"/>
    <s v="Normal"/>
    <n v="0.18"/>
    <n v="0.21210000000000001"/>
    <n v="0.74"/>
    <x v="1"/>
    <x v="4"/>
    <n v="36"/>
    <x v="103"/>
    <x v="1"/>
    <x v="0"/>
    <x v="0"/>
  </r>
  <r>
    <n v="594"/>
    <x v="26"/>
    <x v="22"/>
    <b v="0"/>
    <s v="Thursday"/>
    <s v="Normal"/>
    <n v="0.18"/>
    <n v="0.21210000000000001"/>
    <n v="0.74"/>
    <x v="1"/>
    <x v="3"/>
    <n v="27"/>
    <x v="110"/>
    <x v="1"/>
    <x v="0"/>
    <x v="0"/>
  </r>
  <r>
    <n v="595"/>
    <x v="26"/>
    <x v="23"/>
    <b v="0"/>
    <s v="Thursday"/>
    <s v="Normal"/>
    <n v="0.18"/>
    <n v="0.19700000000000001"/>
    <n v="0.8"/>
    <x v="8"/>
    <x v="3"/>
    <n v="16"/>
    <x v="0"/>
    <x v="1"/>
    <x v="0"/>
    <x v="0"/>
  </r>
  <r>
    <n v="596"/>
    <x v="27"/>
    <x v="0"/>
    <b v="0"/>
    <s v="Friday"/>
    <s v="Yellow Alert"/>
    <n v="0.2"/>
    <n v="0.21210000000000001"/>
    <n v="0.75"/>
    <x v="7"/>
    <x v="3"/>
    <n v="9"/>
    <x v="23"/>
    <x v="1"/>
    <x v="0"/>
    <x v="1"/>
  </r>
  <r>
    <n v="597"/>
    <x v="27"/>
    <x v="1"/>
    <b v="0"/>
    <s v="Friday"/>
    <s v="Yellow Alert"/>
    <n v="0.2"/>
    <n v="0.21210000000000001"/>
    <n v="0.75"/>
    <x v="7"/>
    <x v="5"/>
    <n v="2"/>
    <x v="6"/>
    <x v="1"/>
    <x v="0"/>
    <x v="1"/>
  </r>
  <r>
    <n v="598"/>
    <x v="27"/>
    <x v="2"/>
    <b v="0"/>
    <s v="Friday"/>
    <s v="Yellow Alert"/>
    <n v="0.2"/>
    <n v="0.21210000000000001"/>
    <n v="0.75"/>
    <x v="8"/>
    <x v="3"/>
    <n v="2"/>
    <x v="5"/>
    <x v="1"/>
    <x v="0"/>
    <x v="1"/>
  </r>
  <r>
    <n v="599"/>
    <x v="27"/>
    <x v="3"/>
    <b v="0"/>
    <s v="Friday"/>
    <s v="Yellow Alert"/>
    <n v="0.2"/>
    <n v="0.2273"/>
    <n v="0.75"/>
    <x v="14"/>
    <x v="5"/>
    <n v="0"/>
    <x v="4"/>
    <x v="1"/>
    <x v="0"/>
    <x v="1"/>
  </r>
  <r>
    <n v="600"/>
    <x v="27"/>
    <x v="5"/>
    <b v="0"/>
    <s v="Friday"/>
    <s v="Yellow Alert"/>
    <n v="0.18"/>
    <n v="0.21210000000000001"/>
    <n v="0.8"/>
    <x v="14"/>
    <x v="3"/>
    <n v="4"/>
    <x v="48"/>
    <x v="1"/>
    <x v="0"/>
    <x v="1"/>
  </r>
  <r>
    <n v="601"/>
    <x v="27"/>
    <x v="6"/>
    <b v="0"/>
    <s v="Friday"/>
    <s v="Yellow Alert"/>
    <n v="0.18"/>
    <n v="0.19700000000000001"/>
    <n v="0.8"/>
    <x v="7"/>
    <x v="3"/>
    <n v="16"/>
    <x v="0"/>
    <x v="1"/>
    <x v="0"/>
    <x v="1"/>
  </r>
  <r>
    <n v="602"/>
    <x v="27"/>
    <x v="7"/>
    <b v="0"/>
    <s v="Friday"/>
    <s v="Yellow Alert"/>
    <n v="0.16"/>
    <n v="0.19700000000000001"/>
    <n v="0.86"/>
    <x v="1"/>
    <x v="4"/>
    <n v="58"/>
    <x v="122"/>
    <x v="1"/>
    <x v="1"/>
    <x v="1"/>
  </r>
  <r>
    <n v="603"/>
    <x v="27"/>
    <x v="8"/>
    <b v="0"/>
    <s v="Friday"/>
    <s v="Yellow Alert"/>
    <n v="0.16"/>
    <n v="0.19700000000000001"/>
    <n v="0.86"/>
    <x v="1"/>
    <x v="4"/>
    <n v="155"/>
    <x v="45"/>
    <x v="1"/>
    <x v="1"/>
    <x v="1"/>
  </r>
  <r>
    <n v="604"/>
    <x v="27"/>
    <x v="9"/>
    <b v="0"/>
    <s v="Friday"/>
    <s v="Orange Alert"/>
    <n v="0.18"/>
    <n v="0.21210000000000001"/>
    <n v="0.86"/>
    <x v="1"/>
    <x v="15"/>
    <n v="95"/>
    <x v="129"/>
    <x v="1"/>
    <x v="1"/>
    <x v="2"/>
  </r>
  <r>
    <n v="605"/>
    <x v="27"/>
    <x v="10"/>
    <b v="0"/>
    <s v="Friday"/>
    <s v="Orange Alert"/>
    <n v="0.18"/>
    <n v="0.21210000000000001"/>
    <n v="0.86"/>
    <x v="14"/>
    <x v="3"/>
    <n v="49"/>
    <x v="99"/>
    <x v="1"/>
    <x v="0"/>
    <x v="2"/>
  </r>
  <r>
    <n v="606"/>
    <x v="27"/>
    <x v="11"/>
    <b v="0"/>
    <s v="Friday"/>
    <s v="Orange Alert"/>
    <n v="0.18"/>
    <n v="0.21210000000000001"/>
    <n v="0.93"/>
    <x v="14"/>
    <x v="3"/>
    <n v="30"/>
    <x v="33"/>
    <x v="1"/>
    <x v="0"/>
    <x v="2"/>
  </r>
  <r>
    <n v="607"/>
    <x v="27"/>
    <x v="12"/>
    <b v="0"/>
    <s v="Friday"/>
    <s v="Orange Alert"/>
    <n v="0.18"/>
    <n v="0.21210000000000001"/>
    <n v="0.93"/>
    <x v="14"/>
    <x v="5"/>
    <n v="28"/>
    <x v="115"/>
    <x v="1"/>
    <x v="0"/>
    <x v="2"/>
  </r>
  <r>
    <n v="608"/>
    <x v="27"/>
    <x v="13"/>
    <b v="0"/>
    <s v="Friday"/>
    <s v="Orange Alert"/>
    <n v="0.18"/>
    <n v="0.21210000000000001"/>
    <n v="0.93"/>
    <x v="14"/>
    <x v="3"/>
    <n v="31"/>
    <x v="35"/>
    <x v="1"/>
    <x v="0"/>
    <x v="2"/>
  </r>
  <r>
    <n v="609"/>
    <x v="27"/>
    <x v="14"/>
    <b v="0"/>
    <s v="Friday"/>
    <s v="Orange Alert"/>
    <n v="0.22"/>
    <n v="0.2727"/>
    <n v="0.8"/>
    <x v="0"/>
    <x v="4"/>
    <n v="36"/>
    <x v="103"/>
    <x v="1"/>
    <x v="0"/>
    <x v="2"/>
  </r>
  <r>
    <n v="610"/>
    <x v="27"/>
    <x v="15"/>
    <b v="0"/>
    <s v="Friday"/>
    <s v="Yellow Alert"/>
    <n v="0.2"/>
    <n v="0.2576"/>
    <n v="0.86"/>
    <x v="0"/>
    <x v="5"/>
    <n v="40"/>
    <x v="102"/>
    <x v="1"/>
    <x v="0"/>
    <x v="1"/>
  </r>
  <r>
    <n v="611"/>
    <x v="27"/>
    <x v="16"/>
    <b v="0"/>
    <s v="Friday"/>
    <s v="Normal"/>
    <n v="0.22"/>
    <n v="0.2727"/>
    <n v="0.8"/>
    <x v="0"/>
    <x v="22"/>
    <n v="70"/>
    <x v="138"/>
    <x v="1"/>
    <x v="0"/>
    <x v="0"/>
  </r>
  <r>
    <n v="612"/>
    <x v="27"/>
    <x v="17"/>
    <b v="0"/>
    <s v="Friday"/>
    <s v="Normal"/>
    <n v="0.24"/>
    <n v="0.2424"/>
    <n v="0.75"/>
    <x v="7"/>
    <x v="4"/>
    <n v="147"/>
    <x v="165"/>
    <x v="1"/>
    <x v="2"/>
    <x v="0"/>
  </r>
  <r>
    <n v="613"/>
    <x v="27"/>
    <x v="18"/>
    <b v="0"/>
    <s v="Friday"/>
    <s v="Normal"/>
    <n v="0.24"/>
    <n v="0.2273"/>
    <n v="0.75"/>
    <x v="5"/>
    <x v="4"/>
    <n v="107"/>
    <x v="142"/>
    <x v="1"/>
    <x v="2"/>
    <x v="0"/>
  </r>
  <r>
    <n v="614"/>
    <x v="27"/>
    <x v="19"/>
    <b v="0"/>
    <s v="Friday"/>
    <s v="Yellow Alert"/>
    <n v="0.24"/>
    <n v="0.2424"/>
    <n v="0.75"/>
    <x v="7"/>
    <x v="2"/>
    <n v="84"/>
    <x v="70"/>
    <x v="1"/>
    <x v="2"/>
    <x v="1"/>
  </r>
  <r>
    <n v="615"/>
    <x v="27"/>
    <x v="20"/>
    <b v="0"/>
    <s v="Friday"/>
    <s v="Yellow Alert"/>
    <n v="0.24"/>
    <n v="0.2273"/>
    <n v="0.7"/>
    <x v="5"/>
    <x v="5"/>
    <n v="61"/>
    <x v="69"/>
    <x v="1"/>
    <x v="0"/>
    <x v="1"/>
  </r>
  <r>
    <n v="616"/>
    <x v="27"/>
    <x v="21"/>
    <b v="0"/>
    <s v="Friday"/>
    <s v="Yellow Alert"/>
    <n v="0.22"/>
    <n v="0.2273"/>
    <n v="0.75"/>
    <x v="7"/>
    <x v="5"/>
    <n v="57"/>
    <x v="154"/>
    <x v="1"/>
    <x v="0"/>
    <x v="1"/>
  </r>
  <r>
    <n v="617"/>
    <x v="27"/>
    <x v="22"/>
    <b v="0"/>
    <s v="Friday"/>
    <s v="Normal"/>
    <n v="0.24"/>
    <n v="0.21210000000000001"/>
    <n v="0.65"/>
    <x v="11"/>
    <x v="3"/>
    <n v="26"/>
    <x v="132"/>
    <x v="1"/>
    <x v="0"/>
    <x v="0"/>
  </r>
  <r>
    <n v="618"/>
    <x v="27"/>
    <x v="23"/>
    <b v="0"/>
    <s v="Friday"/>
    <s v="Normal"/>
    <n v="0.24"/>
    <n v="0.2273"/>
    <n v="0.6"/>
    <x v="6"/>
    <x v="5"/>
    <n v="22"/>
    <x v="84"/>
    <x v="1"/>
    <x v="0"/>
    <x v="0"/>
  </r>
  <r>
    <n v="619"/>
    <x v="28"/>
    <x v="0"/>
    <b v="0"/>
    <s v="Saturday"/>
    <s v="Normal"/>
    <n v="0.22"/>
    <n v="0.19700000000000001"/>
    <n v="0.64"/>
    <x v="11"/>
    <x v="4"/>
    <n v="26"/>
    <x v="20"/>
    <x v="0"/>
    <x v="0"/>
    <x v="0"/>
  </r>
  <r>
    <n v="620"/>
    <x v="28"/>
    <x v="1"/>
    <b v="0"/>
    <s v="Saturday"/>
    <s v="Normal"/>
    <n v="0.22"/>
    <n v="0.2273"/>
    <n v="0.64"/>
    <x v="5"/>
    <x v="3"/>
    <n v="20"/>
    <x v="25"/>
    <x v="0"/>
    <x v="0"/>
    <x v="0"/>
  </r>
  <r>
    <n v="621"/>
    <x v="28"/>
    <x v="2"/>
    <b v="0"/>
    <s v="Saturday"/>
    <s v="Normal"/>
    <n v="0.22"/>
    <n v="0.2273"/>
    <n v="0.64"/>
    <x v="8"/>
    <x v="3"/>
    <n v="15"/>
    <x v="93"/>
    <x v="0"/>
    <x v="0"/>
    <x v="0"/>
  </r>
  <r>
    <n v="622"/>
    <x v="28"/>
    <x v="3"/>
    <b v="0"/>
    <s v="Saturday"/>
    <s v="Normal"/>
    <n v="0.2"/>
    <n v="0.21210000000000001"/>
    <n v="0.64"/>
    <x v="7"/>
    <x v="0"/>
    <n v="5"/>
    <x v="7"/>
    <x v="0"/>
    <x v="0"/>
    <x v="0"/>
  </r>
  <r>
    <n v="623"/>
    <x v="28"/>
    <x v="4"/>
    <b v="0"/>
    <s v="Saturday"/>
    <s v="Normal"/>
    <n v="0.16"/>
    <n v="0.18179999999999999"/>
    <n v="0.69"/>
    <x v="14"/>
    <x v="5"/>
    <n v="2"/>
    <x v="6"/>
    <x v="0"/>
    <x v="0"/>
    <x v="0"/>
  </r>
  <r>
    <n v="624"/>
    <x v="28"/>
    <x v="6"/>
    <b v="0"/>
    <s v="Saturday"/>
    <s v="Normal"/>
    <n v="0.16"/>
    <n v="0.18179999999999999"/>
    <n v="0.64"/>
    <x v="7"/>
    <x v="3"/>
    <n v="2"/>
    <x v="5"/>
    <x v="0"/>
    <x v="0"/>
    <x v="0"/>
  </r>
  <r>
    <n v="625"/>
    <x v="28"/>
    <x v="7"/>
    <b v="0"/>
    <s v="Saturday"/>
    <s v="Normal"/>
    <n v="0.16"/>
    <n v="0.18179999999999999"/>
    <n v="0.59"/>
    <x v="14"/>
    <x v="5"/>
    <n v="4"/>
    <x v="36"/>
    <x v="0"/>
    <x v="1"/>
    <x v="0"/>
  </r>
  <r>
    <n v="626"/>
    <x v="28"/>
    <x v="8"/>
    <b v="0"/>
    <s v="Saturday"/>
    <s v="Normal"/>
    <n v="0.18"/>
    <n v="0.19700000000000001"/>
    <n v="0.55000000000000004"/>
    <x v="8"/>
    <x v="0"/>
    <n v="31"/>
    <x v="19"/>
    <x v="0"/>
    <x v="1"/>
    <x v="0"/>
  </r>
  <r>
    <n v="627"/>
    <x v="28"/>
    <x v="9"/>
    <b v="0"/>
    <s v="Saturday"/>
    <s v="Normal"/>
    <n v="0.18"/>
    <n v="0.21210000000000001"/>
    <n v="0.59"/>
    <x v="1"/>
    <x v="3"/>
    <n v="34"/>
    <x v="19"/>
    <x v="0"/>
    <x v="1"/>
    <x v="0"/>
  </r>
  <r>
    <n v="628"/>
    <x v="28"/>
    <x v="10"/>
    <b v="0"/>
    <s v="Saturday"/>
    <s v="Yellow Alert"/>
    <n v="0.18"/>
    <n v="0.21210000000000001"/>
    <n v="0.64"/>
    <x v="14"/>
    <x v="17"/>
    <n v="51"/>
    <x v="97"/>
    <x v="0"/>
    <x v="0"/>
    <x v="1"/>
  </r>
  <r>
    <n v="629"/>
    <x v="28"/>
    <x v="11"/>
    <b v="0"/>
    <s v="Saturday"/>
    <s v="Yellow Alert"/>
    <n v="0.18"/>
    <n v="0.19700000000000001"/>
    <n v="0.64"/>
    <x v="7"/>
    <x v="17"/>
    <n v="60"/>
    <x v="37"/>
    <x v="0"/>
    <x v="0"/>
    <x v="1"/>
  </r>
  <r>
    <n v="630"/>
    <x v="28"/>
    <x v="12"/>
    <b v="0"/>
    <s v="Saturday"/>
    <s v="Yellow Alert"/>
    <n v="0.2"/>
    <n v="0.19700000000000001"/>
    <n v="0.59"/>
    <x v="5"/>
    <x v="6"/>
    <n v="66"/>
    <x v="53"/>
    <x v="0"/>
    <x v="0"/>
    <x v="1"/>
  </r>
  <r>
    <n v="631"/>
    <x v="28"/>
    <x v="13"/>
    <b v="0"/>
    <s v="Saturday"/>
    <s v="Yellow Alert"/>
    <n v="0.22"/>
    <n v="0.2273"/>
    <n v="0.55000000000000004"/>
    <x v="8"/>
    <x v="14"/>
    <n v="56"/>
    <x v="32"/>
    <x v="0"/>
    <x v="0"/>
    <x v="1"/>
  </r>
  <r>
    <n v="632"/>
    <x v="28"/>
    <x v="14"/>
    <b v="0"/>
    <s v="Saturday"/>
    <s v="Yellow Alert"/>
    <n v="0.22"/>
    <n v="0.2273"/>
    <n v="0.6"/>
    <x v="7"/>
    <x v="22"/>
    <n v="89"/>
    <x v="111"/>
    <x v="0"/>
    <x v="0"/>
    <x v="1"/>
  </r>
  <r>
    <n v="633"/>
    <x v="28"/>
    <x v="15"/>
    <b v="0"/>
    <s v="Saturday"/>
    <s v="Normal"/>
    <n v="0.22"/>
    <n v="0.21210000000000001"/>
    <n v="0.69"/>
    <x v="2"/>
    <x v="30"/>
    <n v="98"/>
    <x v="151"/>
    <x v="0"/>
    <x v="0"/>
    <x v="0"/>
  </r>
  <r>
    <n v="634"/>
    <x v="28"/>
    <x v="16"/>
    <b v="0"/>
    <s v="Saturday"/>
    <s v="Normal"/>
    <n v="0.24"/>
    <n v="0.2424"/>
    <n v="0.6"/>
    <x v="8"/>
    <x v="21"/>
    <n v="88"/>
    <x v="166"/>
    <x v="0"/>
    <x v="0"/>
    <x v="0"/>
  </r>
  <r>
    <n v="635"/>
    <x v="28"/>
    <x v="17"/>
    <b v="0"/>
    <s v="Saturday"/>
    <s v="Normal"/>
    <n v="0.24"/>
    <n v="0.28789999999999999"/>
    <n v="0.6"/>
    <x v="0"/>
    <x v="14"/>
    <n v="82"/>
    <x v="134"/>
    <x v="0"/>
    <x v="2"/>
    <x v="0"/>
  </r>
  <r>
    <n v="636"/>
    <x v="28"/>
    <x v="18"/>
    <b v="0"/>
    <s v="Saturday"/>
    <s v="Normal"/>
    <n v="0.22"/>
    <n v="0.2273"/>
    <n v="0.69"/>
    <x v="7"/>
    <x v="14"/>
    <n v="59"/>
    <x v="118"/>
    <x v="0"/>
    <x v="2"/>
    <x v="0"/>
  </r>
  <r>
    <n v="637"/>
    <x v="28"/>
    <x v="19"/>
    <b v="0"/>
    <s v="Saturday"/>
    <s v="Yellow Alert"/>
    <n v="0.22"/>
    <n v="0.21210000000000001"/>
    <n v="0.69"/>
    <x v="2"/>
    <x v="15"/>
    <n v="52"/>
    <x v="154"/>
    <x v="0"/>
    <x v="2"/>
    <x v="1"/>
  </r>
  <r>
    <n v="638"/>
    <x v="28"/>
    <x v="20"/>
    <b v="0"/>
    <s v="Saturday"/>
    <s v="Normal"/>
    <n v="0.18"/>
    <n v="0.21210000000000001"/>
    <n v="0.74"/>
    <x v="1"/>
    <x v="5"/>
    <n v="42"/>
    <x v="74"/>
    <x v="0"/>
    <x v="0"/>
    <x v="0"/>
  </r>
  <r>
    <n v="639"/>
    <x v="28"/>
    <x v="21"/>
    <b v="0"/>
    <s v="Saturday"/>
    <s v="Normal"/>
    <n v="0.18"/>
    <n v="0.21210000000000001"/>
    <n v="0.74"/>
    <x v="1"/>
    <x v="5"/>
    <n v="35"/>
    <x v="9"/>
    <x v="0"/>
    <x v="0"/>
    <x v="0"/>
  </r>
  <r>
    <n v="640"/>
    <x v="28"/>
    <x v="22"/>
    <b v="0"/>
    <s v="Saturday"/>
    <s v="Normal"/>
    <n v="0.16"/>
    <n v="0.19700000000000001"/>
    <n v="0.8"/>
    <x v="1"/>
    <x v="17"/>
    <n v="28"/>
    <x v="2"/>
    <x v="0"/>
    <x v="0"/>
    <x v="0"/>
  </r>
  <r>
    <n v="641"/>
    <x v="28"/>
    <x v="23"/>
    <b v="0"/>
    <s v="Saturday"/>
    <s v="Normal"/>
    <n v="0.16"/>
    <n v="0.19700000000000001"/>
    <n v="0.8"/>
    <x v="1"/>
    <x v="0"/>
    <n v="30"/>
    <x v="63"/>
    <x v="0"/>
    <x v="0"/>
    <x v="0"/>
  </r>
  <r>
    <n v="642"/>
    <x v="29"/>
    <x v="0"/>
    <b v="0"/>
    <s v="Sunday"/>
    <s v="Normal"/>
    <n v="0.16"/>
    <n v="0.18179999999999999"/>
    <n v="0.8"/>
    <x v="14"/>
    <x v="3"/>
    <n v="33"/>
    <x v="63"/>
    <x v="0"/>
    <x v="0"/>
    <x v="0"/>
  </r>
  <r>
    <n v="643"/>
    <x v="29"/>
    <x v="1"/>
    <b v="0"/>
    <s v="Sunday"/>
    <s v="Normal"/>
    <n v="0.14000000000000001"/>
    <n v="0.21210000000000001"/>
    <n v="0.8"/>
    <x v="0"/>
    <x v="18"/>
    <n v="22"/>
    <x v="115"/>
    <x v="0"/>
    <x v="0"/>
    <x v="0"/>
  </r>
  <r>
    <n v="644"/>
    <x v="29"/>
    <x v="2"/>
    <b v="0"/>
    <s v="Sunday"/>
    <s v="Normal"/>
    <n v="0.16"/>
    <n v="0.2273"/>
    <n v="0.8"/>
    <x v="0"/>
    <x v="5"/>
    <n v="10"/>
    <x v="62"/>
    <x v="0"/>
    <x v="0"/>
    <x v="0"/>
  </r>
  <r>
    <n v="645"/>
    <x v="29"/>
    <x v="3"/>
    <b v="0"/>
    <s v="Sunday"/>
    <s v="Normal"/>
    <n v="0.14000000000000001"/>
    <n v="0.21210000000000001"/>
    <n v="0.93"/>
    <x v="0"/>
    <x v="5"/>
    <n v="7"/>
    <x v="7"/>
    <x v="0"/>
    <x v="0"/>
    <x v="0"/>
  </r>
  <r>
    <n v="646"/>
    <x v="29"/>
    <x v="4"/>
    <b v="0"/>
    <s v="Sunday"/>
    <s v="Normal"/>
    <n v="0.14000000000000001"/>
    <n v="0.21210000000000001"/>
    <n v="0.93"/>
    <x v="0"/>
    <x v="3"/>
    <n v="1"/>
    <x v="4"/>
    <x v="0"/>
    <x v="0"/>
    <x v="0"/>
  </r>
  <r>
    <n v="647"/>
    <x v="29"/>
    <x v="5"/>
    <b v="0"/>
    <s v="Sunday"/>
    <s v="Normal"/>
    <n v="0.14000000000000001"/>
    <n v="0.21210000000000001"/>
    <n v="0.86"/>
    <x v="0"/>
    <x v="3"/>
    <n v="3"/>
    <x v="6"/>
    <x v="0"/>
    <x v="0"/>
    <x v="0"/>
  </r>
  <r>
    <n v="648"/>
    <x v="29"/>
    <x v="7"/>
    <b v="0"/>
    <s v="Sunday"/>
    <s v="Normal"/>
    <n v="0.14000000000000001"/>
    <n v="0.21210000000000001"/>
    <n v="0.86"/>
    <x v="0"/>
    <x v="3"/>
    <n v="3"/>
    <x v="6"/>
    <x v="0"/>
    <x v="1"/>
    <x v="0"/>
  </r>
  <r>
    <n v="649"/>
    <x v="29"/>
    <x v="8"/>
    <b v="0"/>
    <s v="Sunday"/>
    <s v="Yellow Alert"/>
    <n v="0.14000000000000001"/>
    <n v="0.21210000000000001"/>
    <n v="0.86"/>
    <x v="0"/>
    <x v="5"/>
    <n v="11"/>
    <x v="47"/>
    <x v="0"/>
    <x v="1"/>
    <x v="1"/>
  </r>
  <r>
    <n v="650"/>
    <x v="29"/>
    <x v="9"/>
    <b v="0"/>
    <s v="Sunday"/>
    <s v="Yellow Alert"/>
    <n v="0.16"/>
    <n v="0.2273"/>
    <n v="0.8"/>
    <x v="0"/>
    <x v="17"/>
    <n v="34"/>
    <x v="103"/>
    <x v="0"/>
    <x v="1"/>
    <x v="1"/>
  </r>
  <r>
    <n v="651"/>
    <x v="29"/>
    <x v="10"/>
    <b v="0"/>
    <s v="Sunday"/>
    <s v="Yellow Alert"/>
    <n v="0.18"/>
    <n v="0.2424"/>
    <n v="0.8"/>
    <x v="0"/>
    <x v="18"/>
    <n v="57"/>
    <x v="37"/>
    <x v="0"/>
    <x v="0"/>
    <x v="1"/>
  </r>
  <r>
    <n v="652"/>
    <x v="29"/>
    <x v="11"/>
    <b v="0"/>
    <s v="Sunday"/>
    <s v="Normal"/>
    <n v="0.22"/>
    <n v="0.2727"/>
    <n v="0.75"/>
    <x v="0"/>
    <x v="14"/>
    <n v="50"/>
    <x v="29"/>
    <x v="0"/>
    <x v="0"/>
    <x v="0"/>
  </r>
  <r>
    <n v="653"/>
    <x v="29"/>
    <x v="12"/>
    <b v="0"/>
    <s v="Sunday"/>
    <s v="Normal"/>
    <n v="0.3"/>
    <n v="0.31819999999999998"/>
    <n v="0.52"/>
    <x v="14"/>
    <x v="22"/>
    <n v="87"/>
    <x v="54"/>
    <x v="0"/>
    <x v="0"/>
    <x v="0"/>
  </r>
  <r>
    <n v="654"/>
    <x v="29"/>
    <x v="13"/>
    <b v="0"/>
    <s v="Sunday"/>
    <s v="Normal"/>
    <n v="0.28000000000000003"/>
    <n v="0.28789999999999999"/>
    <n v="0.61"/>
    <x v="14"/>
    <x v="23"/>
    <n v="71"/>
    <x v="11"/>
    <x v="0"/>
    <x v="0"/>
    <x v="0"/>
  </r>
  <r>
    <n v="655"/>
    <x v="29"/>
    <x v="14"/>
    <b v="0"/>
    <s v="Sunday"/>
    <s v="Normal"/>
    <n v="0.28000000000000003"/>
    <n v="0.30299999999999999"/>
    <n v="0.61"/>
    <x v="1"/>
    <x v="25"/>
    <n v="104"/>
    <x v="78"/>
    <x v="0"/>
    <x v="0"/>
    <x v="0"/>
  </r>
  <r>
    <n v="656"/>
    <x v="29"/>
    <x v="15"/>
    <b v="0"/>
    <s v="Sunday"/>
    <s v="Normal"/>
    <n v="0.3"/>
    <n v="0.33329999999999999"/>
    <n v="0.56000000000000005"/>
    <x v="0"/>
    <x v="24"/>
    <n v="95"/>
    <x v="142"/>
    <x v="0"/>
    <x v="0"/>
    <x v="0"/>
  </r>
  <r>
    <n v="657"/>
    <x v="29"/>
    <x v="16"/>
    <b v="0"/>
    <s v="Sunday"/>
    <s v="Normal"/>
    <n v="0.3"/>
    <n v="0.33329999999999999"/>
    <n v="0.56000000000000005"/>
    <x v="0"/>
    <x v="21"/>
    <n v="104"/>
    <x v="92"/>
    <x v="0"/>
    <x v="0"/>
    <x v="0"/>
  </r>
  <r>
    <n v="658"/>
    <x v="29"/>
    <x v="17"/>
    <b v="0"/>
    <s v="Sunday"/>
    <s v="Normal"/>
    <n v="0.3"/>
    <n v="0.28789999999999999"/>
    <n v="0.56000000000000005"/>
    <x v="5"/>
    <x v="15"/>
    <n v="71"/>
    <x v="43"/>
    <x v="0"/>
    <x v="2"/>
    <x v="0"/>
  </r>
  <r>
    <n v="659"/>
    <x v="29"/>
    <x v="18"/>
    <b v="0"/>
    <s v="Sunday"/>
    <s v="Normal"/>
    <n v="0.26"/>
    <n v="0.2576"/>
    <n v="0.65"/>
    <x v="8"/>
    <x v="1"/>
    <n v="57"/>
    <x v="32"/>
    <x v="0"/>
    <x v="2"/>
    <x v="0"/>
  </r>
  <r>
    <n v="660"/>
    <x v="29"/>
    <x v="19"/>
    <b v="0"/>
    <s v="Sunday"/>
    <s v="Normal"/>
    <n v="0.26"/>
    <n v="0.2576"/>
    <n v="0.65"/>
    <x v="5"/>
    <x v="14"/>
    <n v="46"/>
    <x v="97"/>
    <x v="0"/>
    <x v="2"/>
    <x v="0"/>
  </r>
  <r>
    <n v="661"/>
    <x v="29"/>
    <x v="20"/>
    <b v="0"/>
    <s v="Sunday"/>
    <s v="Yellow Alert"/>
    <n v="0.26"/>
    <n v="0.2727"/>
    <n v="0.65"/>
    <x v="14"/>
    <x v="0"/>
    <n v="30"/>
    <x v="63"/>
    <x v="0"/>
    <x v="0"/>
    <x v="1"/>
  </r>
  <r>
    <n v="662"/>
    <x v="29"/>
    <x v="21"/>
    <b v="0"/>
    <s v="Sunday"/>
    <s v="Yellow Alert"/>
    <n v="0.24"/>
    <n v="0.2424"/>
    <n v="0.7"/>
    <x v="8"/>
    <x v="0"/>
    <n v="25"/>
    <x v="20"/>
    <x v="0"/>
    <x v="0"/>
    <x v="1"/>
  </r>
  <r>
    <n v="663"/>
    <x v="29"/>
    <x v="22"/>
    <b v="0"/>
    <s v="Sunday"/>
    <s v="Yellow Alert"/>
    <n v="0.24"/>
    <n v="0.2273"/>
    <n v="0.7"/>
    <x v="5"/>
    <x v="4"/>
    <n v="19"/>
    <x v="137"/>
    <x v="0"/>
    <x v="0"/>
    <x v="1"/>
  </r>
  <r>
    <n v="664"/>
    <x v="29"/>
    <x v="23"/>
    <b v="0"/>
    <s v="Sunday"/>
    <s v="Yellow Alert"/>
    <n v="0.24"/>
    <n v="0.21210000000000001"/>
    <n v="0.65"/>
    <x v="3"/>
    <x v="2"/>
    <n v="16"/>
    <x v="137"/>
    <x v="0"/>
    <x v="0"/>
    <x v="1"/>
  </r>
  <r>
    <n v="665"/>
    <x v="30"/>
    <x v="0"/>
    <b v="0"/>
    <s v="Monday"/>
    <s v="Yellow Alert"/>
    <n v="0.24"/>
    <n v="0.2273"/>
    <n v="0.65"/>
    <x v="6"/>
    <x v="5"/>
    <n v="6"/>
    <x v="85"/>
    <x v="1"/>
    <x v="0"/>
    <x v="1"/>
  </r>
  <r>
    <n v="666"/>
    <x v="30"/>
    <x v="1"/>
    <b v="0"/>
    <s v="Monday"/>
    <s v="Normal"/>
    <n v="0.22"/>
    <n v="0.21210000000000001"/>
    <n v="0.64"/>
    <x v="2"/>
    <x v="4"/>
    <n v="5"/>
    <x v="85"/>
    <x v="1"/>
    <x v="0"/>
    <x v="0"/>
  </r>
  <r>
    <n v="667"/>
    <x v="30"/>
    <x v="2"/>
    <b v="0"/>
    <s v="Monday"/>
    <s v="Normal"/>
    <n v="0.22"/>
    <n v="0.2273"/>
    <n v="0.64"/>
    <x v="5"/>
    <x v="3"/>
    <n v="1"/>
    <x v="4"/>
    <x v="1"/>
    <x v="0"/>
    <x v="0"/>
  </r>
  <r>
    <n v="668"/>
    <x v="30"/>
    <x v="3"/>
    <b v="0"/>
    <s v="Monday"/>
    <s v="Normal"/>
    <n v="0.22"/>
    <n v="0.2273"/>
    <n v="0.64"/>
    <x v="5"/>
    <x v="3"/>
    <n v="2"/>
    <x v="5"/>
    <x v="1"/>
    <x v="0"/>
    <x v="0"/>
  </r>
  <r>
    <n v="669"/>
    <x v="30"/>
    <x v="4"/>
    <b v="0"/>
    <s v="Monday"/>
    <s v="Normal"/>
    <n v="0.2"/>
    <n v="0.19700000000000001"/>
    <n v="0.59"/>
    <x v="6"/>
    <x v="3"/>
    <n v="2"/>
    <x v="5"/>
    <x v="1"/>
    <x v="0"/>
    <x v="0"/>
  </r>
  <r>
    <n v="670"/>
    <x v="30"/>
    <x v="5"/>
    <b v="0"/>
    <s v="Monday"/>
    <s v="Normal"/>
    <n v="0.18"/>
    <n v="0.16669999999999999"/>
    <n v="0.64"/>
    <x v="3"/>
    <x v="3"/>
    <n v="8"/>
    <x v="7"/>
    <x v="1"/>
    <x v="0"/>
    <x v="0"/>
  </r>
  <r>
    <n v="671"/>
    <x v="30"/>
    <x v="6"/>
    <b v="0"/>
    <s v="Monday"/>
    <s v="Normal"/>
    <n v="0.16"/>
    <n v="0.13639999999999999"/>
    <n v="0.69"/>
    <x v="9"/>
    <x v="3"/>
    <n v="37"/>
    <x v="18"/>
    <x v="1"/>
    <x v="0"/>
    <x v="0"/>
  </r>
  <r>
    <n v="672"/>
    <x v="30"/>
    <x v="7"/>
    <b v="0"/>
    <s v="Monday"/>
    <s v="Yellow Alert"/>
    <n v="0.16"/>
    <n v="0.13639999999999999"/>
    <n v="0.64"/>
    <x v="3"/>
    <x v="5"/>
    <n v="71"/>
    <x v="44"/>
    <x v="1"/>
    <x v="1"/>
    <x v="1"/>
  </r>
  <r>
    <n v="673"/>
    <x v="30"/>
    <x v="8"/>
    <b v="0"/>
    <s v="Monday"/>
    <s v="Yellow Alert"/>
    <n v="0.16"/>
    <n v="0.13639999999999999"/>
    <n v="0.59"/>
    <x v="3"/>
    <x v="0"/>
    <n v="182"/>
    <x v="147"/>
    <x v="1"/>
    <x v="1"/>
    <x v="1"/>
  </r>
  <r>
    <n v="674"/>
    <x v="30"/>
    <x v="9"/>
    <b v="0"/>
    <s v="Monday"/>
    <s v="Yellow Alert"/>
    <n v="0.16"/>
    <n v="0.13639999999999999"/>
    <n v="0.59"/>
    <x v="4"/>
    <x v="3"/>
    <n v="112"/>
    <x v="59"/>
    <x v="1"/>
    <x v="1"/>
    <x v="1"/>
  </r>
  <r>
    <n v="675"/>
    <x v="30"/>
    <x v="10"/>
    <b v="0"/>
    <s v="Monday"/>
    <s v="Yellow Alert"/>
    <n v="0.16"/>
    <n v="0.1515"/>
    <n v="0.59"/>
    <x v="5"/>
    <x v="5"/>
    <n v="68"/>
    <x v="83"/>
    <x v="1"/>
    <x v="0"/>
    <x v="1"/>
  </r>
  <r>
    <n v="676"/>
    <x v="30"/>
    <x v="11"/>
    <b v="0"/>
    <s v="Monday"/>
    <s v="Yellow Alert"/>
    <n v="0.16"/>
    <n v="0.1515"/>
    <n v="0.59"/>
    <x v="5"/>
    <x v="4"/>
    <n v="46"/>
    <x v="61"/>
    <x v="1"/>
    <x v="0"/>
    <x v="1"/>
  </r>
  <r>
    <n v="677"/>
    <x v="30"/>
    <x v="12"/>
    <b v="0"/>
    <s v="Monday"/>
    <s v="Yellow Alert"/>
    <n v="0.18"/>
    <n v="0.21210000000000001"/>
    <n v="0.55000000000000004"/>
    <x v="14"/>
    <x v="15"/>
    <n v="62"/>
    <x v="118"/>
    <x v="1"/>
    <x v="0"/>
    <x v="1"/>
  </r>
  <r>
    <n v="678"/>
    <x v="30"/>
    <x v="13"/>
    <b v="0"/>
    <s v="Monday"/>
    <s v="Yellow Alert"/>
    <n v="0.16"/>
    <n v="0.2273"/>
    <n v="0.59"/>
    <x v="0"/>
    <x v="4"/>
    <n v="52"/>
    <x v="60"/>
    <x v="1"/>
    <x v="0"/>
    <x v="1"/>
  </r>
  <r>
    <n v="679"/>
    <x v="30"/>
    <x v="14"/>
    <b v="0"/>
    <s v="Monday"/>
    <s v="Yellow Alert"/>
    <n v="0.18"/>
    <n v="0.19700000000000001"/>
    <n v="0.55000000000000004"/>
    <x v="7"/>
    <x v="5"/>
    <n v="85"/>
    <x v="80"/>
    <x v="1"/>
    <x v="0"/>
    <x v="1"/>
  </r>
  <r>
    <n v="680"/>
    <x v="30"/>
    <x v="15"/>
    <b v="0"/>
    <s v="Monday"/>
    <s v="Yellow Alert"/>
    <n v="0.16"/>
    <n v="0.18179999999999999"/>
    <n v="0.59"/>
    <x v="7"/>
    <x v="0"/>
    <n v="41"/>
    <x v="40"/>
    <x v="1"/>
    <x v="0"/>
    <x v="1"/>
  </r>
  <r>
    <n v="681"/>
    <x v="30"/>
    <x v="16"/>
    <b v="0"/>
    <s v="Monday"/>
    <s v="Yellow Alert"/>
    <n v="0.16"/>
    <n v="0.18179999999999999"/>
    <n v="0.56000000000000005"/>
    <x v="5"/>
    <x v="0"/>
    <n v="83"/>
    <x v="80"/>
    <x v="1"/>
    <x v="0"/>
    <x v="1"/>
  </r>
  <r>
    <n v="682"/>
    <x v="30"/>
    <x v="17"/>
    <b v="0"/>
    <s v="Monday"/>
    <s v="Yellow Alert"/>
    <n v="0.16"/>
    <n v="0.1515"/>
    <n v="0.59"/>
    <x v="5"/>
    <x v="15"/>
    <n v="155"/>
    <x v="143"/>
    <x v="1"/>
    <x v="2"/>
    <x v="1"/>
  </r>
  <r>
    <n v="683"/>
    <x v="30"/>
    <x v="18"/>
    <b v="0"/>
    <s v="Monday"/>
    <s v="Yellow Alert"/>
    <n v="0.16"/>
    <n v="0.1515"/>
    <n v="0.55000000000000004"/>
    <x v="6"/>
    <x v="0"/>
    <n v="153"/>
    <x v="167"/>
    <x v="1"/>
    <x v="2"/>
    <x v="1"/>
  </r>
  <r>
    <n v="684"/>
    <x v="30"/>
    <x v="19"/>
    <b v="0"/>
    <s v="Monday"/>
    <s v="Normal"/>
    <n v="0.3"/>
    <n v="0.31819999999999998"/>
    <n v="0.61"/>
    <x v="14"/>
    <x v="0"/>
    <n v="108"/>
    <x v="168"/>
    <x v="1"/>
    <x v="2"/>
    <x v="0"/>
  </r>
  <r>
    <n v="685"/>
    <x v="30"/>
    <x v="20"/>
    <b v="0"/>
    <s v="Monday"/>
    <s v="Orange Alert"/>
    <n v="0.16"/>
    <n v="0.16669999999999999"/>
    <n v="0.59"/>
    <x v="8"/>
    <x v="3"/>
    <n v="78"/>
    <x v="53"/>
    <x v="1"/>
    <x v="0"/>
    <x v="2"/>
  </r>
  <r>
    <n v="686"/>
    <x v="30"/>
    <x v="21"/>
    <b v="0"/>
    <s v="Monday"/>
    <s v="Orange Alert"/>
    <n v="0.16"/>
    <n v="0.19700000000000001"/>
    <n v="0.59"/>
    <x v="1"/>
    <x v="0"/>
    <n v="53"/>
    <x v="10"/>
    <x v="1"/>
    <x v="0"/>
    <x v="2"/>
  </r>
  <r>
    <n v="687"/>
    <x v="30"/>
    <x v="22"/>
    <b v="0"/>
    <s v="Monday"/>
    <s v="Yellow Alert"/>
    <n v="0.16"/>
    <n v="0.18179999999999999"/>
    <n v="0.59"/>
    <x v="14"/>
    <x v="3"/>
    <n v="34"/>
    <x v="19"/>
    <x v="1"/>
    <x v="0"/>
    <x v="1"/>
  </r>
  <r>
    <n v="688"/>
    <x v="30"/>
    <x v="23"/>
    <b v="0"/>
    <s v="Monday"/>
    <s v="Yellow Alert"/>
    <n v="0.16"/>
    <n v="0.19700000000000001"/>
    <n v="0.64"/>
    <x v="1"/>
    <x v="4"/>
    <n v="15"/>
    <x v="22"/>
    <x v="1"/>
    <x v="0"/>
    <x v="1"/>
  </r>
  <r>
    <n v="689"/>
    <x v="31"/>
    <x v="0"/>
    <b v="0"/>
    <s v="Tuesday"/>
    <s v="Yellow Alert"/>
    <n v="0.16"/>
    <n v="0.18179999999999999"/>
    <n v="0.64"/>
    <x v="14"/>
    <x v="4"/>
    <n v="6"/>
    <x v="7"/>
    <x v="1"/>
    <x v="0"/>
    <x v="1"/>
  </r>
  <r>
    <n v="690"/>
    <x v="31"/>
    <x v="1"/>
    <b v="0"/>
    <s v="Tuesday"/>
    <s v="Yellow Alert"/>
    <n v="0.16"/>
    <n v="0.18179999999999999"/>
    <n v="0.69"/>
    <x v="14"/>
    <x v="3"/>
    <n v="3"/>
    <x v="6"/>
    <x v="1"/>
    <x v="0"/>
    <x v="1"/>
  </r>
  <r>
    <n v="691"/>
    <x v="31"/>
    <x v="2"/>
    <b v="0"/>
    <s v="Tuesday"/>
    <s v="Yellow Alert"/>
    <n v="0.16"/>
    <n v="0.2273"/>
    <n v="0.69"/>
    <x v="0"/>
    <x v="3"/>
    <n v="2"/>
    <x v="5"/>
    <x v="1"/>
    <x v="0"/>
    <x v="1"/>
  </r>
  <r>
    <n v="692"/>
    <x v="31"/>
    <x v="3"/>
    <b v="0"/>
    <s v="Tuesday"/>
    <s v="Yellow Alert"/>
    <n v="0.16"/>
    <n v="0.2273"/>
    <n v="0.69"/>
    <x v="0"/>
    <x v="3"/>
    <n v="2"/>
    <x v="5"/>
    <x v="1"/>
    <x v="0"/>
    <x v="1"/>
  </r>
  <r>
    <n v="693"/>
    <x v="31"/>
    <x v="5"/>
    <b v="0"/>
    <s v="Tuesday"/>
    <s v="Orange Alert"/>
    <n v="0.14000000000000001"/>
    <n v="0.21210000000000001"/>
    <n v="0.93"/>
    <x v="0"/>
    <x v="3"/>
    <n v="3"/>
    <x v="6"/>
    <x v="1"/>
    <x v="0"/>
    <x v="2"/>
  </r>
  <r>
    <n v="694"/>
    <x v="31"/>
    <x v="6"/>
    <b v="0"/>
    <s v="Tuesday"/>
    <s v="Orange Alert"/>
    <n v="0.14000000000000001"/>
    <n v="0.21210000000000001"/>
    <n v="0.93"/>
    <x v="0"/>
    <x v="3"/>
    <n v="22"/>
    <x v="34"/>
    <x v="1"/>
    <x v="0"/>
    <x v="2"/>
  </r>
  <r>
    <n v="695"/>
    <x v="31"/>
    <x v="7"/>
    <b v="0"/>
    <s v="Tuesday"/>
    <s v="Orange Alert"/>
    <n v="0.16"/>
    <n v="0.2273"/>
    <n v="0.93"/>
    <x v="0"/>
    <x v="3"/>
    <n v="52"/>
    <x v="46"/>
    <x v="1"/>
    <x v="1"/>
    <x v="2"/>
  </r>
  <r>
    <n v="696"/>
    <x v="31"/>
    <x v="8"/>
    <b v="0"/>
    <s v="Tuesday"/>
    <s v="Orange Alert"/>
    <n v="0.16"/>
    <n v="0.2273"/>
    <n v="0.93"/>
    <x v="0"/>
    <x v="0"/>
    <n v="132"/>
    <x v="169"/>
    <x v="1"/>
    <x v="1"/>
    <x v="2"/>
  </r>
  <r>
    <n v="697"/>
    <x v="31"/>
    <x v="9"/>
    <b v="0"/>
    <s v="Tuesday"/>
    <s v="Yellow Alert"/>
    <n v="0.16"/>
    <n v="0.2273"/>
    <n v="0.93"/>
    <x v="0"/>
    <x v="4"/>
    <n v="114"/>
    <x v="155"/>
    <x v="1"/>
    <x v="1"/>
    <x v="1"/>
  </r>
  <r>
    <n v="698"/>
    <x v="31"/>
    <x v="10"/>
    <b v="0"/>
    <s v="Tuesday"/>
    <s v="Yellow Alert"/>
    <n v="0.16"/>
    <n v="0.2273"/>
    <n v="0.93"/>
    <x v="0"/>
    <x v="3"/>
    <n v="47"/>
    <x v="105"/>
    <x v="1"/>
    <x v="0"/>
    <x v="1"/>
  </r>
  <r>
    <n v="699"/>
    <x v="31"/>
    <x v="11"/>
    <b v="0"/>
    <s v="Tuesday"/>
    <s v="Yellow Alert"/>
    <n v="0.18"/>
    <n v="0.2424"/>
    <n v="0.86"/>
    <x v="0"/>
    <x v="4"/>
    <n v="49"/>
    <x v="41"/>
    <x v="1"/>
    <x v="0"/>
    <x v="1"/>
  </r>
  <r>
    <n v="700"/>
    <x v="31"/>
    <x v="12"/>
    <b v="0"/>
    <s v="Tuesday"/>
    <s v="Yellow Alert"/>
    <n v="0.2"/>
    <n v="0.2576"/>
    <n v="0.86"/>
    <x v="0"/>
    <x v="4"/>
    <n v="53"/>
    <x v="97"/>
    <x v="1"/>
    <x v="0"/>
    <x v="1"/>
  </r>
  <r>
    <n v="701"/>
    <x v="31"/>
    <x v="13"/>
    <b v="0"/>
    <s v="Tuesday"/>
    <s v="Yellow Alert"/>
    <n v="0.2"/>
    <n v="0.2576"/>
    <n v="0.86"/>
    <x v="0"/>
    <x v="0"/>
    <n v="49"/>
    <x v="46"/>
    <x v="1"/>
    <x v="0"/>
    <x v="1"/>
  </r>
  <r>
    <n v="702"/>
    <x v="31"/>
    <x v="14"/>
    <b v="0"/>
    <s v="Tuesday"/>
    <s v="Yellow Alert"/>
    <n v="0.22"/>
    <n v="0.2576"/>
    <n v="0.8"/>
    <x v="1"/>
    <x v="2"/>
    <n v="49"/>
    <x v="60"/>
    <x v="1"/>
    <x v="0"/>
    <x v="1"/>
  </r>
  <r>
    <n v="703"/>
    <x v="31"/>
    <x v="15"/>
    <b v="0"/>
    <s v="Tuesday"/>
    <s v="Yellow Alert"/>
    <n v="0.24"/>
    <n v="0.28789999999999999"/>
    <n v="0.75"/>
    <x v="0"/>
    <x v="18"/>
    <n v="45"/>
    <x v="46"/>
    <x v="1"/>
    <x v="0"/>
    <x v="1"/>
  </r>
  <r>
    <n v="704"/>
    <x v="31"/>
    <x v="16"/>
    <b v="0"/>
    <s v="Tuesday"/>
    <s v="Yellow Alert"/>
    <n v="0.24"/>
    <n v="0.2424"/>
    <n v="0.75"/>
    <x v="7"/>
    <x v="0"/>
    <n v="61"/>
    <x v="37"/>
    <x v="1"/>
    <x v="0"/>
    <x v="1"/>
  </r>
  <r>
    <n v="705"/>
    <x v="31"/>
    <x v="17"/>
    <b v="0"/>
    <s v="Tuesday"/>
    <s v="Yellow Alert"/>
    <n v="0.24"/>
    <n v="0.28789999999999999"/>
    <n v="0.75"/>
    <x v="0"/>
    <x v="17"/>
    <n v="172"/>
    <x v="170"/>
    <x v="1"/>
    <x v="2"/>
    <x v="1"/>
  </r>
  <r>
    <n v="706"/>
    <x v="31"/>
    <x v="18"/>
    <b v="0"/>
    <s v="Tuesday"/>
    <s v="Yellow Alert"/>
    <n v="0.24"/>
    <n v="0.2576"/>
    <n v="0.81"/>
    <x v="14"/>
    <x v="0"/>
    <n v="165"/>
    <x v="171"/>
    <x v="1"/>
    <x v="2"/>
    <x v="1"/>
  </r>
  <r>
    <n v="707"/>
    <x v="31"/>
    <x v="19"/>
    <b v="0"/>
    <s v="Tuesday"/>
    <s v="Yellow Alert"/>
    <n v="0.24"/>
    <n v="0.2424"/>
    <n v="0.81"/>
    <x v="7"/>
    <x v="0"/>
    <n v="105"/>
    <x v="159"/>
    <x v="1"/>
    <x v="2"/>
    <x v="1"/>
  </r>
  <r>
    <n v="708"/>
    <x v="31"/>
    <x v="20"/>
    <b v="0"/>
    <s v="Tuesday"/>
    <s v="Yellow Alert"/>
    <n v="0.22"/>
    <n v="0.2273"/>
    <n v="0.87"/>
    <x v="7"/>
    <x v="2"/>
    <n v="69"/>
    <x v="30"/>
    <x v="1"/>
    <x v="0"/>
    <x v="1"/>
  </r>
  <r>
    <n v="709"/>
    <x v="31"/>
    <x v="21"/>
    <b v="0"/>
    <s v="Tuesday"/>
    <s v="Yellow Alert"/>
    <n v="0.22"/>
    <n v="0.2273"/>
    <n v="0.87"/>
    <x v="7"/>
    <x v="3"/>
    <n v="64"/>
    <x v="37"/>
    <x v="1"/>
    <x v="0"/>
    <x v="1"/>
  </r>
  <r>
    <n v="710"/>
    <x v="31"/>
    <x v="22"/>
    <b v="0"/>
    <s v="Tuesday"/>
    <s v="Yellow Alert"/>
    <n v="0.22"/>
    <n v="0.2576"/>
    <n v="0.87"/>
    <x v="1"/>
    <x v="4"/>
    <n v="34"/>
    <x v="9"/>
    <x v="1"/>
    <x v="0"/>
    <x v="1"/>
  </r>
  <r>
    <n v="711"/>
    <x v="31"/>
    <x v="23"/>
    <b v="0"/>
    <s v="Tuesday"/>
    <s v="Orange Alert"/>
    <n v="0.2"/>
    <n v="0.19700000000000001"/>
    <n v="0.93"/>
    <x v="5"/>
    <x v="5"/>
    <n v="15"/>
    <x v="0"/>
    <x v="1"/>
    <x v="0"/>
    <x v="2"/>
  </r>
  <r>
    <n v="712"/>
    <x v="32"/>
    <x v="0"/>
    <b v="0"/>
    <s v="Wednesday"/>
    <s v="Orange Alert"/>
    <n v="0.22"/>
    <n v="0.2424"/>
    <n v="0.93"/>
    <x v="14"/>
    <x v="3"/>
    <n v="2"/>
    <x v="5"/>
    <x v="1"/>
    <x v="0"/>
    <x v="2"/>
  </r>
  <r>
    <n v="713"/>
    <x v="32"/>
    <x v="1"/>
    <b v="0"/>
    <s v="Wednesday"/>
    <s v="Orange Alert"/>
    <n v="0.22"/>
    <n v="0.2273"/>
    <n v="0.93"/>
    <x v="5"/>
    <x v="3"/>
    <n v="3"/>
    <x v="6"/>
    <x v="1"/>
    <x v="0"/>
    <x v="2"/>
  </r>
  <r>
    <n v="714"/>
    <x v="32"/>
    <x v="2"/>
    <b v="0"/>
    <s v="Wednesday"/>
    <s v="Orange Alert"/>
    <n v="0.22"/>
    <n v="0.2273"/>
    <n v="0.93"/>
    <x v="7"/>
    <x v="17"/>
    <n v="0"/>
    <x v="48"/>
    <x v="1"/>
    <x v="0"/>
    <x v="2"/>
  </r>
  <r>
    <n v="715"/>
    <x v="32"/>
    <x v="3"/>
    <b v="0"/>
    <s v="Wednesday"/>
    <s v="Orange Alert"/>
    <n v="0.22"/>
    <n v="0.2273"/>
    <n v="0.93"/>
    <x v="7"/>
    <x v="3"/>
    <n v="1"/>
    <x v="4"/>
    <x v="1"/>
    <x v="0"/>
    <x v="2"/>
  </r>
  <r>
    <n v="716"/>
    <x v="32"/>
    <x v="4"/>
    <b v="0"/>
    <s v="Wednesday"/>
    <s v="Orange Alert"/>
    <n v="0.22"/>
    <n v="0.21210000000000001"/>
    <n v="0.93"/>
    <x v="3"/>
    <x v="3"/>
    <n v="1"/>
    <x v="4"/>
    <x v="1"/>
    <x v="0"/>
    <x v="2"/>
  </r>
  <r>
    <n v="717"/>
    <x v="32"/>
    <x v="5"/>
    <b v="0"/>
    <s v="Wednesday"/>
    <s v="Orange Alert"/>
    <n v="0.22"/>
    <n v="0.2424"/>
    <n v="0.93"/>
    <x v="14"/>
    <x v="3"/>
    <n v="3"/>
    <x v="6"/>
    <x v="1"/>
    <x v="0"/>
    <x v="2"/>
  </r>
  <r>
    <n v="718"/>
    <x v="32"/>
    <x v="6"/>
    <b v="0"/>
    <s v="Wednesday"/>
    <s v="Orange Alert"/>
    <n v="0.22"/>
    <n v="0.2424"/>
    <n v="0.93"/>
    <x v="14"/>
    <x v="5"/>
    <n v="17"/>
    <x v="109"/>
    <x v="1"/>
    <x v="0"/>
    <x v="2"/>
  </r>
  <r>
    <n v="719"/>
    <x v="32"/>
    <x v="7"/>
    <b v="0"/>
    <s v="Wednesday"/>
    <s v="Orange Alert"/>
    <n v="0.22"/>
    <n v="0.21210000000000001"/>
    <n v="0.93"/>
    <x v="6"/>
    <x v="5"/>
    <n v="48"/>
    <x v="99"/>
    <x v="1"/>
    <x v="1"/>
    <x v="2"/>
  </r>
  <r>
    <n v="720"/>
    <x v="32"/>
    <x v="8"/>
    <b v="0"/>
    <s v="Wednesday"/>
    <s v="Orange Alert"/>
    <n v="0.22"/>
    <n v="0.21210000000000001"/>
    <n v="0.93"/>
    <x v="6"/>
    <x v="5"/>
    <n v="154"/>
    <x v="107"/>
    <x v="1"/>
    <x v="1"/>
    <x v="2"/>
  </r>
  <r>
    <n v="721"/>
    <x v="32"/>
    <x v="9"/>
    <b v="0"/>
    <s v="Wednesday"/>
    <s v="Yellow Alert"/>
    <n v="0.24"/>
    <n v="0.2576"/>
    <n v="0.93"/>
    <x v="1"/>
    <x v="17"/>
    <n v="119"/>
    <x v="92"/>
    <x v="1"/>
    <x v="1"/>
    <x v="1"/>
  </r>
  <r>
    <n v="722"/>
    <x v="32"/>
    <x v="10"/>
    <b v="0"/>
    <s v="Wednesday"/>
    <s v="Yellow Alert"/>
    <n v="0.22"/>
    <n v="0.2727"/>
    <n v="1"/>
    <x v="0"/>
    <x v="4"/>
    <n v="59"/>
    <x v="42"/>
    <x v="1"/>
    <x v="0"/>
    <x v="1"/>
  </r>
  <r>
    <n v="723"/>
    <x v="32"/>
    <x v="11"/>
    <b v="0"/>
    <s v="Wednesday"/>
    <s v="Yellow Alert"/>
    <n v="0.24"/>
    <n v="0.2273"/>
    <n v="0.93"/>
    <x v="5"/>
    <x v="2"/>
    <n v="47"/>
    <x v="46"/>
    <x v="1"/>
    <x v="0"/>
    <x v="1"/>
  </r>
  <r>
    <n v="724"/>
    <x v="32"/>
    <x v="12"/>
    <b v="0"/>
    <s v="Wednesday"/>
    <s v="Yellow Alert"/>
    <n v="0.24"/>
    <n v="0.2273"/>
    <n v="0.93"/>
    <x v="6"/>
    <x v="0"/>
    <n v="61"/>
    <x v="37"/>
    <x v="1"/>
    <x v="0"/>
    <x v="1"/>
  </r>
  <r>
    <n v="725"/>
    <x v="32"/>
    <x v="13"/>
    <b v="0"/>
    <s v="Wednesday"/>
    <s v="Normal"/>
    <n v="0.34"/>
    <n v="0.33329999999999999"/>
    <n v="0.93"/>
    <x v="8"/>
    <x v="5"/>
    <n v="74"/>
    <x v="28"/>
    <x v="1"/>
    <x v="0"/>
    <x v="0"/>
  </r>
  <r>
    <n v="726"/>
    <x v="32"/>
    <x v="14"/>
    <b v="0"/>
    <s v="Wednesday"/>
    <s v="Normal"/>
    <n v="0.38"/>
    <n v="0.39389999999999997"/>
    <n v="0.82"/>
    <x v="13"/>
    <x v="4"/>
    <n v="61"/>
    <x v="55"/>
    <x v="1"/>
    <x v="0"/>
    <x v="0"/>
  </r>
  <r>
    <n v="727"/>
    <x v="32"/>
    <x v="15"/>
    <b v="0"/>
    <s v="Wednesday"/>
    <s v="Normal"/>
    <n v="0.38"/>
    <n v="0.39389999999999997"/>
    <n v="0.76"/>
    <x v="9"/>
    <x v="22"/>
    <n v="66"/>
    <x v="31"/>
    <x v="1"/>
    <x v="0"/>
    <x v="0"/>
  </r>
  <r>
    <n v="728"/>
    <x v="32"/>
    <x v="16"/>
    <b v="0"/>
    <s v="Wednesday"/>
    <s v="Normal"/>
    <n v="0.36"/>
    <n v="0.33329999999999999"/>
    <n v="0.71"/>
    <x v="4"/>
    <x v="1"/>
    <n v="95"/>
    <x v="153"/>
    <x v="1"/>
    <x v="0"/>
    <x v="0"/>
  </r>
  <r>
    <n v="729"/>
    <x v="32"/>
    <x v="17"/>
    <b v="0"/>
    <s v="Wednesday"/>
    <s v="Normal"/>
    <n v="0.36"/>
    <n v="0.31819999999999998"/>
    <n v="0.53"/>
    <x v="18"/>
    <x v="18"/>
    <n v="183"/>
    <x v="71"/>
    <x v="1"/>
    <x v="2"/>
    <x v="0"/>
  </r>
  <r>
    <n v="730"/>
    <x v="32"/>
    <x v="18"/>
    <b v="0"/>
    <s v="Wednesday"/>
    <s v="Normal"/>
    <n v="0.34"/>
    <n v="0.28789999999999999"/>
    <n v="0.42"/>
    <x v="16"/>
    <x v="18"/>
    <n v="175"/>
    <x v="58"/>
    <x v="1"/>
    <x v="2"/>
    <x v="0"/>
  </r>
  <r>
    <n v="731"/>
    <x v="32"/>
    <x v="19"/>
    <b v="0"/>
    <s v="Wednesday"/>
    <s v="Normal"/>
    <n v="0.28000000000000003"/>
    <n v="0.2424"/>
    <n v="0.45"/>
    <x v="15"/>
    <x v="0"/>
    <n v="88"/>
    <x v="134"/>
    <x v="1"/>
    <x v="2"/>
    <x v="0"/>
  </r>
  <r>
    <n v="732"/>
    <x v="32"/>
    <x v="20"/>
    <b v="0"/>
    <s v="Wednesday"/>
    <s v="Normal"/>
    <n v="0.24"/>
    <n v="0.19700000000000001"/>
    <n v="0.48"/>
    <x v="16"/>
    <x v="17"/>
    <n v="71"/>
    <x v="28"/>
    <x v="1"/>
    <x v="0"/>
    <x v="0"/>
  </r>
  <r>
    <n v="733"/>
    <x v="32"/>
    <x v="21"/>
    <b v="0"/>
    <s v="Wednesday"/>
    <s v="Normal"/>
    <n v="0.22"/>
    <n v="0.19700000000000001"/>
    <n v="0.47"/>
    <x v="9"/>
    <x v="5"/>
    <n v="62"/>
    <x v="55"/>
    <x v="1"/>
    <x v="0"/>
    <x v="0"/>
  </r>
  <r>
    <n v="734"/>
    <x v="32"/>
    <x v="22"/>
    <b v="0"/>
    <s v="Wednesday"/>
    <s v="Normal"/>
    <n v="0.22"/>
    <n v="0.21210000000000001"/>
    <n v="0.44"/>
    <x v="2"/>
    <x v="2"/>
    <n v="35"/>
    <x v="1"/>
    <x v="1"/>
    <x v="0"/>
    <x v="0"/>
  </r>
  <r>
    <n v="735"/>
    <x v="32"/>
    <x v="23"/>
    <b v="0"/>
    <s v="Wednesday"/>
    <s v="Normal"/>
    <n v="0.2"/>
    <n v="0.16669999999999999"/>
    <n v="0.44"/>
    <x v="10"/>
    <x v="0"/>
    <n v="29"/>
    <x v="2"/>
    <x v="1"/>
    <x v="0"/>
    <x v="0"/>
  </r>
  <r>
    <n v="736"/>
    <x v="33"/>
    <x v="0"/>
    <b v="0"/>
    <s v="Thursday"/>
    <s v="Normal"/>
    <n v="0.2"/>
    <n v="0.16669999999999999"/>
    <n v="0.4"/>
    <x v="10"/>
    <x v="5"/>
    <n v="11"/>
    <x v="47"/>
    <x v="1"/>
    <x v="0"/>
    <x v="0"/>
  </r>
  <r>
    <n v="737"/>
    <x v="33"/>
    <x v="1"/>
    <b v="0"/>
    <s v="Thursday"/>
    <s v="Normal"/>
    <n v="0.2"/>
    <n v="0.1515"/>
    <n v="0.44"/>
    <x v="18"/>
    <x v="3"/>
    <n v="5"/>
    <x v="36"/>
    <x v="1"/>
    <x v="0"/>
    <x v="0"/>
  </r>
  <r>
    <n v="738"/>
    <x v="33"/>
    <x v="2"/>
    <b v="0"/>
    <s v="Thursday"/>
    <s v="Normal"/>
    <n v="0.18"/>
    <n v="0.16669999999999999"/>
    <n v="0.43"/>
    <x v="2"/>
    <x v="3"/>
    <n v="2"/>
    <x v="5"/>
    <x v="1"/>
    <x v="0"/>
    <x v="0"/>
  </r>
  <r>
    <n v="739"/>
    <x v="33"/>
    <x v="3"/>
    <b v="0"/>
    <s v="Thursday"/>
    <s v="Normal"/>
    <n v="0.18"/>
    <n v="0.16669999999999999"/>
    <n v="0.43"/>
    <x v="2"/>
    <x v="3"/>
    <n v="1"/>
    <x v="4"/>
    <x v="1"/>
    <x v="0"/>
    <x v="0"/>
  </r>
  <r>
    <n v="740"/>
    <x v="33"/>
    <x v="5"/>
    <b v="0"/>
    <s v="Thursday"/>
    <s v="Normal"/>
    <n v="0.16"/>
    <n v="0.13639999999999999"/>
    <n v="0.5"/>
    <x v="4"/>
    <x v="3"/>
    <n v="2"/>
    <x v="5"/>
    <x v="1"/>
    <x v="0"/>
    <x v="0"/>
  </r>
  <r>
    <n v="741"/>
    <x v="33"/>
    <x v="6"/>
    <b v="0"/>
    <s v="Thursday"/>
    <s v="Normal"/>
    <n v="0.16"/>
    <n v="0.13639999999999999"/>
    <n v="0.43"/>
    <x v="11"/>
    <x v="3"/>
    <n v="39"/>
    <x v="21"/>
    <x v="1"/>
    <x v="0"/>
    <x v="0"/>
  </r>
  <r>
    <n v="742"/>
    <x v="33"/>
    <x v="7"/>
    <b v="0"/>
    <s v="Thursday"/>
    <s v="Normal"/>
    <n v="0.14000000000000001"/>
    <n v="0.1212"/>
    <n v="0.5"/>
    <x v="9"/>
    <x v="5"/>
    <n v="86"/>
    <x v="90"/>
    <x v="1"/>
    <x v="1"/>
    <x v="0"/>
  </r>
  <r>
    <n v="743"/>
    <x v="33"/>
    <x v="8"/>
    <b v="0"/>
    <s v="Thursday"/>
    <s v="Normal"/>
    <n v="0.14000000000000001"/>
    <n v="0.1212"/>
    <n v="0.5"/>
    <x v="11"/>
    <x v="17"/>
    <n v="184"/>
    <x v="104"/>
    <x v="1"/>
    <x v="1"/>
    <x v="0"/>
  </r>
  <r>
    <n v="744"/>
    <x v="33"/>
    <x v="9"/>
    <b v="0"/>
    <s v="Thursday"/>
    <s v="Normal"/>
    <n v="0.16"/>
    <n v="0.13639999999999999"/>
    <n v="0.47"/>
    <x v="4"/>
    <x v="15"/>
    <n v="127"/>
    <x v="140"/>
    <x v="1"/>
    <x v="1"/>
    <x v="0"/>
  </r>
  <r>
    <n v="745"/>
    <x v="33"/>
    <x v="10"/>
    <b v="0"/>
    <s v="Thursday"/>
    <s v="Normal"/>
    <n v="0.18"/>
    <n v="0.1515"/>
    <n v="0.43"/>
    <x v="9"/>
    <x v="4"/>
    <n v="50"/>
    <x v="46"/>
    <x v="1"/>
    <x v="0"/>
    <x v="0"/>
  </r>
  <r>
    <n v="746"/>
    <x v="33"/>
    <x v="11"/>
    <b v="0"/>
    <s v="Thursday"/>
    <s v="Normal"/>
    <n v="0.18"/>
    <n v="0.13639999999999999"/>
    <n v="0.43"/>
    <x v="10"/>
    <x v="14"/>
    <n v="55"/>
    <x v="37"/>
    <x v="1"/>
    <x v="0"/>
    <x v="0"/>
  </r>
  <r>
    <n v="747"/>
    <x v="33"/>
    <x v="12"/>
    <b v="0"/>
    <s v="Thursday"/>
    <s v="Normal"/>
    <n v="0.2"/>
    <n v="0.18179999999999999"/>
    <n v="0.4"/>
    <x v="11"/>
    <x v="4"/>
    <n v="67"/>
    <x v="83"/>
    <x v="1"/>
    <x v="0"/>
    <x v="0"/>
  </r>
  <r>
    <n v="748"/>
    <x v="33"/>
    <x v="13"/>
    <b v="0"/>
    <s v="Thursday"/>
    <s v="Normal"/>
    <n v="0.2"/>
    <n v="0.16669999999999999"/>
    <n v="0.4"/>
    <x v="12"/>
    <x v="17"/>
    <n v="47"/>
    <x v="41"/>
    <x v="1"/>
    <x v="0"/>
    <x v="0"/>
  </r>
  <r>
    <n v="749"/>
    <x v="33"/>
    <x v="14"/>
    <b v="0"/>
    <s v="Thursday"/>
    <s v="Normal"/>
    <n v="0.22"/>
    <n v="0.19700000000000001"/>
    <n v="0.37"/>
    <x v="13"/>
    <x v="17"/>
    <n v="43"/>
    <x v="105"/>
    <x v="1"/>
    <x v="0"/>
    <x v="0"/>
  </r>
  <r>
    <n v="750"/>
    <x v="33"/>
    <x v="15"/>
    <b v="0"/>
    <s v="Thursday"/>
    <s v="Normal"/>
    <n v="0.22"/>
    <n v="0.19700000000000001"/>
    <n v="0.37"/>
    <x v="9"/>
    <x v="17"/>
    <n v="56"/>
    <x v="122"/>
    <x v="1"/>
    <x v="0"/>
    <x v="0"/>
  </r>
  <r>
    <n v="751"/>
    <x v="33"/>
    <x v="16"/>
    <b v="0"/>
    <s v="Thursday"/>
    <s v="Normal"/>
    <n v="0.22"/>
    <n v="0.21210000000000001"/>
    <n v="0.37"/>
    <x v="2"/>
    <x v="2"/>
    <n v="73"/>
    <x v="53"/>
    <x v="1"/>
    <x v="0"/>
    <x v="0"/>
  </r>
  <r>
    <n v="752"/>
    <x v="33"/>
    <x v="17"/>
    <b v="0"/>
    <s v="Thursday"/>
    <s v="Normal"/>
    <n v="0.2"/>
    <n v="0.19700000000000001"/>
    <n v="0.4"/>
    <x v="5"/>
    <x v="2"/>
    <n v="170"/>
    <x v="172"/>
    <x v="1"/>
    <x v="2"/>
    <x v="0"/>
  </r>
  <r>
    <n v="753"/>
    <x v="33"/>
    <x v="18"/>
    <b v="0"/>
    <s v="Thursday"/>
    <s v="Normal"/>
    <n v="0.2"/>
    <n v="0.21210000000000001"/>
    <n v="0.4"/>
    <x v="8"/>
    <x v="4"/>
    <n v="145"/>
    <x v="173"/>
    <x v="1"/>
    <x v="2"/>
    <x v="0"/>
  </r>
  <r>
    <n v="754"/>
    <x v="33"/>
    <x v="19"/>
    <b v="0"/>
    <s v="Thursday"/>
    <s v="Normal"/>
    <n v="0.2"/>
    <n v="0.2576"/>
    <n v="0.4"/>
    <x v="0"/>
    <x v="17"/>
    <n v="92"/>
    <x v="152"/>
    <x v="1"/>
    <x v="2"/>
    <x v="0"/>
  </r>
  <r>
    <n v="755"/>
    <x v="33"/>
    <x v="20"/>
    <b v="0"/>
    <s v="Thursday"/>
    <s v="Normal"/>
    <n v="0.2"/>
    <n v="0.2273"/>
    <n v="0.47"/>
    <x v="1"/>
    <x v="5"/>
    <n v="108"/>
    <x v="142"/>
    <x v="1"/>
    <x v="0"/>
    <x v="0"/>
  </r>
  <r>
    <n v="756"/>
    <x v="33"/>
    <x v="21"/>
    <b v="0"/>
    <s v="Thursday"/>
    <s v="Normal"/>
    <n v="0.18"/>
    <n v="0.21210000000000001"/>
    <n v="0.55000000000000004"/>
    <x v="14"/>
    <x v="5"/>
    <n v="53"/>
    <x v="60"/>
    <x v="1"/>
    <x v="0"/>
    <x v="0"/>
  </r>
  <r>
    <n v="757"/>
    <x v="33"/>
    <x v="22"/>
    <b v="0"/>
    <s v="Thursday"/>
    <s v="Normal"/>
    <n v="0.18"/>
    <n v="0.21210000000000001"/>
    <n v="0.51"/>
    <x v="1"/>
    <x v="4"/>
    <n v="39"/>
    <x v="102"/>
    <x v="1"/>
    <x v="0"/>
    <x v="0"/>
  </r>
  <r>
    <n v="758"/>
    <x v="33"/>
    <x v="23"/>
    <b v="0"/>
    <s v="Thursday"/>
    <s v="Normal"/>
    <n v="0.2"/>
    <n v="0.2273"/>
    <n v="0.47"/>
    <x v="14"/>
    <x v="17"/>
    <n v="34"/>
    <x v="103"/>
    <x v="1"/>
    <x v="0"/>
    <x v="0"/>
  </r>
  <r>
    <n v="759"/>
    <x v="34"/>
    <x v="0"/>
    <b v="0"/>
    <s v="Friday"/>
    <s v="Yellow Alert"/>
    <n v="0.2"/>
    <n v="0.2576"/>
    <n v="0.44"/>
    <x v="0"/>
    <x v="0"/>
    <n v="10"/>
    <x v="3"/>
    <x v="1"/>
    <x v="0"/>
    <x v="1"/>
  </r>
  <r>
    <n v="760"/>
    <x v="34"/>
    <x v="1"/>
    <b v="0"/>
    <s v="Friday"/>
    <s v="Yellow Alert"/>
    <n v="0.16"/>
    <n v="0.2273"/>
    <n v="0.59"/>
    <x v="0"/>
    <x v="3"/>
    <n v="7"/>
    <x v="85"/>
    <x v="1"/>
    <x v="0"/>
    <x v="1"/>
  </r>
  <r>
    <n v="761"/>
    <x v="34"/>
    <x v="2"/>
    <b v="0"/>
    <s v="Friday"/>
    <s v="Yellow Alert"/>
    <n v="0.14000000000000001"/>
    <n v="0.16669999999999999"/>
    <n v="0.63"/>
    <x v="14"/>
    <x v="3"/>
    <n v="1"/>
    <x v="4"/>
    <x v="1"/>
    <x v="0"/>
    <x v="1"/>
  </r>
  <r>
    <n v="762"/>
    <x v="34"/>
    <x v="3"/>
    <b v="0"/>
    <s v="Friday"/>
    <s v="Yellow Alert"/>
    <n v="0.14000000000000001"/>
    <n v="0.16669999999999999"/>
    <n v="0.63"/>
    <x v="14"/>
    <x v="3"/>
    <n v="1"/>
    <x v="4"/>
    <x v="1"/>
    <x v="0"/>
    <x v="1"/>
  </r>
  <r>
    <n v="763"/>
    <x v="34"/>
    <x v="5"/>
    <b v="0"/>
    <s v="Friday"/>
    <s v="Yellow Alert"/>
    <n v="0.14000000000000001"/>
    <n v="0.1515"/>
    <n v="0.63"/>
    <x v="7"/>
    <x v="3"/>
    <n v="7"/>
    <x v="85"/>
    <x v="1"/>
    <x v="0"/>
    <x v="1"/>
  </r>
  <r>
    <n v="764"/>
    <x v="34"/>
    <x v="6"/>
    <b v="0"/>
    <s v="Friday"/>
    <s v="Yellow Alert"/>
    <n v="0.16"/>
    <n v="0.2273"/>
    <n v="0.55000000000000004"/>
    <x v="0"/>
    <x v="4"/>
    <n v="26"/>
    <x v="20"/>
    <x v="1"/>
    <x v="0"/>
    <x v="1"/>
  </r>
  <r>
    <n v="765"/>
    <x v="34"/>
    <x v="7"/>
    <b v="0"/>
    <s v="Friday"/>
    <s v="Normal"/>
    <n v="0.14000000000000001"/>
    <n v="0.21210000000000001"/>
    <n v="0.59"/>
    <x v="0"/>
    <x v="3"/>
    <n v="87"/>
    <x v="90"/>
    <x v="1"/>
    <x v="1"/>
    <x v="0"/>
  </r>
  <r>
    <n v="766"/>
    <x v="34"/>
    <x v="8"/>
    <b v="0"/>
    <s v="Friday"/>
    <s v="Normal"/>
    <n v="0.14000000000000001"/>
    <n v="0.1515"/>
    <n v="0.74"/>
    <x v="7"/>
    <x v="0"/>
    <n v="217"/>
    <x v="174"/>
    <x v="1"/>
    <x v="1"/>
    <x v="0"/>
  </r>
  <r>
    <n v="767"/>
    <x v="34"/>
    <x v="9"/>
    <b v="0"/>
    <s v="Friday"/>
    <s v="Yellow Alert"/>
    <n v="0.16"/>
    <n v="0.18179999999999999"/>
    <n v="0.8"/>
    <x v="7"/>
    <x v="0"/>
    <n v="124"/>
    <x v="175"/>
    <x v="1"/>
    <x v="1"/>
    <x v="1"/>
  </r>
  <r>
    <n v="768"/>
    <x v="34"/>
    <x v="10"/>
    <b v="0"/>
    <s v="Friday"/>
    <s v="Yellow Alert"/>
    <n v="0.2"/>
    <n v="0.21210000000000001"/>
    <n v="0.51"/>
    <x v="7"/>
    <x v="2"/>
    <n v="46"/>
    <x v="41"/>
    <x v="1"/>
    <x v="0"/>
    <x v="1"/>
  </r>
  <r>
    <n v="769"/>
    <x v="34"/>
    <x v="11"/>
    <b v="0"/>
    <s v="Friday"/>
    <s v="Normal"/>
    <n v="0.22"/>
    <n v="0.2273"/>
    <n v="0.51"/>
    <x v="8"/>
    <x v="0"/>
    <n v="61"/>
    <x v="37"/>
    <x v="1"/>
    <x v="0"/>
    <x v="0"/>
  </r>
  <r>
    <n v="770"/>
    <x v="34"/>
    <x v="12"/>
    <b v="0"/>
    <s v="Friday"/>
    <s v="Yellow Alert"/>
    <n v="0.24"/>
    <n v="0.2424"/>
    <n v="0.48"/>
    <x v="8"/>
    <x v="1"/>
    <n v="78"/>
    <x v="80"/>
    <x v="1"/>
    <x v="0"/>
    <x v="1"/>
  </r>
  <r>
    <n v="771"/>
    <x v="34"/>
    <x v="13"/>
    <b v="0"/>
    <s v="Friday"/>
    <s v="Yellow Alert"/>
    <n v="0.26"/>
    <n v="0.2576"/>
    <n v="0.5"/>
    <x v="6"/>
    <x v="14"/>
    <n v="73"/>
    <x v="100"/>
    <x v="1"/>
    <x v="0"/>
    <x v="1"/>
  </r>
  <r>
    <n v="772"/>
    <x v="34"/>
    <x v="14"/>
    <b v="0"/>
    <s v="Friday"/>
    <s v="Yellow Alert"/>
    <n v="0.28000000000000003"/>
    <n v="0.2727"/>
    <n v="0.45"/>
    <x v="8"/>
    <x v="13"/>
    <n v="76"/>
    <x v="134"/>
    <x v="1"/>
    <x v="0"/>
    <x v="1"/>
  </r>
  <r>
    <n v="773"/>
    <x v="34"/>
    <x v="15"/>
    <b v="0"/>
    <s v="Friday"/>
    <s v="Yellow Alert"/>
    <n v="0.28000000000000003"/>
    <n v="0.2727"/>
    <n v="0.48"/>
    <x v="2"/>
    <x v="14"/>
    <n v="81"/>
    <x v="127"/>
    <x v="1"/>
    <x v="0"/>
    <x v="1"/>
  </r>
  <r>
    <n v="774"/>
    <x v="34"/>
    <x v="16"/>
    <b v="0"/>
    <s v="Friday"/>
    <s v="Yellow Alert"/>
    <n v="0.3"/>
    <n v="0.28789999999999999"/>
    <n v="0.42"/>
    <x v="6"/>
    <x v="1"/>
    <n v="91"/>
    <x v="111"/>
    <x v="1"/>
    <x v="0"/>
    <x v="1"/>
  </r>
  <r>
    <n v="775"/>
    <x v="34"/>
    <x v="17"/>
    <b v="0"/>
    <s v="Friday"/>
    <s v="Yellow Alert"/>
    <n v="0.26"/>
    <n v="0.2727"/>
    <n v="0.56000000000000005"/>
    <x v="7"/>
    <x v="22"/>
    <n v="195"/>
    <x v="176"/>
    <x v="1"/>
    <x v="2"/>
    <x v="1"/>
  </r>
  <r>
    <n v="776"/>
    <x v="34"/>
    <x v="18"/>
    <b v="0"/>
    <s v="Friday"/>
    <s v="Yellow Alert"/>
    <n v="0.24"/>
    <n v="0.2576"/>
    <n v="0.6"/>
    <x v="14"/>
    <x v="0"/>
    <n v="152"/>
    <x v="107"/>
    <x v="1"/>
    <x v="2"/>
    <x v="1"/>
  </r>
  <r>
    <n v="777"/>
    <x v="34"/>
    <x v="19"/>
    <b v="0"/>
    <s v="Friday"/>
    <s v="Yellow Alert"/>
    <n v="0.24"/>
    <n v="0.2424"/>
    <n v="0.65"/>
    <x v="7"/>
    <x v="5"/>
    <n v="102"/>
    <x v="153"/>
    <x v="1"/>
    <x v="2"/>
    <x v="1"/>
  </r>
  <r>
    <n v="778"/>
    <x v="34"/>
    <x v="20"/>
    <b v="0"/>
    <s v="Friday"/>
    <s v="Yellow Alert"/>
    <n v="0.24"/>
    <n v="0.2424"/>
    <n v="0.65"/>
    <x v="8"/>
    <x v="4"/>
    <n v="69"/>
    <x v="68"/>
    <x v="1"/>
    <x v="0"/>
    <x v="1"/>
  </r>
  <r>
    <n v="779"/>
    <x v="34"/>
    <x v="21"/>
    <b v="0"/>
    <s v="Friday"/>
    <s v="Yellow Alert"/>
    <n v="0.24"/>
    <n v="0.2424"/>
    <n v="0.7"/>
    <x v="8"/>
    <x v="4"/>
    <n v="41"/>
    <x v="74"/>
    <x v="1"/>
    <x v="0"/>
    <x v="1"/>
  </r>
  <r>
    <n v="780"/>
    <x v="34"/>
    <x v="22"/>
    <b v="0"/>
    <s v="Friday"/>
    <s v="Yellow Alert"/>
    <n v="0.24"/>
    <n v="0.2424"/>
    <n v="0.65"/>
    <x v="8"/>
    <x v="5"/>
    <n v="45"/>
    <x v="66"/>
    <x v="1"/>
    <x v="0"/>
    <x v="1"/>
  </r>
  <r>
    <n v="781"/>
    <x v="34"/>
    <x v="23"/>
    <b v="0"/>
    <s v="Friday"/>
    <s v="Yellow Alert"/>
    <n v="0.24"/>
    <n v="0.2424"/>
    <n v="0.7"/>
    <x v="7"/>
    <x v="5"/>
    <n v="30"/>
    <x v="35"/>
    <x v="1"/>
    <x v="0"/>
    <x v="1"/>
  </r>
  <r>
    <n v="782"/>
    <x v="35"/>
    <x v="0"/>
    <b v="0"/>
    <s v="Saturday"/>
    <s v="Yellow Alert"/>
    <n v="0.24"/>
    <n v="0.2424"/>
    <n v="0.7"/>
    <x v="8"/>
    <x v="0"/>
    <n v="36"/>
    <x v="21"/>
    <x v="0"/>
    <x v="0"/>
    <x v="1"/>
  </r>
  <r>
    <n v="783"/>
    <x v="35"/>
    <x v="1"/>
    <b v="0"/>
    <s v="Saturday"/>
    <s v="Yellow Alert"/>
    <n v="0.24"/>
    <n v="0.2424"/>
    <n v="0.65"/>
    <x v="8"/>
    <x v="5"/>
    <n v="17"/>
    <x v="109"/>
    <x v="0"/>
    <x v="0"/>
    <x v="1"/>
  </r>
  <r>
    <n v="784"/>
    <x v="35"/>
    <x v="2"/>
    <b v="0"/>
    <s v="Saturday"/>
    <s v="Yellow Alert"/>
    <n v="0.24"/>
    <n v="0.2424"/>
    <n v="0.75"/>
    <x v="8"/>
    <x v="2"/>
    <n v="12"/>
    <x v="22"/>
    <x v="0"/>
    <x v="0"/>
    <x v="1"/>
  </r>
  <r>
    <n v="785"/>
    <x v="35"/>
    <x v="3"/>
    <b v="0"/>
    <s v="Saturday"/>
    <s v="Yellow Alert"/>
    <n v="0.24"/>
    <n v="0.2424"/>
    <n v="0.75"/>
    <x v="8"/>
    <x v="5"/>
    <n v="10"/>
    <x v="62"/>
    <x v="0"/>
    <x v="0"/>
    <x v="1"/>
  </r>
  <r>
    <n v="786"/>
    <x v="35"/>
    <x v="4"/>
    <b v="0"/>
    <s v="Saturday"/>
    <s v="Orange Alert"/>
    <n v="0.22"/>
    <n v="0.2273"/>
    <n v="0.93"/>
    <x v="7"/>
    <x v="3"/>
    <n v="8"/>
    <x v="7"/>
    <x v="0"/>
    <x v="0"/>
    <x v="2"/>
  </r>
  <r>
    <n v="787"/>
    <x v="35"/>
    <x v="5"/>
    <b v="0"/>
    <s v="Saturday"/>
    <s v="Orange Alert"/>
    <n v="0.2"/>
    <n v="0.2273"/>
    <n v="1"/>
    <x v="1"/>
    <x v="3"/>
    <n v="9"/>
    <x v="23"/>
    <x v="0"/>
    <x v="0"/>
    <x v="2"/>
  </r>
  <r>
    <n v="788"/>
    <x v="35"/>
    <x v="6"/>
    <b v="0"/>
    <s v="Saturday"/>
    <s v="Orange Alert"/>
    <n v="0.2"/>
    <n v="0.2576"/>
    <n v="1"/>
    <x v="0"/>
    <x v="3"/>
    <n v="4"/>
    <x v="48"/>
    <x v="0"/>
    <x v="0"/>
    <x v="2"/>
  </r>
  <r>
    <n v="789"/>
    <x v="35"/>
    <x v="7"/>
    <b v="0"/>
    <s v="Saturday"/>
    <s v="Orange Alert"/>
    <n v="0.22"/>
    <n v="0.2576"/>
    <n v="0.93"/>
    <x v="1"/>
    <x v="3"/>
    <n v="4"/>
    <x v="48"/>
    <x v="0"/>
    <x v="1"/>
    <x v="2"/>
  </r>
  <r>
    <n v="790"/>
    <x v="35"/>
    <x v="8"/>
    <b v="0"/>
    <s v="Saturday"/>
    <s v="Orange Alert"/>
    <n v="0.2"/>
    <n v="0.2273"/>
    <n v="1"/>
    <x v="1"/>
    <x v="3"/>
    <n v="10"/>
    <x v="98"/>
    <x v="0"/>
    <x v="1"/>
    <x v="2"/>
  </r>
  <r>
    <n v="791"/>
    <x v="35"/>
    <x v="9"/>
    <b v="0"/>
    <s v="Saturday"/>
    <s v="Orange Alert"/>
    <n v="0.2"/>
    <n v="0.2273"/>
    <n v="1"/>
    <x v="1"/>
    <x v="0"/>
    <n v="17"/>
    <x v="25"/>
    <x v="0"/>
    <x v="1"/>
    <x v="2"/>
  </r>
  <r>
    <n v="792"/>
    <x v="35"/>
    <x v="10"/>
    <b v="0"/>
    <s v="Saturday"/>
    <s v="Orange Alert"/>
    <n v="0.2"/>
    <n v="0.21210000000000001"/>
    <n v="1"/>
    <x v="7"/>
    <x v="0"/>
    <n v="31"/>
    <x v="19"/>
    <x v="0"/>
    <x v="0"/>
    <x v="2"/>
  </r>
  <r>
    <n v="793"/>
    <x v="35"/>
    <x v="11"/>
    <b v="0"/>
    <s v="Saturday"/>
    <s v="Orange Alert"/>
    <n v="0.22"/>
    <n v="0.2273"/>
    <n v="1"/>
    <x v="7"/>
    <x v="5"/>
    <n v="46"/>
    <x v="105"/>
    <x v="0"/>
    <x v="0"/>
    <x v="2"/>
  </r>
  <r>
    <n v="794"/>
    <x v="35"/>
    <x v="12"/>
    <b v="0"/>
    <s v="Saturday"/>
    <s v="Orange Alert"/>
    <n v="0.22"/>
    <n v="0.2273"/>
    <n v="1"/>
    <x v="8"/>
    <x v="22"/>
    <n v="42"/>
    <x v="46"/>
    <x v="0"/>
    <x v="0"/>
    <x v="2"/>
  </r>
  <r>
    <n v="795"/>
    <x v="35"/>
    <x v="13"/>
    <b v="0"/>
    <s v="Saturday"/>
    <s v="Orange Alert"/>
    <n v="0.22"/>
    <n v="0.2273"/>
    <n v="1"/>
    <x v="8"/>
    <x v="22"/>
    <n v="62"/>
    <x v="44"/>
    <x v="0"/>
    <x v="0"/>
    <x v="2"/>
  </r>
  <r>
    <n v="796"/>
    <x v="35"/>
    <x v="14"/>
    <b v="0"/>
    <s v="Saturday"/>
    <s v="Orange Alert"/>
    <n v="0.22"/>
    <n v="0.2727"/>
    <n v="1"/>
    <x v="0"/>
    <x v="2"/>
    <n v="50"/>
    <x v="97"/>
    <x v="0"/>
    <x v="0"/>
    <x v="2"/>
  </r>
  <r>
    <n v="797"/>
    <x v="35"/>
    <x v="15"/>
    <b v="0"/>
    <s v="Saturday"/>
    <s v="Orange Alert"/>
    <n v="0.22"/>
    <n v="0.2727"/>
    <n v="1"/>
    <x v="0"/>
    <x v="16"/>
    <n v="49"/>
    <x v="122"/>
    <x v="0"/>
    <x v="0"/>
    <x v="2"/>
  </r>
  <r>
    <n v="798"/>
    <x v="35"/>
    <x v="16"/>
    <b v="0"/>
    <s v="Saturday"/>
    <s v="Orange Alert"/>
    <n v="0.22"/>
    <n v="0.2273"/>
    <n v="1"/>
    <x v="7"/>
    <x v="1"/>
    <n v="63"/>
    <x v="68"/>
    <x v="0"/>
    <x v="0"/>
    <x v="2"/>
  </r>
  <r>
    <n v="799"/>
    <x v="35"/>
    <x v="17"/>
    <b v="0"/>
    <s v="Saturday"/>
    <s v="Yellow Alert"/>
    <n v="0.24"/>
    <n v="0.21210000000000001"/>
    <n v="1"/>
    <x v="3"/>
    <x v="24"/>
    <n v="64"/>
    <x v="53"/>
    <x v="0"/>
    <x v="2"/>
    <x v="1"/>
  </r>
  <r>
    <n v="800"/>
    <x v="35"/>
    <x v="18"/>
    <b v="0"/>
    <s v="Saturday"/>
    <s v="Yellow Alert"/>
    <n v="0.28000000000000003"/>
    <n v="0.2424"/>
    <n v="0.93"/>
    <x v="10"/>
    <x v="4"/>
    <n v="81"/>
    <x v="56"/>
    <x v="0"/>
    <x v="2"/>
    <x v="1"/>
  </r>
  <r>
    <n v="801"/>
    <x v="35"/>
    <x v="19"/>
    <b v="0"/>
    <s v="Saturday"/>
    <s v="Yellow Alert"/>
    <n v="0.28000000000000003"/>
    <n v="0.2424"/>
    <n v="0.93"/>
    <x v="10"/>
    <x v="15"/>
    <n v="78"/>
    <x v="11"/>
    <x v="0"/>
    <x v="2"/>
    <x v="1"/>
  </r>
  <r>
    <n v="802"/>
    <x v="35"/>
    <x v="20"/>
    <b v="0"/>
    <s v="Saturday"/>
    <s v="Normal"/>
    <n v="0.3"/>
    <n v="0.28789999999999999"/>
    <n v="0.87"/>
    <x v="2"/>
    <x v="2"/>
    <n v="64"/>
    <x v="83"/>
    <x v="0"/>
    <x v="0"/>
    <x v="0"/>
  </r>
  <r>
    <n v="803"/>
    <x v="35"/>
    <x v="21"/>
    <b v="0"/>
    <s v="Saturday"/>
    <s v="Normal"/>
    <n v="0.26"/>
    <n v="0.2576"/>
    <n v="1"/>
    <x v="5"/>
    <x v="0"/>
    <n v="53"/>
    <x v="10"/>
    <x v="0"/>
    <x v="0"/>
    <x v="0"/>
  </r>
  <r>
    <n v="804"/>
    <x v="35"/>
    <x v="22"/>
    <b v="0"/>
    <s v="Saturday"/>
    <s v="Normal"/>
    <n v="0.26"/>
    <n v="0.2727"/>
    <n v="0.93"/>
    <x v="7"/>
    <x v="4"/>
    <n v="43"/>
    <x v="79"/>
    <x v="0"/>
    <x v="0"/>
    <x v="0"/>
  </r>
  <r>
    <n v="805"/>
    <x v="35"/>
    <x v="23"/>
    <b v="0"/>
    <s v="Saturday"/>
    <s v="Normal"/>
    <n v="0.26"/>
    <n v="0.2576"/>
    <n v="0.93"/>
    <x v="6"/>
    <x v="18"/>
    <n v="52"/>
    <x v="29"/>
    <x v="0"/>
    <x v="0"/>
    <x v="0"/>
  </r>
  <r>
    <n v="806"/>
    <x v="36"/>
    <x v="0"/>
    <b v="0"/>
    <s v="Sunday"/>
    <s v="Normal"/>
    <n v="0.26"/>
    <n v="0.2576"/>
    <n v="0.7"/>
    <x v="5"/>
    <x v="4"/>
    <n v="37"/>
    <x v="21"/>
    <x v="0"/>
    <x v="0"/>
    <x v="0"/>
  </r>
  <r>
    <n v="807"/>
    <x v="36"/>
    <x v="1"/>
    <b v="0"/>
    <s v="Sunday"/>
    <s v="Normal"/>
    <n v="0.26"/>
    <n v="0.2273"/>
    <n v="0.65"/>
    <x v="12"/>
    <x v="17"/>
    <n v="40"/>
    <x v="40"/>
    <x v="0"/>
    <x v="0"/>
    <x v="0"/>
  </r>
  <r>
    <n v="808"/>
    <x v="36"/>
    <x v="2"/>
    <b v="0"/>
    <s v="Sunday"/>
    <s v="Normal"/>
    <n v="0.26"/>
    <n v="0.2273"/>
    <n v="0.6"/>
    <x v="9"/>
    <x v="3"/>
    <n v="20"/>
    <x v="25"/>
    <x v="0"/>
    <x v="0"/>
    <x v="0"/>
  </r>
  <r>
    <n v="809"/>
    <x v="36"/>
    <x v="3"/>
    <b v="0"/>
    <s v="Sunday"/>
    <s v="Normal"/>
    <n v="0.26"/>
    <n v="0.28789999999999999"/>
    <n v="0.6"/>
    <x v="1"/>
    <x v="0"/>
    <n v="10"/>
    <x v="3"/>
    <x v="0"/>
    <x v="0"/>
    <x v="0"/>
  </r>
  <r>
    <n v="810"/>
    <x v="36"/>
    <x v="4"/>
    <b v="0"/>
    <s v="Sunday"/>
    <s v="Normal"/>
    <n v="0.26"/>
    <n v="0.2273"/>
    <n v="0.6"/>
    <x v="11"/>
    <x v="3"/>
    <n v="2"/>
    <x v="5"/>
    <x v="0"/>
    <x v="0"/>
    <x v="0"/>
  </r>
  <r>
    <n v="811"/>
    <x v="36"/>
    <x v="5"/>
    <b v="0"/>
    <s v="Sunday"/>
    <s v="Normal"/>
    <n v="0.26"/>
    <n v="0.2576"/>
    <n v="0.6"/>
    <x v="6"/>
    <x v="3"/>
    <n v="1"/>
    <x v="4"/>
    <x v="0"/>
    <x v="0"/>
    <x v="0"/>
  </r>
  <r>
    <n v="812"/>
    <x v="36"/>
    <x v="6"/>
    <b v="0"/>
    <s v="Sunday"/>
    <s v="Normal"/>
    <n v="0.26"/>
    <n v="0.2576"/>
    <n v="0.6"/>
    <x v="6"/>
    <x v="3"/>
    <n v="1"/>
    <x v="4"/>
    <x v="0"/>
    <x v="0"/>
    <x v="0"/>
  </r>
  <r>
    <n v="813"/>
    <x v="36"/>
    <x v="7"/>
    <b v="0"/>
    <s v="Sunday"/>
    <s v="Normal"/>
    <n v="0.24"/>
    <n v="0.2424"/>
    <n v="0.65"/>
    <x v="8"/>
    <x v="3"/>
    <n v="8"/>
    <x v="7"/>
    <x v="0"/>
    <x v="1"/>
    <x v="0"/>
  </r>
  <r>
    <n v="814"/>
    <x v="36"/>
    <x v="8"/>
    <b v="0"/>
    <s v="Sunday"/>
    <s v="Normal"/>
    <n v="0.24"/>
    <n v="0.2576"/>
    <n v="0.65"/>
    <x v="14"/>
    <x v="4"/>
    <n v="21"/>
    <x v="84"/>
    <x v="0"/>
    <x v="1"/>
    <x v="0"/>
  </r>
  <r>
    <n v="815"/>
    <x v="36"/>
    <x v="9"/>
    <b v="0"/>
    <s v="Sunday"/>
    <s v="Normal"/>
    <n v="0.28000000000000003"/>
    <n v="0.28789999999999999"/>
    <n v="0.56000000000000005"/>
    <x v="14"/>
    <x v="18"/>
    <n v="38"/>
    <x v="79"/>
    <x v="0"/>
    <x v="1"/>
    <x v="0"/>
  </r>
  <r>
    <n v="816"/>
    <x v="36"/>
    <x v="10"/>
    <b v="0"/>
    <s v="Sunday"/>
    <s v="Normal"/>
    <n v="0.3"/>
    <n v="0.28789999999999999"/>
    <n v="0.52"/>
    <x v="2"/>
    <x v="13"/>
    <n v="74"/>
    <x v="70"/>
    <x v="0"/>
    <x v="0"/>
    <x v="0"/>
  </r>
  <r>
    <n v="817"/>
    <x v="36"/>
    <x v="11"/>
    <b v="0"/>
    <s v="Sunday"/>
    <s v="Normal"/>
    <n v="0.32"/>
    <n v="0.30299999999999999"/>
    <n v="0.49"/>
    <x v="2"/>
    <x v="32"/>
    <n v="89"/>
    <x v="126"/>
    <x v="0"/>
    <x v="0"/>
    <x v="0"/>
  </r>
  <r>
    <n v="818"/>
    <x v="36"/>
    <x v="12"/>
    <b v="0"/>
    <s v="Sunday"/>
    <s v="Normal"/>
    <n v="0.34"/>
    <n v="0.33329999999999999"/>
    <n v="0.46"/>
    <x v="0"/>
    <x v="33"/>
    <n v="126"/>
    <x v="177"/>
    <x v="0"/>
    <x v="0"/>
    <x v="0"/>
  </r>
  <r>
    <n v="819"/>
    <x v="36"/>
    <x v="13"/>
    <b v="0"/>
    <s v="Sunday"/>
    <s v="Normal"/>
    <n v="0.34"/>
    <n v="0.36359999999999998"/>
    <n v="0.46"/>
    <x v="0"/>
    <x v="9"/>
    <n v="135"/>
    <x v="58"/>
    <x v="0"/>
    <x v="0"/>
    <x v="0"/>
  </r>
  <r>
    <n v="820"/>
    <x v="36"/>
    <x v="14"/>
    <b v="0"/>
    <s v="Sunday"/>
    <s v="Normal"/>
    <n v="0.34"/>
    <n v="0.34849999999999998"/>
    <n v="0.46"/>
    <x v="1"/>
    <x v="9"/>
    <n v="114"/>
    <x v="143"/>
    <x v="0"/>
    <x v="0"/>
    <x v="0"/>
  </r>
  <r>
    <n v="821"/>
    <x v="36"/>
    <x v="15"/>
    <b v="0"/>
    <s v="Sunday"/>
    <s v="Normal"/>
    <n v="0.34"/>
    <n v="0.34849999999999998"/>
    <n v="0.46"/>
    <x v="1"/>
    <x v="34"/>
    <n v="130"/>
    <x v="58"/>
    <x v="0"/>
    <x v="0"/>
    <x v="0"/>
  </r>
  <r>
    <n v="822"/>
    <x v="36"/>
    <x v="16"/>
    <b v="0"/>
    <s v="Sunday"/>
    <s v="Normal"/>
    <n v="0.34"/>
    <n v="0.34849999999999998"/>
    <n v="0.49"/>
    <x v="14"/>
    <x v="35"/>
    <n v="115"/>
    <x v="45"/>
    <x v="0"/>
    <x v="0"/>
    <x v="0"/>
  </r>
  <r>
    <n v="823"/>
    <x v="36"/>
    <x v="17"/>
    <b v="0"/>
    <s v="Sunday"/>
    <s v="Normal"/>
    <n v="0.34"/>
    <n v="0.36359999999999998"/>
    <n v="0.46"/>
    <x v="0"/>
    <x v="31"/>
    <n v="97"/>
    <x v="178"/>
    <x v="0"/>
    <x v="2"/>
    <x v="0"/>
  </r>
  <r>
    <n v="824"/>
    <x v="36"/>
    <x v="18"/>
    <b v="0"/>
    <s v="Sunday"/>
    <s v="Normal"/>
    <n v="0.3"/>
    <n v="0.30299999999999999"/>
    <n v="0.56000000000000005"/>
    <x v="8"/>
    <x v="23"/>
    <n v="65"/>
    <x v="53"/>
    <x v="0"/>
    <x v="2"/>
    <x v="0"/>
  </r>
  <r>
    <n v="825"/>
    <x v="36"/>
    <x v="19"/>
    <b v="0"/>
    <s v="Sunday"/>
    <s v="Normal"/>
    <n v="0.28000000000000003"/>
    <n v="0.28789999999999999"/>
    <n v="0.61"/>
    <x v="7"/>
    <x v="5"/>
    <n v="20"/>
    <x v="137"/>
    <x v="0"/>
    <x v="2"/>
    <x v="0"/>
  </r>
  <r>
    <n v="826"/>
    <x v="36"/>
    <x v="20"/>
    <b v="0"/>
    <s v="Sunday"/>
    <s v="Normal"/>
    <n v="0.28000000000000003"/>
    <n v="0.28789999999999999"/>
    <n v="0.61"/>
    <x v="14"/>
    <x v="2"/>
    <n v="21"/>
    <x v="132"/>
    <x v="0"/>
    <x v="0"/>
    <x v="0"/>
  </r>
  <r>
    <n v="827"/>
    <x v="36"/>
    <x v="21"/>
    <b v="0"/>
    <s v="Sunday"/>
    <s v="Normal"/>
    <n v="0.26"/>
    <n v="0.30299999999999999"/>
    <n v="0.6"/>
    <x v="0"/>
    <x v="2"/>
    <n v="22"/>
    <x v="110"/>
    <x v="0"/>
    <x v="0"/>
    <x v="0"/>
  </r>
  <r>
    <n v="828"/>
    <x v="36"/>
    <x v="22"/>
    <b v="0"/>
    <s v="Sunday"/>
    <s v="Normal"/>
    <n v="0.26"/>
    <n v="0.30299999999999999"/>
    <n v="0.6"/>
    <x v="0"/>
    <x v="2"/>
    <n v="57"/>
    <x v="69"/>
    <x v="0"/>
    <x v="0"/>
    <x v="0"/>
  </r>
  <r>
    <n v="829"/>
    <x v="36"/>
    <x v="23"/>
    <b v="0"/>
    <s v="Sunday"/>
    <s v="Normal"/>
    <n v="0.24"/>
    <n v="0.28789999999999999"/>
    <n v="0.65"/>
    <x v="0"/>
    <x v="17"/>
    <n v="26"/>
    <x v="33"/>
    <x v="0"/>
    <x v="0"/>
    <x v="0"/>
  </r>
  <r>
    <n v="830"/>
    <x v="37"/>
    <x v="0"/>
    <b v="0"/>
    <s v="Monday"/>
    <s v="Normal"/>
    <n v="0.24"/>
    <n v="0.28789999999999999"/>
    <n v="0.65"/>
    <x v="0"/>
    <x v="5"/>
    <n v="14"/>
    <x v="93"/>
    <x v="1"/>
    <x v="0"/>
    <x v="0"/>
  </r>
  <r>
    <n v="831"/>
    <x v="37"/>
    <x v="1"/>
    <b v="0"/>
    <s v="Monday"/>
    <s v="Normal"/>
    <n v="0.22"/>
    <n v="0.2727"/>
    <n v="0.75"/>
    <x v="0"/>
    <x v="5"/>
    <n v="4"/>
    <x v="36"/>
    <x v="1"/>
    <x v="0"/>
    <x v="0"/>
  </r>
  <r>
    <n v="832"/>
    <x v="37"/>
    <x v="2"/>
    <b v="0"/>
    <s v="Monday"/>
    <s v="Normal"/>
    <n v="0.2"/>
    <n v="0.2576"/>
    <n v="0.8"/>
    <x v="0"/>
    <x v="3"/>
    <n v="3"/>
    <x v="6"/>
    <x v="1"/>
    <x v="0"/>
    <x v="0"/>
  </r>
  <r>
    <n v="833"/>
    <x v="37"/>
    <x v="3"/>
    <b v="0"/>
    <s v="Monday"/>
    <s v="Normal"/>
    <n v="0.2"/>
    <n v="0.2576"/>
    <n v="0.86"/>
    <x v="0"/>
    <x v="3"/>
    <n v="1"/>
    <x v="4"/>
    <x v="1"/>
    <x v="0"/>
    <x v="0"/>
  </r>
  <r>
    <n v="834"/>
    <x v="37"/>
    <x v="4"/>
    <b v="0"/>
    <s v="Monday"/>
    <s v="Normal"/>
    <n v="0.2"/>
    <n v="0.2576"/>
    <n v="0.86"/>
    <x v="0"/>
    <x v="5"/>
    <n v="1"/>
    <x v="5"/>
    <x v="1"/>
    <x v="0"/>
    <x v="0"/>
  </r>
  <r>
    <n v="835"/>
    <x v="37"/>
    <x v="5"/>
    <b v="0"/>
    <s v="Monday"/>
    <s v="Normal"/>
    <n v="0.2"/>
    <n v="0.2576"/>
    <n v="0.86"/>
    <x v="0"/>
    <x v="5"/>
    <n v="9"/>
    <x v="98"/>
    <x v="1"/>
    <x v="0"/>
    <x v="0"/>
  </r>
  <r>
    <n v="836"/>
    <x v="37"/>
    <x v="6"/>
    <b v="0"/>
    <s v="Monday"/>
    <s v="Normal"/>
    <n v="0.18"/>
    <n v="0.2424"/>
    <n v="0.93"/>
    <x v="0"/>
    <x v="5"/>
    <n v="29"/>
    <x v="33"/>
    <x v="1"/>
    <x v="0"/>
    <x v="0"/>
  </r>
  <r>
    <n v="837"/>
    <x v="37"/>
    <x v="7"/>
    <b v="0"/>
    <s v="Monday"/>
    <s v="Normal"/>
    <n v="0.18"/>
    <n v="0.2424"/>
    <n v="0.86"/>
    <x v="0"/>
    <x v="15"/>
    <n v="89"/>
    <x v="76"/>
    <x v="1"/>
    <x v="1"/>
    <x v="0"/>
  </r>
  <r>
    <n v="838"/>
    <x v="37"/>
    <x v="8"/>
    <b v="0"/>
    <s v="Monday"/>
    <s v="Yellow Alert"/>
    <n v="0.16"/>
    <n v="0.2273"/>
    <n v="1"/>
    <x v="0"/>
    <x v="18"/>
    <n v="223"/>
    <x v="179"/>
    <x v="1"/>
    <x v="1"/>
    <x v="1"/>
  </r>
  <r>
    <n v="839"/>
    <x v="37"/>
    <x v="9"/>
    <b v="0"/>
    <s v="Monday"/>
    <s v="Normal"/>
    <n v="0.22"/>
    <n v="0.2727"/>
    <n v="0.8"/>
    <x v="0"/>
    <x v="0"/>
    <n v="115"/>
    <x v="130"/>
    <x v="1"/>
    <x v="1"/>
    <x v="0"/>
  </r>
  <r>
    <n v="840"/>
    <x v="37"/>
    <x v="10"/>
    <b v="0"/>
    <s v="Monday"/>
    <s v="Normal"/>
    <n v="0.24"/>
    <n v="0.2576"/>
    <n v="0.75"/>
    <x v="14"/>
    <x v="15"/>
    <n v="49"/>
    <x v="97"/>
    <x v="1"/>
    <x v="0"/>
    <x v="0"/>
  </r>
  <r>
    <n v="841"/>
    <x v="37"/>
    <x v="11"/>
    <b v="0"/>
    <s v="Monday"/>
    <s v="Normal"/>
    <n v="0.3"/>
    <n v="0.31819999999999998"/>
    <n v="0.65"/>
    <x v="1"/>
    <x v="16"/>
    <n v="36"/>
    <x v="105"/>
    <x v="1"/>
    <x v="0"/>
    <x v="0"/>
  </r>
  <r>
    <n v="842"/>
    <x v="37"/>
    <x v="12"/>
    <b v="0"/>
    <s v="Monday"/>
    <s v="Yellow Alert"/>
    <n v="0.32"/>
    <n v="0.34849999999999998"/>
    <n v="0.62"/>
    <x v="0"/>
    <x v="18"/>
    <n v="59"/>
    <x v="180"/>
    <x v="1"/>
    <x v="0"/>
    <x v="1"/>
  </r>
  <r>
    <n v="843"/>
    <x v="37"/>
    <x v="13"/>
    <b v="0"/>
    <s v="Monday"/>
    <s v="Yellow Alert"/>
    <n v="0.36"/>
    <n v="0.36359999999999998"/>
    <n v="0.56999999999999995"/>
    <x v="1"/>
    <x v="22"/>
    <n v="54"/>
    <x v="37"/>
    <x v="1"/>
    <x v="0"/>
    <x v="1"/>
  </r>
  <r>
    <n v="844"/>
    <x v="37"/>
    <x v="14"/>
    <b v="0"/>
    <s v="Monday"/>
    <s v="Yellow Alert"/>
    <n v="0.36"/>
    <n v="0.36359999999999998"/>
    <n v="0.56999999999999995"/>
    <x v="1"/>
    <x v="1"/>
    <n v="52"/>
    <x v="122"/>
    <x v="1"/>
    <x v="0"/>
    <x v="1"/>
  </r>
  <r>
    <n v="845"/>
    <x v="37"/>
    <x v="15"/>
    <b v="0"/>
    <s v="Monday"/>
    <s v="Yellow Alert"/>
    <n v="0.38"/>
    <n v="0.39389999999999997"/>
    <n v="0.54"/>
    <x v="1"/>
    <x v="17"/>
    <n v="46"/>
    <x v="89"/>
    <x v="1"/>
    <x v="0"/>
    <x v="1"/>
  </r>
  <r>
    <n v="846"/>
    <x v="37"/>
    <x v="16"/>
    <b v="0"/>
    <s v="Monday"/>
    <s v="Yellow Alert"/>
    <n v="0.36"/>
    <n v="0.34849999999999998"/>
    <n v="0.56999999999999995"/>
    <x v="7"/>
    <x v="19"/>
    <n v="98"/>
    <x v="181"/>
    <x v="1"/>
    <x v="0"/>
    <x v="1"/>
  </r>
  <r>
    <n v="847"/>
    <x v="37"/>
    <x v="17"/>
    <b v="0"/>
    <s v="Monday"/>
    <s v="Yellow Alert"/>
    <n v="0.32"/>
    <n v="0.31819999999999998"/>
    <n v="0.7"/>
    <x v="8"/>
    <x v="14"/>
    <n v="207"/>
    <x v="182"/>
    <x v="1"/>
    <x v="2"/>
    <x v="1"/>
  </r>
  <r>
    <n v="848"/>
    <x v="37"/>
    <x v="18"/>
    <b v="0"/>
    <s v="Monday"/>
    <s v="Yellow Alert"/>
    <n v="0.34"/>
    <n v="0.33329999999999999"/>
    <n v="0.66"/>
    <x v="7"/>
    <x v="2"/>
    <n v="170"/>
    <x v="172"/>
    <x v="1"/>
    <x v="2"/>
    <x v="1"/>
  </r>
  <r>
    <n v="849"/>
    <x v="37"/>
    <x v="19"/>
    <b v="0"/>
    <s v="Monday"/>
    <s v="Yellow Alert"/>
    <n v="0.32"/>
    <n v="0.34849999999999998"/>
    <n v="0.7"/>
    <x v="0"/>
    <x v="2"/>
    <n v="123"/>
    <x v="116"/>
    <x v="1"/>
    <x v="2"/>
    <x v="1"/>
  </r>
  <r>
    <n v="850"/>
    <x v="37"/>
    <x v="20"/>
    <b v="0"/>
    <s v="Monday"/>
    <s v="Yellow Alert"/>
    <n v="0.32"/>
    <n v="0.33329999999999999"/>
    <n v="0.7"/>
    <x v="14"/>
    <x v="15"/>
    <n v="82"/>
    <x v="39"/>
    <x v="1"/>
    <x v="0"/>
    <x v="1"/>
  </r>
  <r>
    <n v="851"/>
    <x v="37"/>
    <x v="21"/>
    <b v="0"/>
    <s v="Monday"/>
    <s v="Normal"/>
    <n v="0.32"/>
    <n v="0.34849999999999998"/>
    <n v="0.7"/>
    <x v="0"/>
    <x v="0"/>
    <n v="75"/>
    <x v="53"/>
    <x v="1"/>
    <x v="0"/>
    <x v="0"/>
  </r>
  <r>
    <n v="852"/>
    <x v="37"/>
    <x v="22"/>
    <b v="0"/>
    <s v="Monday"/>
    <s v="Normal"/>
    <n v="0.28000000000000003"/>
    <n v="0.30299999999999999"/>
    <n v="0.81"/>
    <x v="1"/>
    <x v="0"/>
    <n v="34"/>
    <x v="18"/>
    <x v="1"/>
    <x v="0"/>
    <x v="0"/>
  </r>
  <r>
    <n v="853"/>
    <x v="37"/>
    <x v="23"/>
    <b v="0"/>
    <s v="Monday"/>
    <s v="Yellow Alert"/>
    <n v="0.3"/>
    <n v="0.33329999999999999"/>
    <n v="0.81"/>
    <x v="0"/>
    <x v="15"/>
    <n v="19"/>
    <x v="94"/>
    <x v="1"/>
    <x v="0"/>
    <x v="1"/>
  </r>
  <r>
    <n v="854"/>
    <x v="38"/>
    <x v="0"/>
    <b v="0"/>
    <s v="Tuesday"/>
    <s v="Yellow Alert"/>
    <n v="0.28000000000000003"/>
    <n v="0.31819999999999998"/>
    <n v="0.87"/>
    <x v="0"/>
    <x v="17"/>
    <n v="6"/>
    <x v="98"/>
    <x v="1"/>
    <x v="0"/>
    <x v="1"/>
  </r>
  <r>
    <n v="855"/>
    <x v="38"/>
    <x v="1"/>
    <b v="0"/>
    <s v="Tuesday"/>
    <s v="Yellow Alert"/>
    <n v="0.28000000000000003"/>
    <n v="0.31819999999999998"/>
    <n v="0.87"/>
    <x v="0"/>
    <x v="3"/>
    <n v="4"/>
    <x v="48"/>
    <x v="1"/>
    <x v="0"/>
    <x v="1"/>
  </r>
  <r>
    <n v="856"/>
    <x v="38"/>
    <x v="2"/>
    <b v="0"/>
    <s v="Tuesday"/>
    <s v="Yellow Alert"/>
    <n v="0.26"/>
    <n v="0.2727"/>
    <n v="0.93"/>
    <x v="14"/>
    <x v="5"/>
    <n v="1"/>
    <x v="5"/>
    <x v="1"/>
    <x v="0"/>
    <x v="1"/>
  </r>
  <r>
    <n v="857"/>
    <x v="38"/>
    <x v="3"/>
    <b v="0"/>
    <s v="Tuesday"/>
    <s v="Orange Alert"/>
    <n v="0.28000000000000003"/>
    <n v="0.2727"/>
    <n v="0.93"/>
    <x v="8"/>
    <x v="3"/>
    <n v="1"/>
    <x v="4"/>
    <x v="1"/>
    <x v="0"/>
    <x v="2"/>
  </r>
  <r>
    <n v="858"/>
    <x v="38"/>
    <x v="4"/>
    <b v="0"/>
    <s v="Tuesday"/>
    <s v="Normal"/>
    <n v="0.26"/>
    <n v="0.2576"/>
    <n v="0.93"/>
    <x v="8"/>
    <x v="3"/>
    <n v="3"/>
    <x v="6"/>
    <x v="1"/>
    <x v="0"/>
    <x v="0"/>
  </r>
  <r>
    <n v="859"/>
    <x v="38"/>
    <x v="5"/>
    <b v="0"/>
    <s v="Tuesday"/>
    <s v="Normal"/>
    <n v="0.26"/>
    <n v="0.2273"/>
    <n v="0.81"/>
    <x v="9"/>
    <x v="3"/>
    <n v="2"/>
    <x v="5"/>
    <x v="1"/>
    <x v="0"/>
    <x v="0"/>
  </r>
  <r>
    <n v="860"/>
    <x v="38"/>
    <x v="6"/>
    <b v="0"/>
    <s v="Tuesday"/>
    <s v="Normal"/>
    <n v="0.26"/>
    <n v="0.2273"/>
    <n v="0.7"/>
    <x v="9"/>
    <x v="3"/>
    <n v="39"/>
    <x v="21"/>
    <x v="1"/>
    <x v="0"/>
    <x v="0"/>
  </r>
  <r>
    <n v="861"/>
    <x v="38"/>
    <x v="7"/>
    <b v="0"/>
    <s v="Tuesday"/>
    <s v="Normal"/>
    <n v="0.24"/>
    <n v="0.19700000000000001"/>
    <n v="0.65"/>
    <x v="12"/>
    <x v="0"/>
    <n v="97"/>
    <x v="50"/>
    <x v="1"/>
    <x v="1"/>
    <x v="0"/>
  </r>
  <r>
    <n v="862"/>
    <x v="38"/>
    <x v="8"/>
    <b v="0"/>
    <s v="Tuesday"/>
    <s v="Normal"/>
    <n v="0.24"/>
    <n v="0.19700000000000001"/>
    <n v="0.56000000000000005"/>
    <x v="15"/>
    <x v="18"/>
    <n v="236"/>
    <x v="183"/>
    <x v="1"/>
    <x v="1"/>
    <x v="0"/>
  </r>
  <r>
    <n v="863"/>
    <x v="38"/>
    <x v="9"/>
    <b v="0"/>
    <s v="Tuesday"/>
    <s v="Normal"/>
    <n v="0.24"/>
    <n v="0.19700000000000001"/>
    <n v="0.52"/>
    <x v="15"/>
    <x v="18"/>
    <n v="128"/>
    <x v="169"/>
    <x v="1"/>
    <x v="1"/>
    <x v="0"/>
  </r>
  <r>
    <n v="864"/>
    <x v="38"/>
    <x v="10"/>
    <b v="0"/>
    <s v="Tuesday"/>
    <s v="Normal"/>
    <n v="0.22"/>
    <n v="0.18179999999999999"/>
    <n v="0.47"/>
    <x v="16"/>
    <x v="17"/>
    <n v="44"/>
    <x v="61"/>
    <x v="1"/>
    <x v="0"/>
    <x v="0"/>
  </r>
  <r>
    <n v="865"/>
    <x v="38"/>
    <x v="11"/>
    <b v="0"/>
    <s v="Tuesday"/>
    <s v="Normal"/>
    <n v="0.22"/>
    <n v="0.18179999999999999"/>
    <n v="0.47"/>
    <x v="17"/>
    <x v="5"/>
    <n v="49"/>
    <x v="89"/>
    <x v="1"/>
    <x v="0"/>
    <x v="0"/>
  </r>
  <r>
    <n v="866"/>
    <x v="38"/>
    <x v="12"/>
    <b v="0"/>
    <s v="Tuesday"/>
    <s v="Normal"/>
    <n v="0.24"/>
    <n v="0.19700000000000001"/>
    <n v="0.38"/>
    <x v="15"/>
    <x v="4"/>
    <n v="63"/>
    <x v="32"/>
    <x v="1"/>
    <x v="0"/>
    <x v="0"/>
  </r>
  <r>
    <n v="867"/>
    <x v="38"/>
    <x v="13"/>
    <b v="0"/>
    <s v="Tuesday"/>
    <s v="Yellow Alert"/>
    <n v="0.24"/>
    <n v="0.19700000000000001"/>
    <n v="0.32"/>
    <x v="10"/>
    <x v="4"/>
    <n v="48"/>
    <x v="89"/>
    <x v="1"/>
    <x v="0"/>
    <x v="1"/>
  </r>
  <r>
    <n v="868"/>
    <x v="38"/>
    <x v="14"/>
    <b v="0"/>
    <s v="Tuesday"/>
    <s v="Normal"/>
    <n v="0.22"/>
    <n v="0.19700000000000001"/>
    <n v="0.37"/>
    <x v="12"/>
    <x v="0"/>
    <n v="61"/>
    <x v="37"/>
    <x v="1"/>
    <x v="0"/>
    <x v="0"/>
  </r>
  <r>
    <n v="869"/>
    <x v="38"/>
    <x v="15"/>
    <b v="0"/>
    <s v="Tuesday"/>
    <s v="Normal"/>
    <n v="0.22"/>
    <n v="0.19700000000000001"/>
    <n v="0.35"/>
    <x v="13"/>
    <x v="15"/>
    <n v="45"/>
    <x v="41"/>
    <x v="1"/>
    <x v="0"/>
    <x v="0"/>
  </r>
  <r>
    <n v="870"/>
    <x v="38"/>
    <x v="16"/>
    <b v="0"/>
    <s v="Tuesday"/>
    <s v="Normal"/>
    <n v="0.22"/>
    <n v="0.18179999999999999"/>
    <n v="0.35"/>
    <x v="18"/>
    <x v="17"/>
    <n v="79"/>
    <x v="56"/>
    <x v="1"/>
    <x v="0"/>
    <x v="0"/>
  </r>
  <r>
    <n v="871"/>
    <x v="38"/>
    <x v="17"/>
    <b v="0"/>
    <s v="Tuesday"/>
    <s v="Normal"/>
    <n v="0.22"/>
    <n v="0.18179999999999999"/>
    <n v="0.32"/>
    <x v="19"/>
    <x v="17"/>
    <n v="172"/>
    <x v="170"/>
    <x v="1"/>
    <x v="2"/>
    <x v="0"/>
  </r>
  <r>
    <n v="872"/>
    <x v="38"/>
    <x v="18"/>
    <b v="0"/>
    <s v="Tuesday"/>
    <s v="Normal"/>
    <n v="0.2"/>
    <n v="0.18179999999999999"/>
    <n v="0.32"/>
    <x v="13"/>
    <x v="5"/>
    <n v="151"/>
    <x v="148"/>
    <x v="1"/>
    <x v="2"/>
    <x v="0"/>
  </r>
  <r>
    <n v="873"/>
    <x v="38"/>
    <x v="19"/>
    <b v="0"/>
    <s v="Tuesday"/>
    <s v="Normal"/>
    <n v="0.16"/>
    <n v="0.1212"/>
    <n v="0.4"/>
    <x v="17"/>
    <x v="5"/>
    <n v="100"/>
    <x v="129"/>
    <x v="1"/>
    <x v="2"/>
    <x v="0"/>
  </r>
  <r>
    <n v="874"/>
    <x v="38"/>
    <x v="20"/>
    <b v="0"/>
    <s v="Tuesday"/>
    <s v="Normal"/>
    <n v="0.16"/>
    <n v="0.13639999999999999"/>
    <n v="0.4"/>
    <x v="9"/>
    <x v="0"/>
    <n v="53"/>
    <x v="10"/>
    <x v="1"/>
    <x v="0"/>
    <x v="0"/>
  </r>
  <r>
    <n v="875"/>
    <x v="38"/>
    <x v="21"/>
    <b v="0"/>
    <s v="Tuesday"/>
    <s v="Normal"/>
    <n v="0.14000000000000001"/>
    <n v="0.1061"/>
    <n v="0.33"/>
    <x v="17"/>
    <x v="1"/>
    <n v="46"/>
    <x v="60"/>
    <x v="1"/>
    <x v="0"/>
    <x v="0"/>
  </r>
  <r>
    <n v="876"/>
    <x v="38"/>
    <x v="22"/>
    <b v="0"/>
    <s v="Tuesday"/>
    <s v="Normal"/>
    <n v="0.12"/>
    <n v="0.1061"/>
    <n v="0.33"/>
    <x v="11"/>
    <x v="3"/>
    <n v="29"/>
    <x v="115"/>
    <x v="1"/>
    <x v="0"/>
    <x v="0"/>
  </r>
  <r>
    <n v="877"/>
    <x v="38"/>
    <x v="23"/>
    <b v="0"/>
    <s v="Tuesday"/>
    <s v="Normal"/>
    <n v="0.12"/>
    <n v="0.1061"/>
    <n v="0.33"/>
    <x v="9"/>
    <x v="0"/>
    <n v="9"/>
    <x v="47"/>
    <x v="1"/>
    <x v="0"/>
    <x v="0"/>
  </r>
  <r>
    <n v="878"/>
    <x v="39"/>
    <x v="0"/>
    <b v="0"/>
    <s v="Wednesday"/>
    <s v="Normal"/>
    <n v="0.1"/>
    <n v="7.5800000000000006E-2"/>
    <n v="0.36"/>
    <x v="11"/>
    <x v="3"/>
    <n v="17"/>
    <x v="22"/>
    <x v="1"/>
    <x v="0"/>
    <x v="0"/>
  </r>
  <r>
    <n v="879"/>
    <x v="39"/>
    <x v="1"/>
    <b v="0"/>
    <s v="Wednesday"/>
    <s v="Normal"/>
    <n v="0.1"/>
    <n v="0.1061"/>
    <n v="0.36"/>
    <x v="6"/>
    <x v="3"/>
    <n v="7"/>
    <x v="85"/>
    <x v="1"/>
    <x v="0"/>
    <x v="0"/>
  </r>
  <r>
    <n v="880"/>
    <x v="39"/>
    <x v="2"/>
    <b v="0"/>
    <s v="Wednesday"/>
    <s v="Normal"/>
    <n v="0.08"/>
    <n v="7.5800000000000006E-2"/>
    <n v="0.38"/>
    <x v="3"/>
    <x v="5"/>
    <n v="2"/>
    <x v="6"/>
    <x v="1"/>
    <x v="0"/>
    <x v="0"/>
  </r>
  <r>
    <n v="881"/>
    <x v="39"/>
    <x v="3"/>
    <b v="0"/>
    <s v="Wednesday"/>
    <s v="Normal"/>
    <n v="0.06"/>
    <n v="7.5800000000000006E-2"/>
    <n v="0.45"/>
    <x v="7"/>
    <x v="3"/>
    <n v="2"/>
    <x v="5"/>
    <x v="1"/>
    <x v="0"/>
    <x v="0"/>
  </r>
  <r>
    <n v="882"/>
    <x v="39"/>
    <x v="5"/>
    <b v="0"/>
    <s v="Wednesday"/>
    <s v="Normal"/>
    <n v="0.06"/>
    <n v="0.1061"/>
    <n v="0.45"/>
    <x v="14"/>
    <x v="3"/>
    <n v="7"/>
    <x v="85"/>
    <x v="1"/>
    <x v="0"/>
    <x v="0"/>
  </r>
  <r>
    <n v="883"/>
    <x v="39"/>
    <x v="6"/>
    <b v="0"/>
    <s v="Wednesday"/>
    <s v="Normal"/>
    <n v="0.06"/>
    <n v="0.1515"/>
    <n v="0.45"/>
    <x v="0"/>
    <x v="3"/>
    <n v="43"/>
    <x v="74"/>
    <x v="1"/>
    <x v="0"/>
    <x v="0"/>
  </r>
  <r>
    <n v="884"/>
    <x v="39"/>
    <x v="7"/>
    <b v="0"/>
    <s v="Wednesday"/>
    <s v="Normal"/>
    <n v="0.06"/>
    <n v="0.1061"/>
    <n v="0.49"/>
    <x v="14"/>
    <x v="17"/>
    <n v="95"/>
    <x v="111"/>
    <x v="1"/>
    <x v="1"/>
    <x v="0"/>
  </r>
  <r>
    <n v="885"/>
    <x v="39"/>
    <x v="8"/>
    <b v="0"/>
    <s v="Wednesday"/>
    <s v="Normal"/>
    <n v="0.1"/>
    <n v="0.13639999999999999"/>
    <n v="0.42"/>
    <x v="0"/>
    <x v="5"/>
    <n v="198"/>
    <x v="184"/>
    <x v="1"/>
    <x v="1"/>
    <x v="0"/>
  </r>
  <r>
    <n v="886"/>
    <x v="39"/>
    <x v="9"/>
    <b v="0"/>
    <s v="Wednesday"/>
    <s v="Normal"/>
    <n v="0.12"/>
    <n v="0.13639999999999999"/>
    <n v="0.39"/>
    <x v="8"/>
    <x v="17"/>
    <n v="119"/>
    <x v="92"/>
    <x v="1"/>
    <x v="1"/>
    <x v="0"/>
  </r>
  <r>
    <n v="887"/>
    <x v="39"/>
    <x v="10"/>
    <b v="0"/>
    <s v="Wednesday"/>
    <s v="Normal"/>
    <n v="0.14000000000000001"/>
    <n v="0.18179999999999999"/>
    <n v="0.36"/>
    <x v="0"/>
    <x v="1"/>
    <n v="51"/>
    <x v="29"/>
    <x v="1"/>
    <x v="0"/>
    <x v="0"/>
  </r>
  <r>
    <n v="888"/>
    <x v="39"/>
    <x v="11"/>
    <b v="0"/>
    <s v="Wednesday"/>
    <s v="Yellow Alert"/>
    <n v="0.14000000000000001"/>
    <n v="0.1515"/>
    <n v="0.43"/>
    <x v="8"/>
    <x v="5"/>
    <n v="40"/>
    <x v="102"/>
    <x v="1"/>
    <x v="0"/>
    <x v="1"/>
  </r>
  <r>
    <n v="889"/>
    <x v="39"/>
    <x v="12"/>
    <b v="0"/>
    <s v="Wednesday"/>
    <s v="Yellow Alert"/>
    <n v="0.18"/>
    <n v="0.18179999999999999"/>
    <n v="0.4"/>
    <x v="6"/>
    <x v="17"/>
    <n v="57"/>
    <x v="42"/>
    <x v="1"/>
    <x v="0"/>
    <x v="1"/>
  </r>
  <r>
    <n v="890"/>
    <x v="39"/>
    <x v="13"/>
    <b v="0"/>
    <s v="Wednesday"/>
    <s v="Normal"/>
    <n v="0.18"/>
    <n v="0.16669999999999999"/>
    <n v="0.4"/>
    <x v="2"/>
    <x v="4"/>
    <n v="67"/>
    <x v="83"/>
    <x v="1"/>
    <x v="0"/>
    <x v="0"/>
  </r>
  <r>
    <n v="891"/>
    <x v="39"/>
    <x v="14"/>
    <b v="0"/>
    <s v="Wednesday"/>
    <s v="Normal"/>
    <n v="0.2"/>
    <n v="0.18179999999999999"/>
    <n v="0.34"/>
    <x v="4"/>
    <x v="4"/>
    <n v="56"/>
    <x v="154"/>
    <x v="1"/>
    <x v="0"/>
    <x v="0"/>
  </r>
  <r>
    <n v="892"/>
    <x v="39"/>
    <x v="15"/>
    <b v="0"/>
    <s v="Wednesday"/>
    <s v="Yellow Alert"/>
    <n v="0.2"/>
    <n v="0.18179999999999999"/>
    <n v="0.34"/>
    <x v="3"/>
    <x v="0"/>
    <n v="61"/>
    <x v="37"/>
    <x v="1"/>
    <x v="0"/>
    <x v="1"/>
  </r>
  <r>
    <n v="893"/>
    <x v="39"/>
    <x v="16"/>
    <b v="0"/>
    <s v="Wednesday"/>
    <s v="Yellow Alert"/>
    <n v="0.2"/>
    <n v="0.19700000000000001"/>
    <n v="0.37"/>
    <x v="2"/>
    <x v="18"/>
    <n v="72"/>
    <x v="67"/>
    <x v="1"/>
    <x v="0"/>
    <x v="1"/>
  </r>
  <r>
    <n v="894"/>
    <x v="39"/>
    <x v="17"/>
    <b v="0"/>
    <s v="Wednesday"/>
    <s v="Yellow Alert"/>
    <n v="0.2"/>
    <n v="0.19700000000000001"/>
    <n v="0.34"/>
    <x v="2"/>
    <x v="14"/>
    <n v="157"/>
    <x v="150"/>
    <x v="1"/>
    <x v="2"/>
    <x v="1"/>
  </r>
  <r>
    <n v="895"/>
    <x v="39"/>
    <x v="18"/>
    <b v="0"/>
    <s v="Wednesday"/>
    <s v="Yellow Alert"/>
    <n v="0.18"/>
    <n v="0.16669999999999999"/>
    <n v="0.47"/>
    <x v="4"/>
    <x v="4"/>
    <n v="168"/>
    <x v="185"/>
    <x v="1"/>
    <x v="2"/>
    <x v="1"/>
  </r>
  <r>
    <n v="896"/>
    <x v="39"/>
    <x v="19"/>
    <b v="0"/>
    <s v="Wednesday"/>
    <s v="Orange Alert"/>
    <n v="0.14000000000000001"/>
    <n v="0.1212"/>
    <n v="0.86"/>
    <x v="2"/>
    <x v="5"/>
    <n v="87"/>
    <x v="39"/>
    <x v="1"/>
    <x v="2"/>
    <x v="2"/>
  </r>
  <r>
    <n v="897"/>
    <x v="39"/>
    <x v="20"/>
    <b v="0"/>
    <s v="Wednesday"/>
    <s v="Orange Alert"/>
    <n v="0.14000000000000001"/>
    <n v="0.1515"/>
    <n v="0.86"/>
    <x v="8"/>
    <x v="3"/>
    <n v="84"/>
    <x v="11"/>
    <x v="1"/>
    <x v="0"/>
    <x v="2"/>
  </r>
  <r>
    <n v="898"/>
    <x v="39"/>
    <x v="21"/>
    <b v="0"/>
    <s v="Wednesday"/>
    <s v="Yellow Alert"/>
    <n v="0.14000000000000001"/>
    <n v="0.1515"/>
    <n v="0.86"/>
    <x v="8"/>
    <x v="3"/>
    <n v="83"/>
    <x v="56"/>
    <x v="1"/>
    <x v="0"/>
    <x v="1"/>
  </r>
  <r>
    <n v="899"/>
    <x v="39"/>
    <x v="22"/>
    <b v="0"/>
    <s v="Wednesday"/>
    <s v="Orange Alert"/>
    <n v="0.16"/>
    <n v="0.16669999999999999"/>
    <n v="0.8"/>
    <x v="8"/>
    <x v="17"/>
    <n v="42"/>
    <x v="66"/>
    <x v="1"/>
    <x v="0"/>
    <x v="2"/>
  </r>
  <r>
    <n v="900"/>
    <x v="39"/>
    <x v="23"/>
    <b v="0"/>
    <s v="Wednesday"/>
    <s v="Orange Alert"/>
    <n v="0.16"/>
    <n v="0.1515"/>
    <n v="0.8"/>
    <x v="5"/>
    <x v="3"/>
    <n v="37"/>
    <x v="18"/>
    <x v="1"/>
    <x v="0"/>
    <x v="2"/>
  </r>
  <r>
    <n v="901"/>
    <x v="40"/>
    <x v="0"/>
    <b v="0"/>
    <s v="Thursday"/>
    <s v="Orange Alert"/>
    <n v="0.14000000000000001"/>
    <n v="0.13639999999999999"/>
    <n v="0.86"/>
    <x v="5"/>
    <x v="3"/>
    <n v="16"/>
    <x v="0"/>
    <x v="1"/>
    <x v="0"/>
    <x v="2"/>
  </r>
  <r>
    <n v="902"/>
    <x v="40"/>
    <x v="1"/>
    <b v="0"/>
    <s v="Thursday"/>
    <s v="Orange Alert"/>
    <n v="0.14000000000000001"/>
    <n v="0.1515"/>
    <n v="0.8"/>
    <x v="7"/>
    <x v="3"/>
    <n v="7"/>
    <x v="85"/>
    <x v="1"/>
    <x v="0"/>
    <x v="2"/>
  </r>
  <r>
    <n v="903"/>
    <x v="40"/>
    <x v="2"/>
    <b v="0"/>
    <s v="Thursday"/>
    <s v="Orange Alert"/>
    <n v="0.14000000000000001"/>
    <n v="0.1515"/>
    <n v="0.8"/>
    <x v="7"/>
    <x v="3"/>
    <n v="3"/>
    <x v="6"/>
    <x v="1"/>
    <x v="0"/>
    <x v="2"/>
  </r>
  <r>
    <n v="904"/>
    <x v="40"/>
    <x v="4"/>
    <b v="0"/>
    <s v="Thursday"/>
    <s v="Yellow Alert"/>
    <n v="0.14000000000000001"/>
    <n v="0.13639999999999999"/>
    <n v="0.59"/>
    <x v="6"/>
    <x v="3"/>
    <n v="1"/>
    <x v="4"/>
    <x v="1"/>
    <x v="0"/>
    <x v="1"/>
  </r>
  <r>
    <n v="905"/>
    <x v="40"/>
    <x v="5"/>
    <b v="0"/>
    <s v="Thursday"/>
    <s v="Yellow Alert"/>
    <n v="0.12"/>
    <n v="0.1212"/>
    <n v="0.5"/>
    <x v="6"/>
    <x v="3"/>
    <n v="6"/>
    <x v="24"/>
    <x v="1"/>
    <x v="0"/>
    <x v="1"/>
  </r>
  <r>
    <n v="906"/>
    <x v="40"/>
    <x v="6"/>
    <b v="0"/>
    <s v="Thursday"/>
    <s v="Yellow Alert"/>
    <n v="0.12"/>
    <n v="0.1212"/>
    <n v="0.54"/>
    <x v="3"/>
    <x v="3"/>
    <n v="26"/>
    <x v="132"/>
    <x v="1"/>
    <x v="0"/>
    <x v="1"/>
  </r>
  <r>
    <n v="907"/>
    <x v="40"/>
    <x v="7"/>
    <b v="0"/>
    <s v="Thursday"/>
    <s v="Normal"/>
    <n v="0.1"/>
    <n v="7.5800000000000006E-2"/>
    <n v="0.5"/>
    <x v="12"/>
    <x v="3"/>
    <n v="99"/>
    <x v="111"/>
    <x v="1"/>
    <x v="1"/>
    <x v="0"/>
  </r>
  <r>
    <n v="908"/>
    <x v="40"/>
    <x v="8"/>
    <b v="0"/>
    <s v="Thursday"/>
    <s v="Normal"/>
    <n v="0.1"/>
    <n v="7.5800000000000006E-2"/>
    <n v="0.49"/>
    <x v="9"/>
    <x v="2"/>
    <n v="173"/>
    <x v="106"/>
    <x v="1"/>
    <x v="1"/>
    <x v="0"/>
  </r>
  <r>
    <n v="909"/>
    <x v="40"/>
    <x v="9"/>
    <b v="0"/>
    <s v="Thursday"/>
    <s v="Normal"/>
    <n v="0.12"/>
    <n v="0.1061"/>
    <n v="0.42"/>
    <x v="11"/>
    <x v="5"/>
    <n v="121"/>
    <x v="78"/>
    <x v="1"/>
    <x v="1"/>
    <x v="0"/>
  </r>
  <r>
    <n v="910"/>
    <x v="40"/>
    <x v="10"/>
    <b v="0"/>
    <s v="Thursday"/>
    <s v="Normal"/>
    <n v="0.12"/>
    <n v="0.1061"/>
    <n v="0.42"/>
    <x v="4"/>
    <x v="5"/>
    <n v="34"/>
    <x v="17"/>
    <x v="1"/>
    <x v="0"/>
    <x v="0"/>
  </r>
  <r>
    <n v="911"/>
    <x v="40"/>
    <x v="11"/>
    <b v="0"/>
    <s v="Thursday"/>
    <s v="Normal"/>
    <n v="0.14000000000000001"/>
    <n v="0.1212"/>
    <n v="0.39"/>
    <x v="11"/>
    <x v="5"/>
    <n v="44"/>
    <x v="79"/>
    <x v="1"/>
    <x v="0"/>
    <x v="0"/>
  </r>
  <r>
    <n v="912"/>
    <x v="40"/>
    <x v="12"/>
    <b v="0"/>
    <s v="Thursday"/>
    <s v="Normal"/>
    <n v="0.16"/>
    <n v="0.13639999999999999"/>
    <n v="0.34"/>
    <x v="13"/>
    <x v="17"/>
    <n v="65"/>
    <x v="83"/>
    <x v="1"/>
    <x v="0"/>
    <x v="0"/>
  </r>
  <r>
    <n v="913"/>
    <x v="40"/>
    <x v="13"/>
    <b v="0"/>
    <s v="Thursday"/>
    <s v="Normal"/>
    <n v="0.18"/>
    <n v="0.16669999999999999"/>
    <n v="0.28999999999999998"/>
    <x v="4"/>
    <x v="0"/>
    <n v="59"/>
    <x v="69"/>
    <x v="1"/>
    <x v="0"/>
    <x v="0"/>
  </r>
  <r>
    <n v="914"/>
    <x v="40"/>
    <x v="14"/>
    <b v="0"/>
    <s v="Thursday"/>
    <s v="Normal"/>
    <n v="0.2"/>
    <n v="0.18179999999999999"/>
    <n v="0.27"/>
    <x v="3"/>
    <x v="15"/>
    <n v="42"/>
    <x v="61"/>
    <x v="1"/>
    <x v="0"/>
    <x v="0"/>
  </r>
  <r>
    <n v="915"/>
    <x v="40"/>
    <x v="15"/>
    <b v="0"/>
    <s v="Thursday"/>
    <s v="Normal"/>
    <n v="0.2"/>
    <n v="0.19700000000000001"/>
    <n v="0.25"/>
    <x v="2"/>
    <x v="3"/>
    <n v="50"/>
    <x v="89"/>
    <x v="1"/>
    <x v="0"/>
    <x v="0"/>
  </r>
  <r>
    <n v="916"/>
    <x v="40"/>
    <x v="16"/>
    <b v="0"/>
    <s v="Thursday"/>
    <s v="Normal"/>
    <n v="0.2"/>
    <n v="0.18179999999999999"/>
    <n v="0.27"/>
    <x v="4"/>
    <x v="17"/>
    <n v="76"/>
    <x v="138"/>
    <x v="1"/>
    <x v="0"/>
    <x v="0"/>
  </r>
  <r>
    <n v="917"/>
    <x v="40"/>
    <x v="17"/>
    <b v="0"/>
    <s v="Thursday"/>
    <s v="Normal"/>
    <n v="0.18"/>
    <n v="0.18179999999999999"/>
    <n v="0.26"/>
    <x v="5"/>
    <x v="15"/>
    <n v="159"/>
    <x v="186"/>
    <x v="1"/>
    <x v="2"/>
    <x v="0"/>
  </r>
  <r>
    <n v="918"/>
    <x v="40"/>
    <x v="18"/>
    <b v="0"/>
    <s v="Thursday"/>
    <s v="Normal"/>
    <n v="0.16"/>
    <n v="0.18179999999999999"/>
    <n v="0.28000000000000003"/>
    <x v="7"/>
    <x v="0"/>
    <n v="157"/>
    <x v="187"/>
    <x v="1"/>
    <x v="2"/>
    <x v="0"/>
  </r>
  <r>
    <n v="919"/>
    <x v="40"/>
    <x v="19"/>
    <b v="0"/>
    <s v="Thursday"/>
    <s v="Normal"/>
    <n v="0.14000000000000001"/>
    <n v="0.16669999999999999"/>
    <n v="0.28000000000000003"/>
    <x v="14"/>
    <x v="4"/>
    <n v="110"/>
    <x v="59"/>
    <x v="1"/>
    <x v="2"/>
    <x v="0"/>
  </r>
  <r>
    <n v="920"/>
    <x v="40"/>
    <x v="20"/>
    <b v="0"/>
    <s v="Thursday"/>
    <s v="Normal"/>
    <n v="0.14000000000000001"/>
    <n v="0.18179999999999999"/>
    <n v="0.31"/>
    <x v="1"/>
    <x v="17"/>
    <n v="93"/>
    <x v="54"/>
    <x v="1"/>
    <x v="0"/>
    <x v="0"/>
  </r>
  <r>
    <n v="921"/>
    <x v="40"/>
    <x v="21"/>
    <b v="0"/>
    <s v="Thursday"/>
    <s v="Normal"/>
    <n v="0.14000000000000001"/>
    <n v="0.21210000000000001"/>
    <n v="0.39"/>
    <x v="0"/>
    <x v="4"/>
    <n v="70"/>
    <x v="44"/>
    <x v="1"/>
    <x v="0"/>
    <x v="0"/>
  </r>
  <r>
    <n v="922"/>
    <x v="40"/>
    <x v="22"/>
    <b v="0"/>
    <s v="Thursday"/>
    <s v="Normal"/>
    <n v="0.12"/>
    <n v="0.19700000000000001"/>
    <n v="0.39"/>
    <x v="0"/>
    <x v="17"/>
    <n v="47"/>
    <x v="41"/>
    <x v="1"/>
    <x v="0"/>
    <x v="0"/>
  </r>
  <r>
    <n v="923"/>
    <x v="40"/>
    <x v="23"/>
    <b v="0"/>
    <s v="Thursday"/>
    <s v="Normal"/>
    <n v="0.12"/>
    <n v="0.1515"/>
    <n v="0.42"/>
    <x v="14"/>
    <x v="5"/>
    <n v="33"/>
    <x v="19"/>
    <x v="1"/>
    <x v="0"/>
    <x v="0"/>
  </r>
  <r>
    <n v="924"/>
    <x v="41"/>
    <x v="0"/>
    <b v="0"/>
    <s v="Friday"/>
    <s v="Normal"/>
    <n v="0.1"/>
    <n v="0.13639999999999999"/>
    <n v="0.49"/>
    <x v="14"/>
    <x v="4"/>
    <n v="12"/>
    <x v="8"/>
    <x v="1"/>
    <x v="0"/>
    <x v="0"/>
  </r>
  <r>
    <n v="925"/>
    <x v="41"/>
    <x v="1"/>
    <b v="0"/>
    <s v="Friday"/>
    <s v="Normal"/>
    <n v="0.1"/>
    <n v="0.13639999999999999"/>
    <n v="0.54"/>
    <x v="1"/>
    <x v="5"/>
    <n v="6"/>
    <x v="85"/>
    <x v="1"/>
    <x v="0"/>
    <x v="0"/>
  </r>
  <r>
    <n v="926"/>
    <x v="41"/>
    <x v="2"/>
    <b v="0"/>
    <s v="Friday"/>
    <s v="Normal"/>
    <n v="0.1"/>
    <n v="0.13639999999999999"/>
    <n v="0.54"/>
    <x v="1"/>
    <x v="3"/>
    <n v="3"/>
    <x v="6"/>
    <x v="1"/>
    <x v="0"/>
    <x v="0"/>
  </r>
  <r>
    <n v="927"/>
    <x v="41"/>
    <x v="5"/>
    <b v="0"/>
    <s v="Friday"/>
    <s v="Normal"/>
    <n v="0.08"/>
    <n v="0.1212"/>
    <n v="0.63"/>
    <x v="1"/>
    <x v="3"/>
    <n v="4"/>
    <x v="48"/>
    <x v="1"/>
    <x v="0"/>
    <x v="0"/>
  </r>
  <r>
    <n v="928"/>
    <x v="41"/>
    <x v="6"/>
    <b v="0"/>
    <s v="Friday"/>
    <s v="Normal"/>
    <n v="0.1"/>
    <n v="0.18179999999999999"/>
    <n v="0.68"/>
    <x v="0"/>
    <x v="5"/>
    <n v="23"/>
    <x v="108"/>
    <x v="1"/>
    <x v="0"/>
    <x v="0"/>
  </r>
  <r>
    <n v="929"/>
    <x v="41"/>
    <x v="7"/>
    <b v="0"/>
    <s v="Friday"/>
    <s v="Normal"/>
    <n v="0.08"/>
    <n v="0.16669999999999999"/>
    <n v="0.73"/>
    <x v="0"/>
    <x v="5"/>
    <n v="73"/>
    <x v="30"/>
    <x v="1"/>
    <x v="1"/>
    <x v="0"/>
  </r>
  <r>
    <n v="930"/>
    <x v="41"/>
    <x v="8"/>
    <b v="0"/>
    <s v="Friday"/>
    <s v="Normal"/>
    <n v="0.1"/>
    <n v="0.1212"/>
    <n v="0.74"/>
    <x v="8"/>
    <x v="17"/>
    <n v="212"/>
    <x v="182"/>
    <x v="1"/>
    <x v="1"/>
    <x v="0"/>
  </r>
  <r>
    <n v="931"/>
    <x v="41"/>
    <x v="9"/>
    <b v="0"/>
    <s v="Friday"/>
    <s v="Normal"/>
    <n v="0.12"/>
    <n v="0.1212"/>
    <n v="0.74"/>
    <x v="6"/>
    <x v="1"/>
    <n v="132"/>
    <x v="188"/>
    <x v="1"/>
    <x v="1"/>
    <x v="0"/>
  </r>
  <r>
    <n v="932"/>
    <x v="41"/>
    <x v="10"/>
    <b v="0"/>
    <s v="Friday"/>
    <s v="Normal"/>
    <n v="0.14000000000000001"/>
    <n v="0.13639999999999999"/>
    <n v="0.69"/>
    <x v="5"/>
    <x v="2"/>
    <n v="39"/>
    <x v="40"/>
    <x v="1"/>
    <x v="0"/>
    <x v="0"/>
  </r>
  <r>
    <n v="933"/>
    <x v="41"/>
    <x v="11"/>
    <b v="0"/>
    <s v="Friday"/>
    <s v="Normal"/>
    <n v="0.22"/>
    <n v="0.2273"/>
    <n v="0.47"/>
    <x v="7"/>
    <x v="6"/>
    <n v="52"/>
    <x v="37"/>
    <x v="1"/>
    <x v="0"/>
    <x v="0"/>
  </r>
  <r>
    <n v="934"/>
    <x v="41"/>
    <x v="12"/>
    <b v="0"/>
    <s v="Friday"/>
    <s v="Normal"/>
    <n v="0.22"/>
    <n v="0.2273"/>
    <n v="0.47"/>
    <x v="7"/>
    <x v="18"/>
    <n v="64"/>
    <x v="68"/>
    <x v="1"/>
    <x v="0"/>
    <x v="0"/>
  </r>
  <r>
    <n v="935"/>
    <x v="41"/>
    <x v="13"/>
    <b v="0"/>
    <s v="Friday"/>
    <s v="Normal"/>
    <n v="0.24"/>
    <n v="0.2273"/>
    <n v="0.35"/>
    <x v="5"/>
    <x v="27"/>
    <n v="89"/>
    <x v="14"/>
    <x v="1"/>
    <x v="0"/>
    <x v="0"/>
  </r>
  <r>
    <n v="936"/>
    <x v="41"/>
    <x v="14"/>
    <b v="0"/>
    <s v="Friday"/>
    <s v="Normal"/>
    <n v="0.3"/>
    <n v="0.28789999999999999"/>
    <n v="0.26"/>
    <x v="2"/>
    <x v="26"/>
    <n v="67"/>
    <x v="11"/>
    <x v="1"/>
    <x v="0"/>
    <x v="0"/>
  </r>
  <r>
    <n v="937"/>
    <x v="41"/>
    <x v="15"/>
    <b v="0"/>
    <s v="Friday"/>
    <s v="Normal"/>
    <n v="0.32"/>
    <n v="0.31819999999999998"/>
    <n v="0.21"/>
    <x v="8"/>
    <x v="6"/>
    <n v="62"/>
    <x v="30"/>
    <x v="1"/>
    <x v="0"/>
    <x v="0"/>
  </r>
  <r>
    <n v="938"/>
    <x v="41"/>
    <x v="16"/>
    <b v="0"/>
    <s v="Friday"/>
    <s v="Normal"/>
    <n v="0.3"/>
    <n v="0.28789999999999999"/>
    <n v="0.28000000000000003"/>
    <x v="5"/>
    <x v="24"/>
    <n v="111"/>
    <x v="139"/>
    <x v="1"/>
    <x v="0"/>
    <x v="0"/>
  </r>
  <r>
    <n v="939"/>
    <x v="41"/>
    <x v="17"/>
    <b v="0"/>
    <s v="Friday"/>
    <s v="Normal"/>
    <n v="0.3"/>
    <n v="0.33329999999999999"/>
    <n v="0.24"/>
    <x v="0"/>
    <x v="25"/>
    <n v="193"/>
    <x v="189"/>
    <x v="1"/>
    <x v="2"/>
    <x v="0"/>
  </r>
  <r>
    <n v="940"/>
    <x v="41"/>
    <x v="18"/>
    <b v="0"/>
    <s v="Friday"/>
    <s v="Normal"/>
    <n v="0.28000000000000003"/>
    <n v="0.31819999999999998"/>
    <n v="0.28000000000000003"/>
    <x v="0"/>
    <x v="14"/>
    <n v="165"/>
    <x v="177"/>
    <x v="1"/>
    <x v="2"/>
    <x v="0"/>
  </r>
  <r>
    <n v="941"/>
    <x v="41"/>
    <x v="19"/>
    <b v="0"/>
    <s v="Friday"/>
    <s v="Normal"/>
    <n v="0.26"/>
    <n v="0.30299999999999999"/>
    <n v="0.33"/>
    <x v="0"/>
    <x v="18"/>
    <n v="94"/>
    <x v="129"/>
    <x v="1"/>
    <x v="2"/>
    <x v="0"/>
  </r>
  <r>
    <n v="942"/>
    <x v="41"/>
    <x v="20"/>
    <b v="0"/>
    <s v="Friday"/>
    <s v="Normal"/>
    <n v="0.22"/>
    <n v="0.2273"/>
    <n v="0.55000000000000004"/>
    <x v="7"/>
    <x v="4"/>
    <n v="61"/>
    <x v="55"/>
    <x v="1"/>
    <x v="0"/>
    <x v="0"/>
  </r>
  <r>
    <n v="943"/>
    <x v="41"/>
    <x v="21"/>
    <b v="0"/>
    <s v="Friday"/>
    <s v="Normal"/>
    <n v="0.2"/>
    <n v="0.21210000000000001"/>
    <n v="0.59"/>
    <x v="7"/>
    <x v="5"/>
    <n v="46"/>
    <x v="105"/>
    <x v="1"/>
    <x v="0"/>
    <x v="0"/>
  </r>
  <r>
    <n v="944"/>
    <x v="41"/>
    <x v="22"/>
    <b v="0"/>
    <s v="Friday"/>
    <s v="Normal"/>
    <n v="0.2"/>
    <n v="0.2273"/>
    <n v="0.64"/>
    <x v="1"/>
    <x v="4"/>
    <n v="41"/>
    <x v="74"/>
    <x v="1"/>
    <x v="0"/>
    <x v="0"/>
  </r>
  <r>
    <n v="945"/>
    <x v="41"/>
    <x v="23"/>
    <b v="0"/>
    <s v="Friday"/>
    <s v="Normal"/>
    <n v="0.18"/>
    <n v="0.2424"/>
    <n v="0.69"/>
    <x v="0"/>
    <x v="2"/>
    <n v="48"/>
    <x v="26"/>
    <x v="1"/>
    <x v="0"/>
    <x v="0"/>
  </r>
  <r>
    <n v="946"/>
    <x v="42"/>
    <x v="0"/>
    <b v="0"/>
    <s v="Saturday"/>
    <s v="Normal"/>
    <n v="0.16"/>
    <n v="0.19700000000000001"/>
    <n v="0.69"/>
    <x v="1"/>
    <x v="0"/>
    <n v="27"/>
    <x v="33"/>
    <x v="0"/>
    <x v="0"/>
    <x v="0"/>
  </r>
  <r>
    <n v="947"/>
    <x v="42"/>
    <x v="1"/>
    <b v="0"/>
    <s v="Saturday"/>
    <s v="Normal"/>
    <n v="0.14000000000000001"/>
    <n v="0.21210000000000001"/>
    <n v="0.86"/>
    <x v="0"/>
    <x v="4"/>
    <n v="22"/>
    <x v="108"/>
    <x v="0"/>
    <x v="0"/>
    <x v="0"/>
  </r>
  <r>
    <n v="948"/>
    <x v="42"/>
    <x v="2"/>
    <b v="0"/>
    <s v="Saturday"/>
    <s v="Normal"/>
    <n v="0.14000000000000001"/>
    <n v="0.21210000000000001"/>
    <n v="0.8"/>
    <x v="0"/>
    <x v="4"/>
    <n v="13"/>
    <x v="93"/>
    <x v="0"/>
    <x v="0"/>
    <x v="0"/>
  </r>
  <r>
    <n v="949"/>
    <x v="42"/>
    <x v="3"/>
    <b v="0"/>
    <s v="Saturday"/>
    <s v="Normal"/>
    <n v="0.12"/>
    <n v="0.19700000000000001"/>
    <n v="0.8"/>
    <x v="0"/>
    <x v="0"/>
    <n v="7"/>
    <x v="98"/>
    <x v="0"/>
    <x v="0"/>
    <x v="0"/>
  </r>
  <r>
    <n v="950"/>
    <x v="42"/>
    <x v="4"/>
    <b v="0"/>
    <s v="Saturday"/>
    <s v="Normal"/>
    <n v="0.12"/>
    <n v="0.16669999999999999"/>
    <n v="0.74"/>
    <x v="1"/>
    <x v="3"/>
    <n v="4"/>
    <x v="48"/>
    <x v="0"/>
    <x v="0"/>
    <x v="0"/>
  </r>
  <r>
    <n v="951"/>
    <x v="42"/>
    <x v="5"/>
    <b v="0"/>
    <s v="Saturday"/>
    <s v="Normal"/>
    <n v="0.12"/>
    <n v="0.16669999999999999"/>
    <n v="0.74"/>
    <x v="1"/>
    <x v="3"/>
    <n v="1"/>
    <x v="4"/>
    <x v="0"/>
    <x v="0"/>
    <x v="0"/>
  </r>
  <r>
    <n v="952"/>
    <x v="42"/>
    <x v="6"/>
    <b v="0"/>
    <s v="Saturday"/>
    <s v="Normal"/>
    <n v="0.12"/>
    <n v="0.13639999999999999"/>
    <n v="0.93"/>
    <x v="5"/>
    <x v="5"/>
    <n v="1"/>
    <x v="5"/>
    <x v="0"/>
    <x v="0"/>
    <x v="0"/>
  </r>
  <r>
    <n v="953"/>
    <x v="42"/>
    <x v="7"/>
    <b v="0"/>
    <s v="Saturday"/>
    <s v="Normal"/>
    <n v="0.12"/>
    <n v="0.1515"/>
    <n v="0.8"/>
    <x v="14"/>
    <x v="4"/>
    <n v="9"/>
    <x v="62"/>
    <x v="0"/>
    <x v="1"/>
    <x v="0"/>
  </r>
  <r>
    <n v="954"/>
    <x v="42"/>
    <x v="8"/>
    <b v="0"/>
    <s v="Saturday"/>
    <s v="Normal"/>
    <n v="0.14000000000000001"/>
    <n v="0.1515"/>
    <n v="0.86"/>
    <x v="7"/>
    <x v="4"/>
    <n v="28"/>
    <x v="33"/>
    <x v="0"/>
    <x v="1"/>
    <x v="0"/>
  </r>
  <r>
    <n v="955"/>
    <x v="42"/>
    <x v="9"/>
    <b v="0"/>
    <s v="Saturday"/>
    <s v="Normal"/>
    <n v="0.16"/>
    <n v="0.18179999999999999"/>
    <n v="0.64"/>
    <x v="7"/>
    <x v="2"/>
    <n v="38"/>
    <x v="74"/>
    <x v="0"/>
    <x v="1"/>
    <x v="0"/>
  </r>
  <r>
    <n v="956"/>
    <x v="42"/>
    <x v="10"/>
    <b v="0"/>
    <s v="Saturday"/>
    <s v="Normal"/>
    <n v="0.22"/>
    <n v="0.21210000000000001"/>
    <n v="0.41"/>
    <x v="2"/>
    <x v="23"/>
    <n v="71"/>
    <x v="11"/>
    <x v="0"/>
    <x v="0"/>
    <x v="0"/>
  </r>
  <r>
    <n v="957"/>
    <x v="42"/>
    <x v="11"/>
    <b v="0"/>
    <s v="Saturday"/>
    <s v="Normal"/>
    <n v="0.3"/>
    <n v="0.2727"/>
    <n v="0.28000000000000003"/>
    <x v="9"/>
    <x v="36"/>
    <n v="84"/>
    <x v="181"/>
    <x v="0"/>
    <x v="0"/>
    <x v="0"/>
  </r>
  <r>
    <n v="958"/>
    <x v="42"/>
    <x v="12"/>
    <b v="0"/>
    <s v="Saturday"/>
    <s v="Normal"/>
    <n v="0.3"/>
    <n v="0.2727"/>
    <n v="0.39"/>
    <x v="17"/>
    <x v="37"/>
    <n v="93"/>
    <x v="151"/>
    <x v="0"/>
    <x v="0"/>
    <x v="0"/>
  </r>
  <r>
    <n v="959"/>
    <x v="42"/>
    <x v="13"/>
    <b v="0"/>
    <s v="Saturday"/>
    <s v="Normal"/>
    <n v="0.3"/>
    <n v="0.2727"/>
    <n v="0.39"/>
    <x v="12"/>
    <x v="38"/>
    <n v="103"/>
    <x v="169"/>
    <x v="0"/>
    <x v="0"/>
    <x v="0"/>
  </r>
  <r>
    <n v="960"/>
    <x v="42"/>
    <x v="14"/>
    <b v="0"/>
    <s v="Saturday"/>
    <s v="Normal"/>
    <n v="0.34"/>
    <n v="0.31819999999999998"/>
    <n v="0.31"/>
    <x v="3"/>
    <x v="36"/>
    <n v="90"/>
    <x v="151"/>
    <x v="0"/>
    <x v="0"/>
    <x v="0"/>
  </r>
  <r>
    <n v="961"/>
    <x v="42"/>
    <x v="15"/>
    <b v="0"/>
    <s v="Saturday"/>
    <s v="Normal"/>
    <n v="0.34"/>
    <n v="0.30299999999999999"/>
    <n v="0.28999999999999998"/>
    <x v="12"/>
    <x v="9"/>
    <n v="127"/>
    <x v="177"/>
    <x v="0"/>
    <x v="0"/>
    <x v="0"/>
  </r>
  <r>
    <n v="962"/>
    <x v="42"/>
    <x v="16"/>
    <b v="0"/>
    <s v="Saturday"/>
    <s v="Normal"/>
    <n v="0.34"/>
    <n v="0.30299999999999999"/>
    <n v="0.28999999999999998"/>
    <x v="12"/>
    <x v="35"/>
    <n v="103"/>
    <x v="190"/>
    <x v="0"/>
    <x v="0"/>
    <x v="0"/>
  </r>
  <r>
    <n v="963"/>
    <x v="42"/>
    <x v="17"/>
    <b v="0"/>
    <s v="Saturday"/>
    <s v="Normal"/>
    <n v="0.32"/>
    <n v="0.28789999999999999"/>
    <n v="0.31"/>
    <x v="18"/>
    <x v="31"/>
    <n v="113"/>
    <x v="120"/>
    <x v="0"/>
    <x v="2"/>
    <x v="0"/>
  </r>
  <r>
    <n v="964"/>
    <x v="42"/>
    <x v="18"/>
    <b v="0"/>
    <s v="Saturday"/>
    <s v="Normal"/>
    <n v="0.28000000000000003"/>
    <n v="0.2576"/>
    <n v="0.38"/>
    <x v="9"/>
    <x v="17"/>
    <n v="60"/>
    <x v="37"/>
    <x v="0"/>
    <x v="2"/>
    <x v="0"/>
  </r>
  <r>
    <n v="965"/>
    <x v="42"/>
    <x v="19"/>
    <b v="0"/>
    <s v="Saturday"/>
    <s v="Normal"/>
    <n v="0.28000000000000003"/>
    <n v="0.2727"/>
    <n v="0.38"/>
    <x v="8"/>
    <x v="4"/>
    <n v="39"/>
    <x v="102"/>
    <x v="0"/>
    <x v="2"/>
    <x v="0"/>
  </r>
  <r>
    <n v="966"/>
    <x v="42"/>
    <x v="20"/>
    <b v="0"/>
    <s v="Saturday"/>
    <s v="Normal"/>
    <n v="0.26"/>
    <n v="0.2576"/>
    <n v="0.41"/>
    <x v="6"/>
    <x v="5"/>
    <n v="39"/>
    <x v="1"/>
    <x v="0"/>
    <x v="0"/>
    <x v="0"/>
  </r>
  <r>
    <n v="967"/>
    <x v="42"/>
    <x v="21"/>
    <b v="0"/>
    <s v="Saturday"/>
    <s v="Normal"/>
    <n v="0.26"/>
    <n v="0.30299999999999999"/>
    <n v="0.41"/>
    <x v="0"/>
    <x v="14"/>
    <n v="42"/>
    <x v="41"/>
    <x v="0"/>
    <x v="0"/>
    <x v="0"/>
  </r>
  <r>
    <n v="968"/>
    <x v="42"/>
    <x v="22"/>
    <b v="0"/>
    <s v="Saturday"/>
    <s v="Normal"/>
    <n v="0.24"/>
    <n v="0.2576"/>
    <n v="0.44"/>
    <x v="1"/>
    <x v="15"/>
    <n v="39"/>
    <x v="79"/>
    <x v="0"/>
    <x v="0"/>
    <x v="0"/>
  </r>
  <r>
    <n v="969"/>
    <x v="42"/>
    <x v="23"/>
    <b v="0"/>
    <s v="Saturday"/>
    <s v="Normal"/>
    <n v="0.22"/>
    <n v="0.2273"/>
    <n v="0.51"/>
    <x v="7"/>
    <x v="5"/>
    <n v="31"/>
    <x v="2"/>
    <x v="0"/>
    <x v="0"/>
    <x v="0"/>
  </r>
  <r>
    <n v="970"/>
    <x v="43"/>
    <x v="0"/>
    <b v="0"/>
    <s v="Sunday"/>
    <s v="Normal"/>
    <n v="0.2"/>
    <n v="0.2273"/>
    <n v="0.64"/>
    <x v="14"/>
    <x v="2"/>
    <n v="34"/>
    <x v="21"/>
    <x v="0"/>
    <x v="0"/>
    <x v="0"/>
  </r>
  <r>
    <n v="971"/>
    <x v="43"/>
    <x v="1"/>
    <b v="0"/>
    <s v="Sunday"/>
    <s v="Normal"/>
    <n v="0.2"/>
    <n v="0.2273"/>
    <n v="0.59"/>
    <x v="1"/>
    <x v="5"/>
    <n v="23"/>
    <x v="108"/>
    <x v="0"/>
    <x v="0"/>
    <x v="0"/>
  </r>
  <r>
    <n v="972"/>
    <x v="43"/>
    <x v="2"/>
    <b v="0"/>
    <s v="Sunday"/>
    <s v="Yellow Alert"/>
    <n v="0.2"/>
    <n v="0.2273"/>
    <n v="0.75"/>
    <x v="1"/>
    <x v="5"/>
    <n v="19"/>
    <x v="25"/>
    <x v="0"/>
    <x v="0"/>
    <x v="1"/>
  </r>
  <r>
    <n v="973"/>
    <x v="43"/>
    <x v="3"/>
    <b v="0"/>
    <s v="Sunday"/>
    <s v="Yellow Alert"/>
    <n v="0.2"/>
    <n v="0.2273"/>
    <n v="0.69"/>
    <x v="14"/>
    <x v="17"/>
    <n v="8"/>
    <x v="47"/>
    <x v="0"/>
    <x v="0"/>
    <x v="1"/>
  </r>
  <r>
    <n v="974"/>
    <x v="43"/>
    <x v="4"/>
    <b v="0"/>
    <s v="Sunday"/>
    <s v="Yellow Alert"/>
    <n v="0.2"/>
    <n v="0.21210000000000001"/>
    <n v="0.69"/>
    <x v="8"/>
    <x v="3"/>
    <n v="2"/>
    <x v="5"/>
    <x v="0"/>
    <x v="0"/>
    <x v="1"/>
  </r>
  <r>
    <n v="975"/>
    <x v="43"/>
    <x v="6"/>
    <b v="0"/>
    <s v="Sunday"/>
    <s v="Yellow Alert"/>
    <n v="0.2"/>
    <n v="0.21210000000000001"/>
    <n v="0.69"/>
    <x v="7"/>
    <x v="4"/>
    <n v="3"/>
    <x v="36"/>
    <x v="0"/>
    <x v="0"/>
    <x v="1"/>
  </r>
  <r>
    <n v="976"/>
    <x v="43"/>
    <x v="7"/>
    <b v="0"/>
    <s v="Sunday"/>
    <s v="Yellow Alert"/>
    <n v="0.22"/>
    <n v="0.2727"/>
    <n v="0.55000000000000004"/>
    <x v="0"/>
    <x v="3"/>
    <n v="3"/>
    <x v="6"/>
    <x v="0"/>
    <x v="1"/>
    <x v="1"/>
  </r>
  <r>
    <n v="977"/>
    <x v="43"/>
    <x v="8"/>
    <b v="0"/>
    <s v="Sunday"/>
    <s v="Yellow Alert"/>
    <n v="0.22"/>
    <n v="0.2273"/>
    <n v="0.64"/>
    <x v="5"/>
    <x v="5"/>
    <n v="11"/>
    <x v="47"/>
    <x v="0"/>
    <x v="1"/>
    <x v="1"/>
  </r>
  <r>
    <n v="978"/>
    <x v="43"/>
    <x v="9"/>
    <b v="0"/>
    <s v="Sunday"/>
    <s v="Yellow Alert"/>
    <n v="0.24"/>
    <n v="0.2273"/>
    <n v="0.6"/>
    <x v="6"/>
    <x v="6"/>
    <n v="35"/>
    <x v="105"/>
    <x v="0"/>
    <x v="1"/>
    <x v="1"/>
  </r>
  <r>
    <n v="979"/>
    <x v="43"/>
    <x v="10"/>
    <b v="0"/>
    <s v="Sunday"/>
    <s v="Normal"/>
    <n v="0.3"/>
    <n v="0.2727"/>
    <n v="0.45"/>
    <x v="9"/>
    <x v="21"/>
    <n v="86"/>
    <x v="136"/>
    <x v="0"/>
    <x v="0"/>
    <x v="0"/>
  </r>
  <r>
    <n v="980"/>
    <x v="43"/>
    <x v="11"/>
    <b v="0"/>
    <s v="Sunday"/>
    <s v="Normal"/>
    <n v="0.32"/>
    <n v="0.28789999999999999"/>
    <n v="0.39"/>
    <x v="10"/>
    <x v="7"/>
    <n v="86"/>
    <x v="59"/>
    <x v="0"/>
    <x v="0"/>
    <x v="0"/>
  </r>
  <r>
    <n v="981"/>
    <x v="43"/>
    <x v="12"/>
    <b v="0"/>
    <s v="Sunday"/>
    <s v="Normal"/>
    <n v="0.36"/>
    <n v="0.31819999999999998"/>
    <n v="0.32"/>
    <x v="17"/>
    <x v="39"/>
    <n v="94"/>
    <x v="148"/>
    <x v="0"/>
    <x v="0"/>
    <x v="0"/>
  </r>
  <r>
    <n v="982"/>
    <x v="43"/>
    <x v="13"/>
    <b v="0"/>
    <s v="Sunday"/>
    <s v="Normal"/>
    <n v="0.38"/>
    <n v="0.39389999999999997"/>
    <n v="0.28999999999999998"/>
    <x v="11"/>
    <x v="40"/>
    <n v="92"/>
    <x v="38"/>
    <x v="0"/>
    <x v="0"/>
    <x v="0"/>
  </r>
  <r>
    <n v="983"/>
    <x v="43"/>
    <x v="14"/>
    <b v="0"/>
    <s v="Sunday"/>
    <s v="Yellow Alert"/>
    <n v="0.4"/>
    <n v="0.40910000000000002"/>
    <n v="0.3"/>
    <x v="12"/>
    <x v="41"/>
    <n v="110"/>
    <x v="143"/>
    <x v="0"/>
    <x v="0"/>
    <x v="1"/>
  </r>
  <r>
    <n v="984"/>
    <x v="43"/>
    <x v="15"/>
    <b v="0"/>
    <s v="Sunday"/>
    <s v="Yellow Alert"/>
    <n v="0.4"/>
    <n v="0.40910000000000002"/>
    <n v="0.3"/>
    <x v="4"/>
    <x v="11"/>
    <n v="122"/>
    <x v="123"/>
    <x v="0"/>
    <x v="0"/>
    <x v="1"/>
  </r>
  <r>
    <n v="985"/>
    <x v="43"/>
    <x v="16"/>
    <b v="0"/>
    <s v="Sunday"/>
    <s v="Yellow Alert"/>
    <n v="0.42"/>
    <n v="0.42420000000000002"/>
    <n v="0.28000000000000003"/>
    <x v="9"/>
    <x v="32"/>
    <n v="106"/>
    <x v="87"/>
    <x v="0"/>
    <x v="0"/>
    <x v="1"/>
  </r>
  <r>
    <n v="986"/>
    <x v="43"/>
    <x v="17"/>
    <b v="0"/>
    <s v="Sunday"/>
    <s v="Normal"/>
    <n v="0.42"/>
    <n v="0.42420000000000002"/>
    <n v="0.28000000000000003"/>
    <x v="9"/>
    <x v="36"/>
    <n v="95"/>
    <x v="139"/>
    <x v="0"/>
    <x v="2"/>
    <x v="0"/>
  </r>
  <r>
    <n v="987"/>
    <x v="43"/>
    <x v="18"/>
    <b v="0"/>
    <s v="Sunday"/>
    <s v="Normal"/>
    <n v="0.4"/>
    <n v="0.40910000000000002"/>
    <n v="0.32"/>
    <x v="4"/>
    <x v="26"/>
    <n v="78"/>
    <x v="76"/>
    <x v="0"/>
    <x v="2"/>
    <x v="0"/>
  </r>
  <r>
    <n v="988"/>
    <x v="43"/>
    <x v="19"/>
    <b v="0"/>
    <s v="Sunday"/>
    <s v="Normal"/>
    <n v="0.4"/>
    <n v="0.40910000000000002"/>
    <n v="0.35"/>
    <x v="3"/>
    <x v="16"/>
    <n v="50"/>
    <x v="42"/>
    <x v="0"/>
    <x v="2"/>
    <x v="0"/>
  </r>
  <r>
    <n v="989"/>
    <x v="43"/>
    <x v="20"/>
    <b v="0"/>
    <s v="Sunday"/>
    <s v="Normal"/>
    <n v="0.4"/>
    <n v="0.40910000000000002"/>
    <n v="0.35"/>
    <x v="9"/>
    <x v="13"/>
    <n v="32"/>
    <x v="105"/>
    <x v="0"/>
    <x v="0"/>
    <x v="0"/>
  </r>
  <r>
    <n v="990"/>
    <x v="43"/>
    <x v="21"/>
    <b v="0"/>
    <s v="Sunday"/>
    <s v="Normal"/>
    <n v="0.4"/>
    <n v="0.40910000000000002"/>
    <n v="0.35"/>
    <x v="11"/>
    <x v="15"/>
    <n v="45"/>
    <x v="41"/>
    <x v="0"/>
    <x v="0"/>
    <x v="0"/>
  </r>
  <r>
    <n v="991"/>
    <x v="43"/>
    <x v="22"/>
    <b v="0"/>
    <s v="Sunday"/>
    <s v="Normal"/>
    <n v="0.4"/>
    <n v="0.40910000000000002"/>
    <n v="0.35"/>
    <x v="4"/>
    <x v="2"/>
    <n v="31"/>
    <x v="9"/>
    <x v="0"/>
    <x v="0"/>
    <x v="0"/>
  </r>
  <r>
    <n v="992"/>
    <x v="43"/>
    <x v="23"/>
    <b v="0"/>
    <s v="Sunday"/>
    <s v="Normal"/>
    <n v="0.4"/>
    <n v="0.40910000000000002"/>
    <n v="0.35"/>
    <x v="11"/>
    <x v="0"/>
    <n v="27"/>
    <x v="33"/>
    <x v="0"/>
    <x v="0"/>
    <x v="0"/>
  </r>
  <r>
    <n v="993"/>
    <x v="44"/>
    <x v="0"/>
    <b v="0"/>
    <s v="Monday"/>
    <s v="Normal"/>
    <n v="0.38"/>
    <n v="0.39389999999999997"/>
    <n v="0.37"/>
    <x v="11"/>
    <x v="0"/>
    <n v="8"/>
    <x v="62"/>
    <x v="1"/>
    <x v="0"/>
    <x v="0"/>
  </r>
  <r>
    <n v="994"/>
    <x v="44"/>
    <x v="1"/>
    <b v="0"/>
    <s v="Monday"/>
    <s v="Normal"/>
    <n v="0.38"/>
    <n v="0.39389999999999997"/>
    <n v="0.37"/>
    <x v="11"/>
    <x v="5"/>
    <n v="6"/>
    <x v="85"/>
    <x v="1"/>
    <x v="0"/>
    <x v="0"/>
  </r>
  <r>
    <n v="995"/>
    <x v="44"/>
    <x v="2"/>
    <b v="0"/>
    <s v="Monday"/>
    <s v="Normal"/>
    <n v="0.36"/>
    <n v="0.33329999999999999"/>
    <n v="0.4"/>
    <x v="4"/>
    <x v="3"/>
    <n v="2"/>
    <x v="5"/>
    <x v="1"/>
    <x v="0"/>
    <x v="0"/>
  </r>
  <r>
    <n v="996"/>
    <x v="44"/>
    <x v="3"/>
    <b v="0"/>
    <s v="Monday"/>
    <s v="Normal"/>
    <n v="0.34"/>
    <n v="0.31819999999999998"/>
    <n v="0.46"/>
    <x v="6"/>
    <x v="5"/>
    <n v="1"/>
    <x v="5"/>
    <x v="1"/>
    <x v="0"/>
    <x v="0"/>
  </r>
  <r>
    <n v="997"/>
    <x v="44"/>
    <x v="4"/>
    <b v="0"/>
    <s v="Monday"/>
    <s v="Normal"/>
    <n v="0.32"/>
    <n v="0.30299999999999999"/>
    <n v="0.53"/>
    <x v="3"/>
    <x v="3"/>
    <n v="2"/>
    <x v="5"/>
    <x v="1"/>
    <x v="0"/>
    <x v="0"/>
  </r>
  <r>
    <n v="998"/>
    <x v="44"/>
    <x v="5"/>
    <b v="0"/>
    <s v="Monday"/>
    <s v="Normal"/>
    <n v="0.32"/>
    <n v="0.30299999999999999"/>
    <n v="0.53"/>
    <x v="3"/>
    <x v="3"/>
    <n v="3"/>
    <x v="6"/>
    <x v="1"/>
    <x v="0"/>
    <x v="0"/>
  </r>
  <r>
    <n v="999"/>
    <x v="44"/>
    <x v="6"/>
    <b v="0"/>
    <s v="Monday"/>
    <s v="Normal"/>
    <n v="0.34"/>
    <n v="0.30299999999999999"/>
    <n v="0.46"/>
    <x v="4"/>
    <x v="5"/>
    <n v="25"/>
    <x v="132"/>
    <x v="1"/>
    <x v="0"/>
    <x v="0"/>
  </r>
  <r>
    <n v="1000"/>
    <x v="44"/>
    <x v="7"/>
    <b v="0"/>
    <s v="Monday"/>
    <s v="Normal"/>
    <n v="0.34"/>
    <n v="0.30299999999999999"/>
    <n v="0.46"/>
    <x v="4"/>
    <x v="4"/>
    <n v="96"/>
    <x v="95"/>
    <x v="1"/>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4CA45F-EC6E-413C-A880-4696242034A0}" name="PT_KPI_RegisteredRides"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5:A6" firstHeaderRow="1" firstDataRow="1" firstDataCol="0"/>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s>
  <rowItems count="1">
    <i/>
  </rowItems>
  <colItems count="1">
    <i/>
  </colItems>
  <dataFields count="1">
    <dataField name="Sum of Registered Rides" fld="11"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6A0289-FC27-4C28-A853-309F180F859A}" name="PT_Slicer_Hour"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268:A293"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Row"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229834-6F6C-46E9-9E6B-900C0BE7FD9B}" name="PT_Slicer_Holiday"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262:A265"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Row"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3">
    <i>
      <x/>
    </i>
    <i>
      <x v="1"/>
    </i>
    <i t="grand">
      <x/>
    </i>
  </rowItems>
  <colItems count="1">
    <i/>
  </colItem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639908-23D6-4C9E-8E44-BF9C127FC318}" name="PT_Chart_HolidayDemand"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2">
  <location ref="A139:B142"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Row"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s>
  <rowFields count="1">
    <field x="3"/>
  </rowFields>
  <rowItems count="3">
    <i>
      <x/>
    </i>
    <i>
      <x v="1"/>
    </i>
    <i t="grand">
      <x/>
    </i>
  </rowItems>
  <colItems count="1">
    <i/>
  </colItems>
  <dataFields count="1">
    <dataField name="Avg Hourly Demand " fld="12" subtotal="average"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805759-C81E-4951-918B-7B3BF92EC6CC}" name="PT_Chart_TempCorrelation"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3">
  <location ref="A112:B136"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axis="axisRow"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s>
  <rowFields count="1">
    <field x="6"/>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Avg Ride Volume" fld="12" subtotal="average"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6B8F7C-FDEF-4E80-9204-BC3B3B699D81}" name="PT_KPI_AvgHourlyDemand"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3:A14" firstHeaderRow="1" firstDataRow="1" firstDataCol="0"/>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s>
  <rowItems count="1">
    <i/>
  </rowItems>
  <colItems count="1">
    <i/>
  </colItems>
  <dataFields count="1">
    <dataField name="Avg Hourly Demand" fld="12" subtotal="average"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F48FEF5-7D4C-4312-BFDE-909B52A9B7E2}" name="PT_KPI_PeakHourlyDemand"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7:A18" firstHeaderRow="1" firstDataRow="1" firstDataCol="0"/>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s>
  <rowItems count="1">
    <i/>
  </rowItems>
  <colItems count="1">
    <i/>
  </colItems>
  <dataFields count="1">
    <dataField name="Peak Hourly Demand" fld="12" subtotal="max"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6738399-F59E-4A90-8CE2-56E10929E063}" name="PT_Chart_DailyTrend"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1">
  <location ref="A145:B191" firstHeaderRow="1" firstDataRow="1" firstDataCol="1"/>
  <pivotFields count="13">
    <pivotField compact="0" outline="0" showAll="0"/>
    <pivotField axis="axisRow"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dataFields count="1">
    <dataField name="Daily Total Demand" fld="1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67C58E-61EE-409A-929C-1B2E77366CF3}" name="PT_Chart_HourlyBehavior"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2">
  <location ref="A84:C109" firstHeaderRow="0"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Row"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dataField="1" compact="0" outline="0" showAll="0"/>
    <pivotField dataField="1" compact="0" outline="0" showAll="0"/>
    <pivotField compact="0" outline="0"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Casual Rides" fld="10" baseField="0" baseItem="0"/>
    <dataField name="Registered Rides" fld="11" baseField="0" baseItem="0"/>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76B0D92-D1CC-429F-85B8-0A884B7C70A0}" name="PT_Chart_WeeklyDemand"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4">
  <location ref="A65:B73"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axis="axisRow"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s>
  <rowFields count="1">
    <field x="4"/>
  </rowFields>
  <rowItems count="8">
    <i>
      <x/>
    </i>
    <i>
      <x v="1"/>
    </i>
    <i>
      <x v="2"/>
    </i>
    <i>
      <x v="3"/>
    </i>
    <i>
      <x v="4"/>
    </i>
    <i>
      <x v="5"/>
    </i>
    <i>
      <x v="6"/>
    </i>
    <i t="grand">
      <x/>
    </i>
  </rowItems>
  <colItems count="1">
    <i/>
  </colItems>
  <dataFields count="1">
    <dataField name="Total Weekly Rides" fld="12" baseField="0" baseItem="0"/>
  </dataFields>
  <chartFormats count="8">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4" count="1" selected="0">
            <x v="0"/>
          </reference>
        </references>
      </pivotArea>
    </chartFormat>
    <chartFormat chart="1" format="2">
      <pivotArea type="data" outline="0" fieldPosition="0">
        <references count="2">
          <reference field="4294967294" count="1" selected="0">
            <x v="0"/>
          </reference>
          <reference field="4" count="1" selected="0">
            <x v="1"/>
          </reference>
        </references>
      </pivotArea>
    </chartFormat>
    <chartFormat chart="1" format="3">
      <pivotArea type="data" outline="0" fieldPosition="0">
        <references count="2">
          <reference field="4294967294" count="1" selected="0">
            <x v="0"/>
          </reference>
          <reference field="4" count="1" selected="0">
            <x v="2"/>
          </reference>
        </references>
      </pivotArea>
    </chartFormat>
    <chartFormat chart="1" format="4">
      <pivotArea type="data" outline="0" fieldPosition="0">
        <references count="2">
          <reference field="4294967294" count="1" selected="0">
            <x v="0"/>
          </reference>
          <reference field="4" count="1" selected="0">
            <x v="3"/>
          </reference>
        </references>
      </pivotArea>
    </chartFormat>
    <chartFormat chart="1" format="5">
      <pivotArea type="data" outline="0" fieldPosition="0">
        <references count="2">
          <reference field="4294967294" count="1" selected="0">
            <x v="0"/>
          </reference>
          <reference field="4" count="1" selected="0">
            <x v="5"/>
          </reference>
        </references>
      </pivotArea>
    </chartFormat>
    <chartFormat chart="1" format="6">
      <pivotArea type="data" outline="0" fieldPosition="0">
        <references count="2">
          <reference field="4294967294" count="1" selected="0">
            <x v="0"/>
          </reference>
          <reference field="4" count="1" selected="0">
            <x v="4"/>
          </reference>
        </references>
      </pivotArea>
    </chartFormat>
    <chartFormat chart="1" format="7">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6ACA8AA-C37A-4FFE-93D9-26930A632BB0}" name="PT_KPI_AvgTempIndex"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21:A22" firstHeaderRow="1" firstDataRow="1" firstDataCol="0"/>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dataField="1"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compact="0" outline="0" showAll="0"/>
  </pivotFields>
  <rowItems count="1">
    <i/>
  </rowItems>
  <colItems count="1">
    <i/>
  </colItems>
  <dataFields count="1">
    <dataField name="Avg Temperature Index" fld="6" subtotal="average"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D96324C-8E32-41D5-B520-D7E73EC06FEF}" name="PT_KPI_TotalDemand"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A2" firstHeaderRow="1" firstDataRow="1" firstDataCol="0"/>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s>
  <rowItems count="1">
    <i/>
  </rowItems>
  <colItems count="1">
    <i/>
  </colItems>
  <dataFields count="1">
    <dataField name="Sum of Total Demand" fld="12"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98A4AC8-BF06-4CA5-8D44-841F29B15B38}" name="PT_Chart_CustomerComp"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43">
  <location ref="A61:B62" firstHeaderRow="0" firstDataRow="1" firstDataCol="0"/>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dataField="1" compact="0" outline="0" showAll="0"/>
    <pivotField dataField="1" compact="0" outline="0" showAll="0"/>
    <pivotField compact="0" outline="0" showAll="0"/>
  </pivotFields>
  <rowItems count="1">
    <i/>
  </rowItems>
  <colFields count="1">
    <field x="-2"/>
  </colFields>
  <colItems count="2">
    <i>
      <x/>
    </i>
    <i i="1">
      <x v="1"/>
    </i>
  </colItems>
  <dataFields count="2">
    <dataField name="Total Casual" fld="10" baseField="0" baseItem="0"/>
    <dataField name="Total Registered" fld="11" baseField="0" baseItem="0"/>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9E02BCD-D3D7-4407-AFEE-FBB447CF690F}" name="PT_KPI_SevereWeatherHours"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25:B30"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dataField="1"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axis="axisRow"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5">
    <i>
      <x/>
    </i>
    <i>
      <x v="1"/>
    </i>
    <i>
      <x v="2"/>
    </i>
    <i>
      <x v="3"/>
    </i>
    <i t="grand">
      <x/>
    </i>
  </rowItems>
  <colItems count="1">
    <i/>
  </colItems>
  <dataFields count="1">
    <dataField name="Alert Hours Count"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5AF03B4-8C25-4933-9771-32001E601E8C}" name="PT_Slicer_Temp"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296:A320"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axis="axisRow"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6"/>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2F29593-4C73-44FB-83BC-9A3546DBDFF4}" name="PT_Slicer_Weekday"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243:A251"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axis="axisRow"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4"/>
  </rowFields>
  <rowItems count="8">
    <i>
      <x/>
    </i>
    <i>
      <x v="1"/>
    </i>
    <i>
      <x v="2"/>
    </i>
    <i>
      <x v="3"/>
    </i>
    <i>
      <x v="4"/>
    </i>
    <i>
      <x v="5"/>
    </i>
    <i>
      <x v="6"/>
    </i>
    <i t="grand">
      <x/>
    </i>
  </rowItems>
  <colItems count="1">
    <i/>
  </colItem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6566AD3-0C13-4B4F-94BD-E191466D4A21}" name="PT_Slicer_Weather"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254:A259"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axis="axisRow"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5">
    <i>
      <x/>
    </i>
    <i>
      <x v="1"/>
    </i>
    <i>
      <x v="2"/>
    </i>
    <i>
      <x v="3"/>
    </i>
    <i t="grand">
      <x/>
    </i>
  </rowItems>
  <colItems count="1">
    <i/>
  </colItem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D0BD697-ADB0-4BDA-98F8-97D1CBA70EA3}" name="PT_Chart_HourlyDemand"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19">
  <location ref="A33:B58"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Row"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Average Riders" fld="12" subtotal="average" baseField="2" baseItem="0" numFmtId="2"/>
  </dataFields>
  <chartFormats count="3">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 count="1" selected="0">
            <x v="8"/>
          </reference>
        </references>
      </pivotArea>
    </chartFormat>
    <chartFormat chart="1" format="2">
      <pivotArea type="data" outline="0" fieldPosition="0">
        <references count="2">
          <reference field="4294967294" count="1" selected="0">
            <x v="0"/>
          </reference>
          <reference field="2" count="1" selected="0">
            <x v="17"/>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9A569DF-0072-44D9-81FD-8C4186CD2BA3}" name="PT_Chart_WeatherImpact"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2">
  <location ref="A76:B81" firstHeaderRow="1" firstDataRow="1" firstDataCol="1"/>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axis="axisRow"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s>
  <rowFields count="1">
    <field x="5"/>
  </rowFields>
  <rowItems count="5">
    <i>
      <x/>
    </i>
    <i>
      <x v="1"/>
    </i>
    <i>
      <x v="2"/>
    </i>
    <i>
      <x v="3"/>
    </i>
    <i t="grand">
      <x/>
    </i>
  </rowItems>
  <colItems count="1">
    <i/>
  </colItems>
  <dataFields count="1">
    <dataField name="Avg Rides per Weather" fld="12" subtotal="average" baseField="0" baseItem="0"/>
  </dataFields>
  <formats count="1">
    <format dxfId="83">
      <pivotArea outline="0" fieldPosition="0">
        <references count="1">
          <reference field="5" count="0" selected="0"/>
        </references>
      </pivotArea>
    </format>
  </formats>
  <chartFormats count="5">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1" format="3">
      <pivotArea type="data" outline="0" fieldPosition="0">
        <references count="2">
          <reference field="4294967294" count="1" selected="0">
            <x v="0"/>
          </reference>
          <reference field="5" count="1" selected="0">
            <x v="2"/>
          </reference>
        </references>
      </pivotArea>
    </chartFormat>
    <chartFormat chart="1" format="4">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C7BC39C-0B68-40BB-BFF7-C0966D13C14F}" name="PT_KPI_CasualRides"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9:A10" firstHeaderRow="1" firstDataRow="1" firstDataCol="0"/>
  <pivotFields count="13">
    <pivotField compact="0" outline="0" showAll="0"/>
    <pivotField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s>
  <rowItems count="1">
    <i/>
  </rowItems>
  <colItems count="1">
    <i/>
  </colItems>
  <dataFields count="1">
    <dataField name="Sum of Casual Rides" fld="10"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A9D0F51-7D96-4565-94AD-81181B192624}" name="PT_Slicer_Date"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94:A240" firstHeaderRow="1" firstDataRow="1" firstDataCol="1"/>
  <pivotFields count="13">
    <pivotField compact="0" outline="0" showAll="0"/>
    <pivotField axis="axisRow" compact="0" numFmtId="14" outline="0"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3">
        <item x="0"/>
        <item x="1"/>
        <item t="default"/>
      </items>
    </pivotField>
    <pivotField compact="0" outline="0" showAll="0">
      <items count="8">
        <item x="1"/>
        <item x="2"/>
        <item x="3"/>
        <item x="4"/>
        <item x="5"/>
        <item x="6"/>
        <item x="0"/>
        <item t="default"/>
      </items>
    </pivotField>
    <pivotField compact="0" outline="0" showAll="0">
      <items count="5">
        <item x="0"/>
        <item x="2"/>
        <item x="3"/>
        <item x="1"/>
        <item t="default"/>
      </items>
    </pivotField>
    <pivotField compact="0" outline="0" showAll="0">
      <items count="24">
        <item x="22"/>
        <item x="21"/>
        <item x="20"/>
        <item x="19"/>
        <item x="18"/>
        <item x="16"/>
        <item x="14"/>
        <item x="13"/>
        <item x="15"/>
        <item x="2"/>
        <item x="1"/>
        <item x="0"/>
        <item x="12"/>
        <item x="17"/>
        <item x="11"/>
        <item x="3"/>
        <item x="10"/>
        <item x="5"/>
        <item x="4"/>
        <item x="9"/>
        <item x="6"/>
        <item x="8"/>
        <item x="7"/>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A3A5E8B-480C-4570-93D6-7A6A067B4AA2}"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9" firstHeaderRow="1" firstDataRow="2"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axis="axisCol" showAll="0">
      <items count="4">
        <item x="2"/>
        <item x="1"/>
        <item x="0"/>
        <item t="default"/>
      </items>
    </pivotField>
    <pivotField axis="axisRow"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5"/>
  </rowFields>
  <rowItems count="5">
    <i>
      <x/>
    </i>
    <i>
      <x v="1"/>
    </i>
    <i>
      <x v="2"/>
    </i>
    <i>
      <x v="3"/>
    </i>
    <i t="grand">
      <x/>
    </i>
  </rowItems>
  <colFields count="1">
    <field x="14"/>
  </colFields>
  <colItems count="4">
    <i>
      <x/>
    </i>
    <i>
      <x v="1"/>
    </i>
    <i>
      <x v="2"/>
    </i>
    <i t="grand">
      <x/>
    </i>
  </colItems>
  <dataFields count="1">
    <dataField name="Average of Total_Count" fld="12" subtotal="average" baseField="0" baseItem="0"/>
  </dataField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430C705-B0CF-476F-8B59-B63F8DFECD4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Z9" firstHeaderRow="1" firstDataRow="2"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Col"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items count="8">
        <item x="0"/>
        <item x="1"/>
        <item x="2"/>
        <item x="3"/>
        <item x="4"/>
        <item x="5"/>
        <item x="6"/>
        <item t="default"/>
      </items>
    </pivotField>
    <pivotField showAll="0"/>
    <pivotField showAll="0"/>
    <pivotField dataField="1" showAll="0">
      <items count="16">
        <item x="0"/>
        <item x="1"/>
        <item x="2"/>
        <item x="3"/>
        <item x="4"/>
        <item x="5"/>
        <item x="6"/>
        <item x="7"/>
        <item x="8"/>
        <item x="9"/>
        <item x="10"/>
        <item x="11"/>
        <item x="12"/>
        <item x="13"/>
        <item x="14"/>
        <item t="default"/>
      </items>
    </pivotField>
    <pivotField showAll="0"/>
    <pivotField showAll="0"/>
    <pivotField axis="axisRow"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5"/>
  </rowFields>
  <rowItems count="5">
    <i>
      <x/>
    </i>
    <i>
      <x v="1"/>
    </i>
    <i>
      <x v="2"/>
    </i>
    <i>
      <x v="3"/>
    </i>
    <i t="grand">
      <x/>
    </i>
  </rowItems>
  <colFields count="1">
    <field x="2"/>
  </colFields>
  <colItems count="25">
    <i>
      <x/>
    </i>
    <i>
      <x v="1"/>
    </i>
    <i>
      <x v="2"/>
    </i>
    <i>
      <x v="3"/>
    </i>
    <i>
      <x v="4"/>
    </i>
    <i>
      <x v="5"/>
    </i>
    <i>
      <x v="6"/>
    </i>
    <i>
      <x v="7"/>
    </i>
    <i>
      <x v="8"/>
    </i>
    <i>
      <x v="9"/>
    </i>
    <i>
      <x v="10"/>
    </i>
    <i>
      <x v="11"/>
    </i>
    <i>
      <x v="12"/>
    </i>
    <i>
      <x v="13"/>
    </i>
    <i>
      <x v="14"/>
    </i>
    <i>
      <x v="15"/>
    </i>
    <i>
      <x v="16"/>
    </i>
    <i>
      <x v="17"/>
    </i>
    <i>
      <x v="18"/>
    </i>
    <i>
      <x v="19"/>
    </i>
    <i>
      <x v="20"/>
    </i>
    <i>
      <x v="21"/>
    </i>
    <i>
      <x v="22"/>
    </i>
    <i>
      <x v="23"/>
    </i>
    <i t="grand">
      <x/>
    </i>
  </colItems>
  <dataFields count="1">
    <dataField name="Average of Total_Count" fld="12" subtotal="average" baseField="15"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7543D9C-DEC6-4619-8F86-ECA85F415BB7}"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Z7" firstHeaderRow="1" firstDataRow="2"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Col"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items count="8">
        <item x="0"/>
        <item x="1"/>
        <item x="2"/>
        <item x="3"/>
        <item x="4"/>
        <item x="5"/>
        <item x="6"/>
        <item t="default"/>
      </items>
    </pivotField>
    <pivotField showAll="0"/>
    <pivotField showAll="0"/>
    <pivotField dataField="1" showAll="0">
      <items count="16">
        <item x="0"/>
        <item x="1"/>
        <item x="2"/>
        <item x="3"/>
        <item x="4"/>
        <item x="5"/>
        <item x="6"/>
        <item x="7"/>
        <item x="8"/>
        <item x="9"/>
        <item x="10"/>
        <item x="11"/>
        <item x="12"/>
        <item x="13"/>
        <item x="14"/>
        <item t="default"/>
      </items>
    </pivotField>
    <pivotField axis="axisRow" showAll="0">
      <items count="3">
        <item x="1"/>
        <item x="0"/>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t="grand">
      <x/>
    </i>
  </rowItems>
  <colFields count="1">
    <field x="2"/>
  </colFields>
  <colItems count="25">
    <i>
      <x/>
    </i>
    <i>
      <x v="1"/>
    </i>
    <i>
      <x v="2"/>
    </i>
    <i>
      <x v="3"/>
    </i>
    <i>
      <x v="4"/>
    </i>
    <i>
      <x v="5"/>
    </i>
    <i>
      <x v="6"/>
    </i>
    <i>
      <x v="7"/>
    </i>
    <i>
      <x v="8"/>
    </i>
    <i>
      <x v="9"/>
    </i>
    <i>
      <x v="10"/>
    </i>
    <i>
      <x v="11"/>
    </i>
    <i>
      <x v="12"/>
    </i>
    <i>
      <x v="13"/>
    </i>
    <i>
      <x v="14"/>
    </i>
    <i>
      <x v="15"/>
    </i>
    <i>
      <x v="16"/>
    </i>
    <i>
      <x v="17"/>
    </i>
    <i>
      <x v="18"/>
    </i>
    <i>
      <x v="19"/>
    </i>
    <i>
      <x v="20"/>
    </i>
    <i>
      <x v="21"/>
    </i>
    <i>
      <x v="22"/>
    </i>
    <i>
      <x v="23"/>
    </i>
    <i t="grand">
      <x/>
    </i>
  </colItems>
  <dataFields count="1">
    <dataField name="Average of Total_Count" fld="12" subtotal="average" baseField="13" baseItem="0"/>
  </dataField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30DE1AF3-425A-462E-8E55-FF3B4B19702B}"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28" firstHeaderRow="0" firstDataRow="1" firstDataCol="1" rowPageCount="1" colPageCount="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items count="8">
        <item x="0"/>
        <item x="1"/>
        <item x="2"/>
        <item x="3"/>
        <item x="4"/>
        <item x="5"/>
        <item x="6"/>
        <item t="default"/>
      </items>
    </pivotField>
    <pivotField dataField="1" showAll="0"/>
    <pivotField dataField="1" showAll="0"/>
    <pivotField showAll="0">
      <items count="16">
        <item x="0"/>
        <item x="1"/>
        <item x="2"/>
        <item x="3"/>
        <item x="4"/>
        <item x="5"/>
        <item x="6"/>
        <item x="7"/>
        <item x="8"/>
        <item x="9"/>
        <item x="10"/>
        <item x="11"/>
        <item x="12"/>
        <item x="13"/>
        <item x="14"/>
        <item t="default"/>
      </items>
    </pivotField>
    <pivotField axis="axisPage" showAll="0">
      <items count="3">
        <item x="1"/>
        <item x="0"/>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pageFields count="1">
    <pageField fld="13" hier="-1"/>
  </pageFields>
  <dataFields count="2">
    <dataField name="Avg of Casual Riders" fld="10" subtotal="average" baseField="2" baseItem="0"/>
    <dataField name="Avg of Registered Riders" fld="11" subtotal="average" baseField="2"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3B338CCA-8B20-470B-B32A-306BC808B1F2}"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C8" firstHeaderRow="0"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items count="8">
        <item x="0"/>
        <item x="1"/>
        <item x="2"/>
        <item x="3"/>
        <item x="4"/>
        <item x="5"/>
        <item x="6"/>
        <item t="default"/>
      </items>
    </pivotField>
    <pivotField dataField="1" showAll="0">
      <items count="43">
        <item x="3"/>
        <item x="5"/>
        <item x="4"/>
        <item x="0"/>
        <item x="17"/>
        <item x="2"/>
        <item x="15"/>
        <item x="18"/>
        <item x="1"/>
        <item x="14"/>
        <item x="22"/>
        <item x="16"/>
        <item x="6"/>
        <item x="23"/>
        <item x="24"/>
        <item x="13"/>
        <item x="19"/>
        <item x="26"/>
        <item x="25"/>
        <item x="21"/>
        <item x="20"/>
        <item x="27"/>
        <item x="30"/>
        <item x="29"/>
        <item x="31"/>
        <item x="7"/>
        <item x="37"/>
        <item x="32"/>
        <item x="8"/>
        <item x="36"/>
        <item x="38"/>
        <item x="28"/>
        <item x="10"/>
        <item x="11"/>
        <item x="12"/>
        <item x="35"/>
        <item x="9"/>
        <item x="33"/>
        <item x="41"/>
        <item x="34"/>
        <item x="39"/>
        <item x="40"/>
        <item t="default"/>
      </items>
    </pivotField>
    <pivotField dataField="1" showAll="0"/>
    <pivotField showAll="0">
      <items count="16">
        <item x="0"/>
        <item x="1"/>
        <item x="2"/>
        <item x="3"/>
        <item x="4"/>
        <item x="5"/>
        <item x="6"/>
        <item x="7"/>
        <item x="8"/>
        <item x="9"/>
        <item x="10"/>
        <item x="11"/>
        <item x="12"/>
        <item x="13"/>
        <item x="14"/>
        <item t="default"/>
      </items>
    </pivotField>
    <pivotField showAll="0"/>
    <pivotField showAll="0"/>
    <pivotField axis="axisRow"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5"/>
  </rowFields>
  <rowItems count="5">
    <i>
      <x/>
    </i>
    <i>
      <x v="1"/>
    </i>
    <i>
      <x v="2"/>
    </i>
    <i>
      <x v="3"/>
    </i>
    <i t="grand">
      <x/>
    </i>
  </rowItems>
  <colFields count="1">
    <field x="-2"/>
  </colFields>
  <colItems count="2">
    <i>
      <x/>
    </i>
    <i i="1">
      <x v="1"/>
    </i>
  </colItems>
  <dataFields count="2">
    <dataField name="Avg of Casual_Customers" fld="10" subtotal="average" baseField="15" baseItem="0"/>
    <dataField name="Avg of Registered_Customers" fld="11" subtotal="average" baseField="15"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D1E73E59-A419-479D-9D44-536CEBA261A7}"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9" firstHeaderRow="1"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showAll="0"/>
    <pivotField showAll="0"/>
    <pivotField dataField="1" showAll="0">
      <items count="16">
        <item x="0"/>
        <item x="1"/>
        <item x="2"/>
        <item x="3"/>
        <item x="4"/>
        <item x="5"/>
        <item x="6"/>
        <item x="7"/>
        <item x="8"/>
        <item x="9"/>
        <item x="10"/>
        <item x="11"/>
        <item x="12"/>
        <item x="13"/>
        <item x="14"/>
        <item t="default"/>
      </items>
    </pivotField>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6">
    <i>
      <x v="1"/>
    </i>
    <i>
      <x v="2"/>
    </i>
    <i>
      <x v="3"/>
    </i>
    <i>
      <x v="4"/>
    </i>
    <i>
      <x v="5"/>
    </i>
    <i t="grand">
      <x/>
    </i>
  </rowItems>
  <colItems count="1">
    <i/>
  </colItems>
  <dataFields count="1">
    <dataField name="Avg of Total_Count" fld="12" subtotal="average" baseField="9" baseItem="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D83F96E6-5FB8-4938-960C-661F2B2AB5F1}"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17" firstHeaderRow="1"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axis="axisRow" dataField="1" showAll="0">
      <items count="16">
        <item x="0"/>
        <item x="1"/>
        <item x="2"/>
        <item x="3"/>
        <item x="4"/>
        <item x="5"/>
        <item x="6"/>
        <item x="7"/>
        <item x="8"/>
        <item x="9"/>
        <item x="10"/>
        <item x="11"/>
        <item x="12"/>
        <item x="13"/>
        <item x="14"/>
        <item t="default"/>
      </items>
    </pivotField>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2"/>
  </rowFields>
  <rowItems count="14">
    <i>
      <x v="1"/>
    </i>
    <i>
      <x v="2"/>
    </i>
    <i>
      <x v="3"/>
    </i>
    <i>
      <x v="4"/>
    </i>
    <i>
      <x v="5"/>
    </i>
    <i>
      <x v="6"/>
    </i>
    <i>
      <x v="7"/>
    </i>
    <i>
      <x v="8"/>
    </i>
    <i>
      <x v="9"/>
    </i>
    <i>
      <x v="10"/>
    </i>
    <i>
      <x v="11"/>
    </i>
    <i>
      <x v="12"/>
    </i>
    <i>
      <x v="13"/>
    </i>
    <i t="grand">
      <x/>
    </i>
  </rowItems>
  <colItems count="1">
    <i/>
  </colItems>
  <dataFields count="1">
    <dataField name="Count of Total_Count" fld="12" subtotal="count" baseField="12"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8CAF8D0B-639F-44B2-90A5-E193087D9E7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D8" firstHeaderRow="1" firstDataRow="2"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3">
        <item x="1"/>
        <item x="0"/>
        <item t="default"/>
      </items>
    </pivotField>
    <pivotField axis="axisRow" showAll="0">
      <items count="4">
        <item x="2"/>
        <item x="1"/>
        <item x="0"/>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t="grand">
      <x/>
    </i>
  </rowItems>
  <colFields count="1">
    <field x="13"/>
  </colFields>
  <colItems count="3">
    <i>
      <x/>
    </i>
    <i>
      <x v="1"/>
    </i>
    <i t="grand">
      <x/>
    </i>
  </colItems>
  <dataFields count="1">
    <dataField name="Avg of of Total_Count" fld="12" subtotal="average" baseField="14" baseItem="0"/>
  </dataFields>
  <chartFormats count="8">
    <chartFormat chart="9" format="0" series="1">
      <pivotArea type="data" outline="0" fieldPosition="0">
        <references count="2">
          <reference field="4294967294" count="1" selected="0">
            <x v="0"/>
          </reference>
          <reference field="13" count="1" selected="0">
            <x v="0"/>
          </reference>
        </references>
      </pivotArea>
    </chartFormat>
    <chartFormat chart="9" format="1" series="1">
      <pivotArea type="data" outline="0" fieldPosition="0">
        <references count="2">
          <reference field="4294967294" count="1" selected="0">
            <x v="0"/>
          </reference>
          <reference field="13" count="1" selected="0">
            <x v="1"/>
          </reference>
        </references>
      </pivotArea>
    </chartFormat>
    <chartFormat chart="9" format="2">
      <pivotArea type="data" outline="0" fieldPosition="0">
        <references count="3">
          <reference field="4294967294" count="1" selected="0">
            <x v="0"/>
          </reference>
          <reference field="13" count="1" selected="0">
            <x v="0"/>
          </reference>
          <reference field="14" count="1" selected="0">
            <x v="0"/>
          </reference>
        </references>
      </pivotArea>
    </chartFormat>
    <chartFormat chart="9" format="3">
      <pivotArea type="data" outline="0" fieldPosition="0">
        <references count="3">
          <reference field="4294967294" count="1" selected="0">
            <x v="0"/>
          </reference>
          <reference field="13" count="1" selected="0">
            <x v="0"/>
          </reference>
          <reference field="14" count="1" selected="0">
            <x v="1"/>
          </reference>
        </references>
      </pivotArea>
    </chartFormat>
    <chartFormat chart="9" format="4">
      <pivotArea type="data" outline="0" fieldPosition="0">
        <references count="3">
          <reference field="4294967294" count="1" selected="0">
            <x v="0"/>
          </reference>
          <reference field="13" count="1" selected="0">
            <x v="0"/>
          </reference>
          <reference field="14" count="1" selected="0">
            <x v="2"/>
          </reference>
        </references>
      </pivotArea>
    </chartFormat>
    <chartFormat chart="9" format="5">
      <pivotArea type="data" outline="0" fieldPosition="0">
        <references count="3">
          <reference field="4294967294" count="1" selected="0">
            <x v="0"/>
          </reference>
          <reference field="13" count="1" selected="0">
            <x v="1"/>
          </reference>
          <reference field="14" count="1" selected="0">
            <x v="0"/>
          </reference>
        </references>
      </pivotArea>
    </chartFormat>
    <chartFormat chart="9" format="6">
      <pivotArea type="data" outline="0" fieldPosition="0">
        <references count="3">
          <reference field="4294967294" count="1" selected="0">
            <x v="0"/>
          </reference>
          <reference field="13" count="1" selected="0">
            <x v="1"/>
          </reference>
          <reference field="14" count="1" selected="0">
            <x v="1"/>
          </reference>
        </references>
      </pivotArea>
    </chartFormat>
    <chartFormat chart="9" format="7">
      <pivotArea type="data" outline="0" fieldPosition="0">
        <references count="3">
          <reference field="4294967294" count="1" selected="0">
            <x v="0"/>
          </reference>
          <reference field="13" count="1" selected="0">
            <x v="1"/>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63EBE331-BCE5-4570-9BD7-F308019F29A5}"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6" firstHeaderRow="1" firstDataRow="1" firstDataCol="1"/>
  <pivotFields count="18">
    <pivotField showAll="0"/>
    <pivotField axis="axisRow"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7"/>
    <field x="16"/>
    <field x="1"/>
  </rowFields>
  <rowItems count="3">
    <i>
      <x v="1"/>
    </i>
    <i>
      <x v="2"/>
    </i>
    <i t="grand">
      <x/>
    </i>
  </rowItems>
  <colItems count="1">
    <i/>
  </colItems>
  <dataFields count="1">
    <dataField name="Sum of Total_Count" fld="12" baseField="17" baseItem="1"/>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7813344A-377A-4D2D-8434-3B859594A61D}" autoFormatId="16" applyNumberFormats="0" applyBorderFormats="0" applyFontFormats="0" applyPatternFormats="0" applyAlignmentFormats="0" applyWidthHeightFormats="0">
  <queryTableRefresh nextId="11">
    <queryTableFields count="10">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618D24E2-8DF3-4F0A-9F46-EA36C184446B}" autoFormatId="16" applyNumberFormats="0" applyBorderFormats="0" applyFontFormats="0" applyPatternFormats="0" applyAlignmentFormats="0" applyWidthHeightFormats="0">
  <queryTableRefresh nextId="15">
    <queryTableFields count="7">
      <queryTableField id="1" name="instant" tableColumnId="1"/>
      <queryTableField id="11" name="Date" tableColumnId="2"/>
      <queryTableField id="12" name="Hour" tableColumnId="3"/>
      <queryTableField id="7" name="holiday" tableColumnId="7"/>
      <queryTableField id="8" name="weekday" tableColumnId="8"/>
      <queryTableField id="9" name="weathersit" tableColumnId="9"/>
      <queryTableField id="10" name="temp" tableColumnId="10"/>
    </queryTableFields>
    <queryTableDeletedFields count="3">
      <deletedField name="season"/>
      <deletedField name="yr"/>
      <deletedField name="mnth"/>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0A72FB05-9F37-4AC4-9E6B-B50D4140A69E}" autoFormatId="16" applyNumberFormats="0" applyBorderFormats="0" applyFontFormats="0" applyPatternFormats="0" applyAlignmentFormats="0" applyWidthHeightFormats="0">
  <queryTableRefresh nextId="11">
    <queryTableFields count="8">
      <queryTableField id="9" name="Unnamed: 0" tableColumnId="1"/>
      <queryTableField id="2" name="instant" tableColumnId="2"/>
      <queryTableField id="3" name="atemp" tableColumnId="3"/>
      <queryTableField id="4" name="hum" tableColumnId="4"/>
      <queryTableField id="5" name="windspeed" tableColumnId="5"/>
      <queryTableField id="6" name="casual" tableColumnId="6"/>
      <queryTableField id="7" name="registered" tableColumnId="7"/>
      <queryTableField id="8" name="cnt" tableColumnId="8"/>
    </queryTableFields>
    <queryTableDeletedFields count="1">
      <deletedField name="Unnamed: 0"/>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F4B10130-3C97-4C25-AFD3-CA7C1B2E49BA}" autoFormatId="16" applyNumberFormats="0" applyBorderFormats="0" applyFontFormats="0" applyPatternFormats="0" applyAlignmentFormats="0" applyWidthHeightFormats="0">
  <queryTableRefresh nextId="16">
    <queryTableFields count="7">
      <queryTableField id="2" name="instant" tableColumnId="2"/>
      <queryTableField id="9" name="Assumed_Temp" tableColumnId="10"/>
      <queryTableField id="10" name="Humidity" tableColumnId="11"/>
      <queryTableField id="5" name="windspeed" tableColumnId="5"/>
      <queryTableField id="11" name="Casual_Customers" tableColumnId="12"/>
      <queryTableField id="12" name="Registered_Customers" tableColumnId="13"/>
      <queryTableField id="13" name="Total_Count" tableColumnId="14"/>
    </queryTableFields>
    <queryTableDeletedFields count="1">
      <deletedField name="Unnamed: 0"/>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 xr16:uid="{46EA8E71-A35C-4DDE-A89F-0B160CE050E8}" autoFormatId="16" applyNumberFormats="0" applyBorderFormats="0" applyFontFormats="0" applyPatternFormats="0" applyAlignmentFormats="0" applyWidthHeightFormats="0">
  <queryTableRefresh nextId="17">
    <queryTableFields count="16">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atemp" tableColumnId="11"/>
      <queryTableField id="12" name="hum" tableColumnId="12"/>
      <queryTableField id="13" name="windspeed" tableColumnId="13"/>
      <queryTableField id="14" name="casual" tableColumnId="14"/>
      <queryTableField id="15" name="registered" tableColumnId="15"/>
      <queryTableField id="16" name="cn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3" xr16:uid="{F01A1C44-CF4E-49D2-B873-05019E07BB55}" autoFormatId="16" applyNumberFormats="0" applyBorderFormats="0" applyFontFormats="0" applyPatternFormats="0" applyAlignmentFormats="0" applyWidthHeightFormats="0">
  <queryTableRefresh nextId="35">
    <queryTableFields count="13">
      <queryTableField id="1" name="instant" tableColumnId="1"/>
      <queryTableField id="17" name="Date" tableColumnId="2"/>
      <queryTableField id="30" name="Hour" tableColumnId="3"/>
      <queryTableField id="7" name="holiday" tableColumnId="7"/>
      <queryTableField id="8" name="weekday" tableColumnId="8"/>
      <queryTableField id="9" name="weathersit" tableColumnId="9"/>
      <queryTableField id="31" name="Temp" tableColumnId="4"/>
      <queryTableField id="20" name="Assumed_Temp" tableColumnId="5"/>
      <queryTableField id="21" name="Humidity" tableColumnId="6"/>
      <queryTableField id="13" name="windspeed" tableColumnId="13"/>
      <queryTableField id="22" name="Casual_Customers" tableColumnId="10"/>
      <queryTableField id="23" name="Registered_Customers" tableColumnId="11"/>
      <queryTableField id="32" name="Total_Count" tableColumnId="1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7" xr16:uid="{FA36D05C-F29E-4636-84A2-0460E8670B48}" autoFormatId="16" applyNumberFormats="0" applyBorderFormats="0" applyFontFormats="0" applyPatternFormats="0" applyAlignmentFormats="0" applyWidthHeightFormats="0">
  <queryTableRefresh nextId="14">
    <queryTableFields count="13">
      <queryTableField id="1" name="instant" tableColumnId="1"/>
      <queryTableField id="2" name="Date" tableColumnId="2"/>
      <queryTableField id="3" name="Hour" tableColumnId="3"/>
      <queryTableField id="4" name="Holiday" tableColumnId="4"/>
      <queryTableField id="5" name="Weekday" tableColumnId="5"/>
      <queryTableField id="6" name="Weathersit" tableColumnId="6"/>
      <queryTableField id="7" name="Temp" tableColumnId="7"/>
      <queryTableField id="8" name="Assumed_Temp" tableColumnId="8"/>
      <queryTableField id="9" name="Humidity" tableColumnId="9"/>
      <queryTableField id="10" name="Windspeed" tableColumnId="10"/>
      <queryTableField id="11" name="Casual_Customers" tableColumnId="11"/>
      <queryTableField id="12" name="Registered_Customers" tableColumnId="12"/>
      <queryTableField id="13" name="Total_Count" tableColumnId="1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64489AC7-D523-4AE8-8DAF-2FAE2AE51151}" autoFormatId="16" applyNumberFormats="0" applyBorderFormats="0" applyFontFormats="0" applyPatternFormats="0" applyAlignmentFormats="0" applyWidthHeightFormats="0">
  <queryTableRefresh nextId="17">
    <queryTableFields count="16">
      <queryTableField id="1" name="instant" tableColumnId="1"/>
      <queryTableField id="2" name="Date" tableColumnId="2"/>
      <queryTableField id="3" name="Hour" tableColumnId="3"/>
      <queryTableField id="4" name="Holiday" tableColumnId="4"/>
      <queryTableField id="5" name="Weekday" tableColumnId="5"/>
      <queryTableField id="6" name="Weathersit" tableColumnId="6"/>
      <queryTableField id="7" name="Temp" tableColumnId="7"/>
      <queryTableField id="8" name="Assumed_Temp" tableColumnId="8"/>
      <queryTableField id="9" name="Humidity" tableColumnId="9"/>
      <queryTableField id="10" name="Windspeed" tableColumnId="10"/>
      <queryTableField id="11" name="Casual_Customers" tableColumnId="11"/>
      <queryTableField id="12" name="Registered_Customers" tableColumnId="12"/>
      <queryTableField id="13" name="Total_Count" tableColumnId="13"/>
      <queryTableField id="14" name="Day_type" tableColumnId="14"/>
      <queryTableField id="15" name="Time_category" tableColumnId="15"/>
      <queryTableField id="16" name="Weather_Label"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25E8DC3F-9594-4FF6-8C50-9AD9DE299331}" sourceName="Date">
  <pivotTables>
    <pivotTable tabId="20" name="PT_KPI_TotalDemand"/>
    <pivotTable tabId="20" name="PT_Slicer_Temp"/>
    <pivotTable tabId="20" name="PT_Slicer_Hour"/>
    <pivotTable tabId="20" name="PT_Slicer_Holiday"/>
    <pivotTable tabId="20" name="PT_Slicer_Weather"/>
    <pivotTable tabId="20" name="PT_Slicer_Weekday"/>
    <pivotTable tabId="20" name="PT_Slicer_Date"/>
    <pivotTable tabId="20" name="PT_Chart_DailyTrend"/>
    <pivotTable tabId="20" name="PT_Chart_HolidayDemand"/>
    <pivotTable tabId="20" name="PT_Chart_TempCorrelation"/>
    <pivotTable tabId="20" name="PT_Chart_HourlyBehavior"/>
    <pivotTable tabId="20" name="PT_Chart_WeatherImpact"/>
    <pivotTable tabId="20" name="PT_Chart_WeeklyDemand"/>
    <pivotTable tabId="20" name="PT_Chart_CustomerComp"/>
    <pivotTable tabId="20" name="PT_Chart_HourlyDemand"/>
    <pivotTable tabId="20" name="PT_KPI_SevereWeatherHours"/>
    <pivotTable tabId="20" name="PT_KPI_AvgTempIndex"/>
    <pivotTable tabId="20" name="PT_KPI_PeakHourlyDemand"/>
    <pivotTable tabId="20" name="PT_KPI_AvgHourlyDemand"/>
    <pivotTable tabId="20" name="PT_KPI_CasualRides"/>
    <pivotTable tabId="20" name="PT_KPI_RegisteredRides"/>
  </pivotTables>
  <data>
    <tabular pivotCacheId="686261990">
      <items count="45">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F1DC9CE1-6EBD-4C72-AD14-901FBD3220ED}" sourceName="Weekday">
  <pivotTables>
    <pivotTable tabId="20" name="PT_KPI_TotalDemand"/>
    <pivotTable tabId="20" name="PT_Slicer_Temp"/>
    <pivotTable tabId="20" name="PT_Slicer_Hour"/>
    <pivotTable tabId="20" name="PT_Slicer_Holiday"/>
    <pivotTable tabId="20" name="PT_Slicer_Weather"/>
    <pivotTable tabId="20" name="PT_Slicer_Weekday"/>
    <pivotTable tabId="20" name="PT_Slicer_Date"/>
    <pivotTable tabId="20" name="PT_Chart_DailyTrend"/>
    <pivotTable tabId="20" name="PT_Chart_HolidayDemand"/>
    <pivotTable tabId="20" name="PT_Chart_TempCorrelation"/>
    <pivotTable tabId="20" name="PT_Chart_HourlyBehavior"/>
    <pivotTable tabId="20" name="PT_Chart_WeatherImpact"/>
    <pivotTable tabId="20" name="PT_Chart_WeeklyDemand"/>
    <pivotTable tabId="20" name="PT_Chart_CustomerComp"/>
    <pivotTable tabId="20" name="PT_Chart_HourlyDemand"/>
    <pivotTable tabId="20" name="PT_KPI_SevereWeatherHours"/>
    <pivotTable tabId="20" name="PT_KPI_AvgTempIndex"/>
    <pivotTable tabId="20" name="PT_KPI_PeakHourlyDemand"/>
    <pivotTable tabId="20" name="PT_KPI_AvgHourlyDemand"/>
    <pivotTable tabId="20" name="PT_KPI_CasualRides"/>
    <pivotTable tabId="20" name="PT_KPI_RegisteredRides"/>
  </pivotTables>
  <data>
    <tabular pivotCacheId="686261990">
      <items count="7">
        <i x="1" s="1"/>
        <i x="2" s="1"/>
        <i x="3" s="1"/>
        <i x="4" s="1"/>
        <i x="5" s="1"/>
        <i x="6"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 xr10:uid="{F159B588-A4EB-43A3-B610-C77D6BAF2933}" sourceName="Weathersit">
  <pivotTables>
    <pivotTable tabId="20" name="PT_KPI_TotalDemand"/>
    <pivotTable tabId="20" name="PT_Slicer_Temp"/>
    <pivotTable tabId="20" name="PT_Slicer_Hour"/>
    <pivotTable tabId="20" name="PT_Slicer_Holiday"/>
    <pivotTable tabId="20" name="PT_Slicer_Weather"/>
    <pivotTable tabId="20" name="PT_Slicer_Weekday"/>
    <pivotTable tabId="20" name="PT_Slicer_Date"/>
    <pivotTable tabId="20" name="PT_Chart_DailyTrend"/>
    <pivotTable tabId="20" name="PT_Chart_HolidayDemand"/>
    <pivotTable tabId="20" name="PT_Chart_TempCorrelation"/>
    <pivotTable tabId="20" name="PT_Chart_HourlyBehavior"/>
    <pivotTable tabId="20" name="PT_Chart_WeatherImpact"/>
    <pivotTable tabId="20" name="PT_Chart_WeeklyDemand"/>
    <pivotTable tabId="20" name="PT_Chart_CustomerComp"/>
    <pivotTable tabId="20" name="PT_Chart_HourlyDemand"/>
    <pivotTable tabId="20" name="PT_KPI_SevereWeatherHours"/>
    <pivotTable tabId="20" name="PT_KPI_AvgTempIndex"/>
    <pivotTable tabId="20" name="PT_KPI_PeakHourlyDemand"/>
    <pivotTable tabId="20" name="PT_KPI_AvgHourlyDemand"/>
    <pivotTable tabId="20" name="PT_KPI_CasualRides"/>
    <pivotTable tabId="20" name="PT_KPI_RegisteredRides"/>
  </pivotTables>
  <data>
    <tabular pivotCacheId="686261990">
      <items count="4">
        <i x="0" s="1"/>
        <i x="2" s="1"/>
        <i x="3"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 xr10:uid="{F02633E8-FD73-4674-A870-CA74F0F86E99}" sourceName="Holiday">
  <pivotTables>
    <pivotTable tabId="20" name="PT_KPI_TotalDemand"/>
    <pivotTable tabId="20" name="PT_Slicer_Temp"/>
    <pivotTable tabId="20" name="PT_Slicer_Hour"/>
    <pivotTable tabId="20" name="PT_Slicer_Holiday"/>
    <pivotTable tabId="20" name="PT_Slicer_Weather"/>
    <pivotTable tabId="20" name="PT_Slicer_Weekday"/>
    <pivotTable tabId="20" name="PT_Slicer_Date"/>
    <pivotTable tabId="20" name="PT_Chart_DailyTrend"/>
    <pivotTable tabId="20" name="PT_Chart_HolidayDemand"/>
    <pivotTable tabId="20" name="PT_Chart_TempCorrelation"/>
    <pivotTable tabId="20" name="PT_Chart_HourlyBehavior"/>
    <pivotTable tabId="20" name="PT_Chart_WeatherImpact"/>
    <pivotTable tabId="20" name="PT_Chart_WeeklyDemand"/>
    <pivotTable tabId="20" name="PT_Chart_CustomerComp"/>
    <pivotTable tabId="20" name="PT_Chart_HourlyDemand"/>
    <pivotTable tabId="20" name="PT_KPI_SevereWeatherHours"/>
    <pivotTable tabId="20" name="PT_KPI_AvgTempIndex"/>
    <pivotTable tabId="20" name="PT_KPI_PeakHourlyDemand"/>
    <pivotTable tabId="20" name="PT_KPI_AvgHourlyDemand"/>
    <pivotTable tabId="20" name="PT_KPI_CasualRides"/>
    <pivotTable tabId="20" name="PT_KPI_RegisteredRides"/>
  </pivotTables>
  <data>
    <tabular pivotCacheId="68626199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ur" xr10:uid="{E19637CD-BF46-41CC-A5EA-CC8569E4DE36}" sourceName="Hour">
  <pivotTables>
    <pivotTable tabId="20" name="PT_KPI_TotalDemand"/>
    <pivotTable tabId="20" name="PT_Slicer_Temp"/>
    <pivotTable tabId="20" name="PT_Slicer_Hour"/>
    <pivotTable tabId="20" name="PT_Slicer_Holiday"/>
    <pivotTable tabId="20" name="PT_Slicer_Weather"/>
    <pivotTable tabId="20" name="PT_Slicer_Weekday"/>
    <pivotTable tabId="20" name="PT_Slicer_Date"/>
    <pivotTable tabId="20" name="PT_Chart_DailyTrend"/>
    <pivotTable tabId="20" name="PT_Chart_HolidayDemand"/>
    <pivotTable tabId="20" name="PT_Chart_TempCorrelation"/>
    <pivotTable tabId="20" name="PT_Chart_HourlyBehavior"/>
    <pivotTable tabId="20" name="PT_Chart_WeatherImpact"/>
    <pivotTable tabId="20" name="PT_Chart_WeeklyDemand"/>
    <pivotTable tabId="20" name="PT_Chart_CustomerComp"/>
    <pivotTable tabId="20" name="PT_Chart_HourlyDemand"/>
    <pivotTable tabId="20" name="PT_KPI_SevereWeatherHours"/>
    <pivotTable tabId="20" name="PT_KPI_AvgTempIndex"/>
    <pivotTable tabId="20" name="PT_KPI_PeakHourlyDemand"/>
    <pivotTable tabId="20" name="PT_KPI_AvgHourlyDemand"/>
    <pivotTable tabId="20" name="PT_KPI_CasualRides"/>
    <pivotTable tabId="20" name="PT_KPI_RegisteredRides"/>
  </pivotTables>
  <data>
    <tabular pivotCacheId="686261990">
      <items count="24">
        <i x="0" s="1"/>
        <i x="1" s="1"/>
        <i x="2" s="1"/>
        <i x="3" s="1"/>
        <i x="4" s="1"/>
        <i x="5" s="1"/>
        <i x="6" s="1"/>
        <i x="7" s="1"/>
        <i x="8" s="1"/>
        <i x="9" s="1"/>
        <i x="10" s="1"/>
        <i x="11" s="1"/>
        <i x="12" s="1"/>
        <i x="13" s="1"/>
        <i x="14" s="1"/>
        <i x="15" s="1"/>
        <i x="16" s="1"/>
        <i x="17" s="1"/>
        <i x="18" s="1"/>
        <i x="19" s="1"/>
        <i x="20" s="1"/>
        <i x="21" s="1"/>
        <i x="22" s="1"/>
        <i x="2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mp" xr10:uid="{71708B68-0816-4085-9659-7C5C81C96ADE}" sourceName="Temp">
  <pivotTables>
    <pivotTable tabId="20" name="PT_KPI_TotalDemand"/>
    <pivotTable tabId="20" name="PT_Slicer_Temp"/>
    <pivotTable tabId="20" name="PT_Slicer_Hour"/>
    <pivotTable tabId="20" name="PT_Slicer_Holiday"/>
    <pivotTable tabId="20" name="PT_Slicer_Weather"/>
    <pivotTable tabId="20" name="PT_Slicer_Weekday"/>
    <pivotTable tabId="20" name="PT_Slicer_Date"/>
    <pivotTable tabId="20" name="PT_Chart_DailyTrend"/>
    <pivotTable tabId="20" name="PT_Chart_HolidayDemand"/>
    <pivotTable tabId="20" name="PT_Chart_TempCorrelation"/>
    <pivotTable tabId="20" name="PT_Chart_HourlyBehavior"/>
    <pivotTable tabId="20" name="PT_Chart_WeatherImpact"/>
    <pivotTable tabId="20" name="PT_Chart_WeeklyDemand"/>
    <pivotTable tabId="20" name="PT_Chart_CustomerComp"/>
    <pivotTable tabId="20" name="PT_Chart_HourlyDemand"/>
    <pivotTable tabId="20" name="PT_KPI_SevereWeatherHours"/>
    <pivotTable tabId="20" name="PT_KPI_AvgTempIndex"/>
    <pivotTable tabId="20" name="PT_KPI_PeakHourlyDemand"/>
    <pivotTable tabId="20" name="PT_KPI_AvgHourlyDemand"/>
    <pivotTable tabId="20" name="PT_KPI_CasualRides"/>
    <pivotTable tabId="20" name="PT_KPI_RegisteredRides"/>
  </pivotTables>
  <data>
    <tabular pivotCacheId="686261990">
      <items count="23">
        <i x="22" s="1"/>
        <i x="21" s="1"/>
        <i x="20" s="1"/>
        <i x="19" s="1"/>
        <i x="18" s="1"/>
        <i x="16" s="1"/>
        <i x="14" s="1"/>
        <i x="13" s="1"/>
        <i x="15" s="1"/>
        <i x="2" s="1"/>
        <i x="1" s="1"/>
        <i x="0" s="1"/>
        <i x="12" s="1"/>
        <i x="17" s="1"/>
        <i x="11" s="1"/>
        <i x="3" s="1"/>
        <i x="10" s="1"/>
        <i x="5" s="1"/>
        <i x="4" s="1"/>
        <i x="9" s="1"/>
        <i x="6" s="1"/>
        <i x="8"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Date" xr10:uid="{5CCCC900-3599-49DB-82CD-A875910F391F}" cache="Slicer_Date" caption="Date" startItem="33" showCaption="0" style="SlicerStyleLight2" rowHeight="247650"/>
  <slicer name="Slicer_Weekday" xr10:uid="{DADB5C74-AB64-4C41-AAB4-78536CFA79FF}" cache="Slicer_Weekday" caption="Weekday" startItem="3" showCaption="0" style="SlicerStyleLight2" rowHeight="247650"/>
  <slicer name="Slicer_Weather" xr10:uid="{3218D84F-4068-4926-9FF6-4D172F64C027}" cache="Slicer_Weather" caption="Weathersit" showCaption="0" style="SlicerStyleLight2" rowHeight="247650"/>
  <slicer name="Slicer_Holiday" xr10:uid="{6F001A4E-9601-41AC-9650-D9E263278D76}" cache="Slicer_Holiday" caption="Holiday" showCaption="0" style="SlicerStyleLight2" rowHeight="247650"/>
  <slicer name="Slicer_Hour" xr10:uid="{41DAD57D-E0EF-4BF9-B355-98361CFDEE2C}" cache="Slicer_Hour" caption="Hour" showCaption="0" style="SlicerStyleLight2" rowHeight="247650"/>
  <slicer name="Slicer_Temp" xr10:uid="{37E44D2B-AFB6-42FF-A0A8-C55E81013B81}" cache="Slicer_Temp" caption="Temp" showCaption="0" style="SlicerStyleLight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6ABEB7-CDEC-4CEF-A024-89E131850F9B}" name="dataset_1" displayName="dataset_1" ref="A1:J611" tableType="queryTable" totalsRowShown="0" headerRowDxfId="82" dataDxfId="81">
  <autoFilter ref="A1:J611" xr:uid="{DF6ABEB7-CDEC-4CEF-A024-89E131850F9B}"/>
  <tableColumns count="10">
    <tableColumn id="1" xr3:uid="{7D58AC94-16A6-4A6D-AAD7-6AC0016EE96A}" uniqueName="1" name="instant" queryTableFieldId="1" dataDxfId="80"/>
    <tableColumn id="2" xr3:uid="{015D8AF8-BE39-496D-A24B-E92DEC476B0C}" uniqueName="2" name="dteday" queryTableFieldId="2" dataDxfId="79"/>
    <tableColumn id="3" xr3:uid="{53BA7C21-1D45-473A-BC4D-69F8084C6ABD}" uniqueName="3" name="season" queryTableFieldId="3" dataDxfId="78"/>
    <tableColumn id="4" xr3:uid="{CBE5C623-4F1D-4BBB-BE40-679F6DA3B3FB}" uniqueName="4" name="yr" queryTableFieldId="4" dataDxfId="77"/>
    <tableColumn id="5" xr3:uid="{D4FB7023-EC1B-4D72-A58C-7E26D00DB337}" uniqueName="5" name="mnth" queryTableFieldId="5" dataDxfId="76"/>
    <tableColumn id="6" xr3:uid="{59B15C68-27E6-430F-9842-C53223C236A0}" uniqueName="6" name="hr" queryTableFieldId="6" dataDxfId="75"/>
    <tableColumn id="7" xr3:uid="{7EB7A3CF-1CE9-40BB-942F-3F06281F203A}" uniqueName="7" name="holiday" queryTableFieldId="7" dataDxfId="74"/>
    <tableColumn id="8" xr3:uid="{2E4641A5-01E6-44C9-B3B6-9B9623B8FAE6}" uniqueName="8" name="weekday" queryTableFieldId="8" dataDxfId="73"/>
    <tableColumn id="9" xr3:uid="{1FE172ED-1E01-404D-9ED8-246C5455619D}" uniqueName="9" name="weathersit" queryTableFieldId="9" dataDxfId="72"/>
    <tableColumn id="10" xr3:uid="{A45CB169-A21E-403E-B34C-DCC79ECD8B9E}" uniqueName="10" name="temp" queryTableFieldId="10" dataDxfId="71"/>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7BA976-C9EB-42F1-80BD-0D3E217BB95B}" name="Cleaned_dataset_1" displayName="Cleaned_dataset_1" ref="A1:G611" tableType="queryTable" totalsRowShown="0" headerRowDxfId="63" dataDxfId="62">
  <autoFilter ref="A1:G611" xr:uid="{DF6ABEB7-CDEC-4CEF-A024-89E131850F9B}"/>
  <tableColumns count="7">
    <tableColumn id="1" xr3:uid="{DB26C946-E51E-4535-9D37-6B26B4225E8F}" uniqueName="1" name="instant" queryTableFieldId="1" dataDxfId="61"/>
    <tableColumn id="2" xr3:uid="{237F040D-4D2A-4EB5-B156-D90FBB9D6BC9}" uniqueName="2" name="Date" queryTableFieldId="11" dataDxfId="60"/>
    <tableColumn id="3" xr3:uid="{2B5480D0-7D00-46D2-9031-E2C23B4477E8}" uniqueName="3" name="Hour" queryTableFieldId="12"/>
    <tableColumn id="7" xr3:uid="{CD9DA271-25DD-4F8D-BD46-B16D311AD644}" uniqueName="7" name="Holiday" queryTableFieldId="7" dataDxfId="59"/>
    <tableColumn id="8" xr3:uid="{8C1B4357-7DF7-4802-BD30-25DD1D615B8B}" uniqueName="8" name="Weekday" queryTableFieldId="8" dataDxfId="58"/>
    <tableColumn id="9" xr3:uid="{BDF7EDDA-D10F-4B95-880D-AD95B0CA7996}" uniqueName="9" name="Weathersit" queryTableFieldId="9" dataDxfId="57"/>
    <tableColumn id="10" xr3:uid="{1305ED30-FBDC-4C43-A2A4-4C36D0D4D268}" uniqueName="10" name="Temp" queryTableFieldId="10" dataDxfId="56"/>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5E6998E-7A83-4AF0-B457-1E0196EB6CD6}" name="dataset_2" displayName="dataset_2" ref="A1:H611" tableType="queryTable" totalsRowShown="0" headerRowDxfId="55" dataDxfId="54">
  <autoFilter ref="A1:H611" xr:uid="{05E6998E-7A83-4AF0-B457-1E0196EB6CD6}"/>
  <tableColumns count="8">
    <tableColumn id="1" xr3:uid="{6135E1D6-8725-4DA1-9469-20EE7255AD6F}" uniqueName="1" name="Unnamed: 0" queryTableFieldId="9"/>
    <tableColumn id="2" xr3:uid="{E1D3E60B-088E-4529-B16D-C09D8ADF6CFD}" uniqueName="2" name="instant" queryTableFieldId="2" dataDxfId="53"/>
    <tableColumn id="3" xr3:uid="{89C1313C-5A27-429C-8FB8-365B6091040C}" uniqueName="3" name="atemp" queryTableFieldId="3" dataDxfId="52"/>
    <tableColumn id="4" xr3:uid="{D8701844-E69C-40F6-8758-C93482318AD8}" uniqueName="4" name="hum" queryTableFieldId="4" dataDxfId="51"/>
    <tableColumn id="5" xr3:uid="{DC4EAE22-1BE5-4CD9-B8C3-42BB5EDC4D1F}" uniqueName="5" name="windspeed" queryTableFieldId="5" dataDxfId="50"/>
    <tableColumn id="6" xr3:uid="{098407B0-AFB7-4D2D-AC1A-EF40EE2D5423}" uniqueName="6" name="casual" queryTableFieldId="6" dataDxfId="49"/>
    <tableColumn id="7" xr3:uid="{B73E36FD-4C5C-4036-89CE-8C5DD830CBFD}" uniqueName="7" name="registered" queryTableFieldId="7" dataDxfId="48"/>
    <tableColumn id="8" xr3:uid="{690D99DE-EFF3-4091-ADA7-F7F5B0B60E01}" uniqueName="8" name="cnt" queryTableFieldId="8" dataDxfId="47"/>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F13331-4A05-4598-B8F3-8C4664DD1CF3}" name="Cleaned_dataset_2" displayName="Cleaned_dataset_2" ref="A1:G611" tableType="queryTable" totalsRowShown="0" headerRowDxfId="46" dataDxfId="45">
  <autoFilter ref="A1:G611" xr:uid="{05E6998E-7A83-4AF0-B457-1E0196EB6CD6}"/>
  <tableColumns count="7">
    <tableColumn id="2" xr3:uid="{78193C89-403F-4FDC-813F-E9EF7F10686C}" uniqueName="2" name="instant" queryTableFieldId="2" dataDxfId="44"/>
    <tableColumn id="10" xr3:uid="{5A6E0D04-6E1B-42F4-9098-5AC323AD100A}" uniqueName="10" name="Assumed_Temp" queryTableFieldId="9"/>
    <tableColumn id="11" xr3:uid="{F6F8AA14-372C-487C-825F-8E8323BF6774}" uniqueName="11" name="Humidity" queryTableFieldId="10"/>
    <tableColumn id="5" xr3:uid="{D3962B80-3A70-45A1-AE44-4E4DF62523DB}" uniqueName="5" name="Windspeed" queryTableFieldId="5" dataDxfId="43"/>
    <tableColumn id="12" xr3:uid="{FDF99CFC-B423-4A39-8E48-DCFE51195002}" uniqueName="12" name="Casual_Customers" queryTableFieldId="11"/>
    <tableColumn id="13" xr3:uid="{A9707524-530F-44CE-9CC6-79355D5078C9}" uniqueName="13" name="Registered_Customers" queryTableFieldId="12"/>
    <tableColumn id="14" xr3:uid="{61F62EFB-DEBD-45B7-8487-CC83E2291039}" uniqueName="14" name="Total_Count" queryTableFieldId="1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11ADC-8915-4B81-A29F-F5789A55A06C}" name="dataset_3" displayName="dataset_3" ref="A1:P391" tableType="queryTable" totalsRowShown="0" headerRowDxfId="42" dataDxfId="41">
  <autoFilter ref="A1:P391" xr:uid="{CBA11ADC-8915-4B81-A29F-F5789A55A06C}"/>
  <tableColumns count="16">
    <tableColumn id="1" xr3:uid="{F70543A8-DC53-4A6B-9309-8B56D717C796}" uniqueName="1" name="instant" queryTableFieldId="1" dataDxfId="40"/>
    <tableColumn id="2" xr3:uid="{41E09B7A-509B-4F97-9AAA-5514614102CA}" uniqueName="2" name="dteday" queryTableFieldId="2" dataDxfId="39"/>
    <tableColumn id="3" xr3:uid="{4089693A-294A-41FA-8A9B-FA935B1F6BD9}" uniqueName="3" name="season" queryTableFieldId="3" dataDxfId="38"/>
    <tableColumn id="4" xr3:uid="{32387BB7-12C2-4506-AD4F-F5AEC1836604}" uniqueName="4" name="yr" queryTableFieldId="4" dataDxfId="37"/>
    <tableColumn id="5" xr3:uid="{4B89CC9F-B8FD-45ED-B767-61C7B90EA4D7}" uniqueName="5" name="mnth" queryTableFieldId="5" dataDxfId="36"/>
    <tableColumn id="6" xr3:uid="{5B454BA9-CDAA-427F-802E-770B0028E371}" uniqueName="6" name="hr" queryTableFieldId="6" dataDxfId="35"/>
    <tableColumn id="7" xr3:uid="{69E58C0C-2F28-494C-9848-6F2928D4766C}" uniqueName="7" name="holiday" queryTableFieldId="7" dataDxfId="34"/>
    <tableColumn id="8" xr3:uid="{1807491F-68DC-413F-A32C-B5E4C05BA903}" uniqueName="8" name="weekday" queryTableFieldId="8" dataDxfId="33"/>
    <tableColumn id="9" xr3:uid="{652057E3-47C7-4EDD-B502-B5772D66A436}" uniqueName="9" name="weathersit" queryTableFieldId="9" dataDxfId="32"/>
    <tableColumn id="10" xr3:uid="{436A6E9B-F83F-4FF2-B523-59650999F167}" uniqueName="10" name="temp" queryTableFieldId="10" dataDxfId="31"/>
    <tableColumn id="11" xr3:uid="{8575B88C-1802-4CB4-B581-D080738096F0}" uniqueName="11" name="atemp" queryTableFieldId="11" dataDxfId="30"/>
    <tableColumn id="12" xr3:uid="{094FCB10-6F13-4C94-9669-5A2837993CE1}" uniqueName="12" name="hum" queryTableFieldId="12" dataDxfId="29"/>
    <tableColumn id="13" xr3:uid="{E49A6A76-A079-4F88-8F01-38D280213C05}" uniqueName="13" name="windspeed" queryTableFieldId="13" dataDxfId="28"/>
    <tableColumn id="14" xr3:uid="{66E98102-B67D-4D53-9C68-02A5B4D05609}" uniqueName="14" name="casual" queryTableFieldId="14" dataDxfId="27"/>
    <tableColumn id="15" xr3:uid="{FD46E18E-4B06-4462-A93B-DDD944F35BF0}" uniqueName="15" name="registered" queryTableFieldId="15" dataDxfId="26"/>
    <tableColumn id="16" xr3:uid="{F43D287F-0602-4C8D-AC9C-C0C02A089264}" uniqueName="16" name="cnt" queryTableFieldId="16" dataDxfId="25"/>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93A239-800A-437A-9291-8F88DFC03701}" name="Cleaned_dataset_3" displayName="Cleaned_dataset_3" ref="A1:M391" tableType="queryTable" totalsRowShown="0">
  <autoFilter ref="A1:M391" xr:uid="{CBA11ADC-8915-4B81-A29F-F5789A55A06C}"/>
  <tableColumns count="13">
    <tableColumn id="1" xr3:uid="{F6BA1F41-E7E0-4360-BF50-A467E8C505A6}" uniqueName="1" name="instant" queryTableFieldId="1"/>
    <tableColumn id="2" xr3:uid="{D390BBEA-2191-4A32-BCE6-1C13F6156BEA}" uniqueName="2" name="Date" queryTableFieldId="17" dataDxfId="21"/>
    <tableColumn id="3" xr3:uid="{1C570F26-B93D-4780-8A1F-EECCEBC5ADBB}" uniqueName="3" name="Hour" queryTableFieldId="30"/>
    <tableColumn id="7" xr3:uid="{174B1D85-F41A-4B55-B094-FA7BD0976561}" uniqueName="7" name="Holiday" queryTableFieldId="7"/>
    <tableColumn id="8" xr3:uid="{767412D0-5A32-4DF1-90EB-E9D4B75DE724}" uniqueName="8" name="Weekday" queryTableFieldId="8" dataDxfId="20"/>
    <tableColumn id="9" xr3:uid="{41D811E6-6C69-4EF8-BD34-02455C9611C3}" uniqueName="9" name="Weathersit" queryTableFieldId="9" dataDxfId="19"/>
    <tableColumn id="4" xr3:uid="{FB70672C-6E67-4146-A5FA-C1981A750A40}" uniqueName="4" name="Temp" queryTableFieldId="31"/>
    <tableColumn id="5" xr3:uid="{B73953BE-EDB1-4700-98BD-C1BEDC04A73F}" uniqueName="5" name="Assumed_Temp" queryTableFieldId="20"/>
    <tableColumn id="6" xr3:uid="{32E9F140-2954-4E94-9AB8-20A7A4341AF2}" uniqueName="6" name="Humidity" queryTableFieldId="21"/>
    <tableColumn id="13" xr3:uid="{AAC59D77-97D5-4B3F-98E6-147EA0809AFD}" uniqueName="13" name="Windspeed" queryTableFieldId="13"/>
    <tableColumn id="10" xr3:uid="{3396BA04-FE3D-4EC2-B567-891A43626286}" uniqueName="10" name="Casual_Customers" queryTableFieldId="22"/>
    <tableColumn id="11" xr3:uid="{9D8DE17B-2A9D-4FD3-98E6-273BCD253679}" uniqueName="11" name="Registered_Customers" queryTableFieldId="23"/>
    <tableColumn id="12" xr3:uid="{3AE1CB5D-84E7-4CA8-B2A8-D84967C9E397}" uniqueName="12" name="Total_Count" queryTableFieldId="32"/>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6EE4910-98BD-4FF9-AA67-3075DD33F83A}" name="Dataset_A_1_2" displayName="Dataset_A_1_2" ref="A1:M611" tableType="queryTable" totalsRowShown="0">
  <autoFilter ref="A1:M611" xr:uid="{E6EE4910-98BD-4FF9-AA67-3075DD33F83A}"/>
  <tableColumns count="13">
    <tableColumn id="1" xr3:uid="{7EFAE83F-CA07-4FCD-B7A3-44C89D1CE3B7}" uniqueName="1" name="instant" queryTableFieldId="1"/>
    <tableColumn id="2" xr3:uid="{B2599120-DC45-4805-A1A5-AE3006FBEBDC}" uniqueName="2" name="Date" queryTableFieldId="2" dataDxfId="14"/>
    <tableColumn id="3" xr3:uid="{AF1AE415-A318-4DA7-A6DB-D26E6FC6A952}" uniqueName="3" name="Hour" queryTableFieldId="3"/>
    <tableColumn id="4" xr3:uid="{9E4F4322-E19E-42F3-A1E9-8683A09276F0}" uniqueName="4" name="Holiday" queryTableFieldId="4"/>
    <tableColumn id="5" xr3:uid="{FD779E1F-9E25-42AD-AB3A-AC03CC3D4BDB}" uniqueName="5" name="Weekday" queryTableFieldId="5"/>
    <tableColumn id="6" xr3:uid="{A3F7E131-A977-4E67-86B0-B9D18471863A}" uniqueName="6" name="Weathersit" queryTableFieldId="6"/>
    <tableColumn id="7" xr3:uid="{2A5F94FE-BA27-43E8-9672-9CE65A3C3B73}" uniqueName="7" name="Temp" queryTableFieldId="7"/>
    <tableColumn id="8" xr3:uid="{DC2F060C-18F1-410D-9198-19830DB07FA7}" uniqueName="8" name="Assumed_Temp" queryTableFieldId="8"/>
    <tableColumn id="9" xr3:uid="{24624891-413D-4B67-A83B-43A85D9E47CE}" uniqueName="9" name="Humidity" queryTableFieldId="9"/>
    <tableColumn id="10" xr3:uid="{73A26871-6ECC-4585-82FC-FF5DCCA5A063}" uniqueName="10" name="Windspeed" queryTableFieldId="10"/>
    <tableColumn id="11" xr3:uid="{28BAA343-3A65-4F40-B6D9-47EB0B591C7C}" uniqueName="11" name="Casual_Customers" queryTableFieldId="11"/>
    <tableColumn id="12" xr3:uid="{BD220E82-7EAC-4161-92CB-0D4A4FC6C21A}" uniqueName="12" name="Registered_Customers" queryTableFieldId="12"/>
    <tableColumn id="13" xr3:uid="{85684FD0-CD27-49DF-B98A-644897119F02}" uniqueName="13" name="Total_Count" queryTableFieldId="13"/>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E0C71FC-7335-434F-A7F8-DE0A30474BAB}" name="Final_DataSet_1" displayName="Final_DataSet_1" ref="A1:P1001" tableType="queryTable" totalsRowShown="0">
  <autoFilter ref="A1:P1001" xr:uid="{CE0C71FC-7335-434F-A7F8-DE0A30474BAB}"/>
  <tableColumns count="16">
    <tableColumn id="1" xr3:uid="{12A95E2A-C5E1-4CE9-B902-ED0F99C02594}" uniqueName="1" name="instant" queryTableFieldId="1"/>
    <tableColumn id="2" xr3:uid="{F4BA6149-AE27-4A9C-8F31-DE9BC5E59D8E}" uniqueName="2" name="Date" queryTableFieldId="2" dataDxfId="9"/>
    <tableColumn id="3" xr3:uid="{D828116C-BABA-4169-BF8E-F2DF1A59E5AD}" uniqueName="3" name="Hour" queryTableFieldId="3"/>
    <tableColumn id="4" xr3:uid="{560C0AD6-3A65-4401-836D-FF872BA85FB4}" uniqueName="4" name="Holiday" queryTableFieldId="4"/>
    <tableColumn id="5" xr3:uid="{3C566A7E-E3B9-4B06-8D5B-56154EF047FC}" uniqueName="5" name="Weekday" queryTableFieldId="5"/>
    <tableColumn id="6" xr3:uid="{F44ED17F-737B-4E70-9FFD-1F1DC9FB2E54}" uniqueName="6" name="Weathersit" queryTableFieldId="6"/>
    <tableColumn id="7" xr3:uid="{367DAEA3-BF52-4D0F-A4BA-97E4B445C432}" uniqueName="7" name="Temp" queryTableFieldId="7"/>
    <tableColumn id="8" xr3:uid="{CAA8110B-B582-4EF4-A464-9B911B9EC728}" uniqueName="8" name="Assumed_Temp" queryTableFieldId="8"/>
    <tableColumn id="9" xr3:uid="{545C83FC-A1A1-4C11-A6E8-0BCAD9647E7D}" uniqueName="9" name="Humidity" queryTableFieldId="9"/>
    <tableColumn id="10" xr3:uid="{7D3AE6EA-F9B7-407B-B7F9-1C26F6897F87}" uniqueName="10" name="Windspeed" queryTableFieldId="10"/>
    <tableColumn id="11" xr3:uid="{98DC2E6C-02B1-40CF-B81D-7C8889EC212D}" uniqueName="11" name="Casual_Customers" queryTableFieldId="11"/>
    <tableColumn id="12" xr3:uid="{48C0F5F4-8A18-4833-BC2B-8180CF3A411B}" uniqueName="12" name="Registered_Customers" queryTableFieldId="12"/>
    <tableColumn id="13" xr3:uid="{68D5AA30-CAF8-4954-9A88-84DEE0CD7DFE}" uniqueName="13" name="Total_Count" queryTableFieldId="13"/>
    <tableColumn id="14" xr3:uid="{7D9F5B2C-0BC3-40F1-BC86-850B1FC38932}" uniqueName="14" name="Day_type" queryTableFieldId="14"/>
    <tableColumn id="15" xr3:uid="{D13B0613-B405-430B-A61D-4343A1EEA95C}" uniqueName="15" name="Time_category" queryTableFieldId="15"/>
    <tableColumn id="16" xr3:uid="{F261CFB2-0BFC-4E2B-B845-E4C480AFB5B0}" uniqueName="16" name="Weather_Label" queryTableFieldId="16"/>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0B6A9B5-2E5E-4659-AABF-E4104117F64B}" name="Table8" displayName="Table8" ref="A2:E59" totalsRowShown="0">
  <autoFilter ref="A2:E59" xr:uid="{A0B6A9B5-2E5E-4659-AABF-E4104117F64B}"/>
  <tableColumns count="5">
    <tableColumn id="1" xr3:uid="{9BFECFCC-BDF6-4119-A60C-105ADF0D5116}" name="Date" dataDxfId="8"/>
    <tableColumn id="2" xr3:uid="{36F1585D-E57C-4ABB-9C9D-DDD22A9E7EFC}" name="Total_Count"/>
    <tableColumn id="3" xr3:uid="{65D8769D-A079-45E8-BF2A-1316EF47013D}" name="Forecast(Total_Count)">
      <calculatedColumnFormula>_xlfn.FORECAST.ETS(A3,$B$3:$B$47,$A$3:$A$47,1,1)</calculatedColumnFormula>
    </tableColumn>
    <tableColumn id="4" xr3:uid="{1C1EBE06-052E-4462-99C8-E0FBCF4089B6}" name="Lower Confidence Bound(Total_Count)" dataDxfId="7">
      <calculatedColumnFormula>C3-_xlfn.FORECAST.ETS.CONFINT(A3,$B$3:$B$47,$A$3:$A$47,0.95,1,1)</calculatedColumnFormula>
    </tableColumn>
    <tableColumn id="5" xr3:uid="{10C35A0F-8B1A-4B35-BE19-DC4D62D4D749}" name="Upper Confidence Bound(Total_Count)" dataDxfId="6">
      <calculatedColumnFormula>C3+_xlfn.FORECAST.ETS.CONFINT(A3,$B$3:$B$47,$A$3:$A$47,0.95,1,1)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DCA5C78-4254-437D-9582-11447B86E408}" name="Table10" displayName="Table10" ref="A1:E47" totalsRowShown="0" headerRowDxfId="5" tableBorderDxfId="4">
  <autoFilter ref="A1:E47" xr:uid="{EDCA5C78-4254-437D-9582-11447B86E408}"/>
  <tableColumns count="5">
    <tableColumn id="1" xr3:uid="{3DD928C4-039C-4C9C-BF8C-FC41305690A2}" name="Date"/>
    <tableColumn id="2" xr3:uid="{635B07F3-9310-4D5D-8756-0E9165A214CF}" name="Total_Demand" dataDxfId="3"/>
    <tableColumn id="3" xr3:uid="{A0971849-A32D-40A4-9263-124D5E84C598}" name="Anomaly Status" dataDxfId="2"/>
    <tableColumn id="4" xr3:uid="{E3EC0B2C-0759-4A65-A3FF-4E0F523B4F6A}" name="Normal Demand" dataDxfId="1"/>
    <tableColumn id="5" xr3:uid="{4CFBD601-2341-430E-8D2B-051946E20480}" name="Anomaly Demand" dataDxfId="0"/>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 dockstate="right" visibility="0" width="438" row="6">
    <wetp:webextensionref xmlns:r="http://schemas.openxmlformats.org/officeDocument/2006/relationships" r:id="rId2"/>
  </wetp:taskpane>
</wetp:taskpanes>
</file>

<file path=xl/webextensions/webextension1.xml><?xml version="1.0" encoding="utf-8"?>
<we:webextension xmlns:we="http://schemas.microsoft.com/office/webextensions/webextension/2010/11" id="{17FF38FC-23EA-49F3-9DB7-64ACB58F339D}">
  <we:reference id="wa200005502" version="1.0.0.13" store="en-US" storeType="OMEX"/>
  <we:alternateReferences>
    <we:reference id="wa200005502" version="1.0.0.13" store="wa200005502" storeType="OMEX"/>
  </we:alternateReferences>
  <we:properties>
    <we:property name="docId" value="&quot;PqNRJDk3pI39VMF_36oje&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CDF7817E-56DA-4308-B7D8-8F91BFBB72A7}">
  <we:reference id="wa200005669" version="2.0.0.0" store="en-US" storeType="OMEX"/>
  <we:alternateReferences>
    <we:reference id="wa200005669" version="2.0.0.0" store="wa20000566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8.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2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0.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AB303-9E4E-4984-9439-23D5E6AC37D7}">
  <sheetPr codeName="Sheet1"/>
  <dimension ref="A1:J611"/>
  <sheetViews>
    <sheetView topLeftCell="A580" workbookViewId="0">
      <selection activeCell="P24" sqref="P24"/>
    </sheetView>
  </sheetViews>
  <sheetFormatPr defaultRowHeight="14.4" x14ac:dyDescent="0.3"/>
  <cols>
    <col min="1" max="3" width="11.21875" bestFit="1" customWidth="1"/>
    <col min="4" max="4" width="7" bestFit="1" customWidth="1"/>
    <col min="5" max="5" width="9.77734375" bestFit="1" customWidth="1"/>
    <col min="6" max="6" width="7.109375" bestFit="1" customWidth="1"/>
    <col min="7" max="7" width="11.5546875" bestFit="1" customWidth="1"/>
    <col min="8" max="8" width="12.77734375" bestFit="1" customWidth="1"/>
    <col min="9" max="9" width="14.21875" bestFit="1" customWidth="1"/>
    <col min="10" max="10" width="9.88671875" bestFit="1" customWidth="1"/>
  </cols>
  <sheetData>
    <row r="1" spans="1:10" x14ac:dyDescent="0.3">
      <c r="A1" s="2" t="s">
        <v>0</v>
      </c>
      <c r="B1" s="2" t="s">
        <v>1</v>
      </c>
      <c r="C1" s="2" t="s">
        <v>2</v>
      </c>
      <c r="D1" s="2" t="s">
        <v>3</v>
      </c>
      <c r="E1" s="2" t="s">
        <v>4</v>
      </c>
      <c r="F1" s="2" t="s">
        <v>5</v>
      </c>
      <c r="G1" s="2" t="s">
        <v>6</v>
      </c>
      <c r="H1" s="2" t="s">
        <v>7</v>
      </c>
      <c r="I1" s="2" t="s">
        <v>8</v>
      </c>
      <c r="J1" s="2" t="s">
        <v>9</v>
      </c>
    </row>
    <row r="2" spans="1:10" x14ac:dyDescent="0.3">
      <c r="A2" s="2">
        <v>1</v>
      </c>
      <c r="B2" s="3">
        <v>40544</v>
      </c>
      <c r="C2" s="2">
        <v>1</v>
      </c>
      <c r="D2" s="2">
        <v>0</v>
      </c>
      <c r="E2" s="2">
        <v>1</v>
      </c>
      <c r="F2" s="2">
        <v>0</v>
      </c>
      <c r="G2" s="2" t="b">
        <v>0</v>
      </c>
      <c r="H2" s="2">
        <v>6</v>
      </c>
      <c r="I2" s="2">
        <v>1</v>
      </c>
      <c r="J2" s="2">
        <v>0.24</v>
      </c>
    </row>
    <row r="3" spans="1:10" x14ac:dyDescent="0.3">
      <c r="A3" s="2">
        <v>2</v>
      </c>
      <c r="B3" s="3">
        <v>40544</v>
      </c>
      <c r="C3" s="2">
        <v>1</v>
      </c>
      <c r="D3" s="2">
        <v>0</v>
      </c>
      <c r="E3" s="2">
        <v>1</v>
      </c>
      <c r="F3" s="2">
        <v>1</v>
      </c>
      <c r="G3" s="2" t="b">
        <v>0</v>
      </c>
      <c r="H3" s="2">
        <v>6</v>
      </c>
      <c r="I3" s="2">
        <v>1</v>
      </c>
      <c r="J3" s="2">
        <v>0.22</v>
      </c>
    </row>
    <row r="4" spans="1:10" x14ac:dyDescent="0.3">
      <c r="A4" s="2">
        <v>3</v>
      </c>
      <c r="B4" s="3">
        <v>40544</v>
      </c>
      <c r="C4" s="2">
        <v>1</v>
      </c>
      <c r="D4" s="2">
        <v>0</v>
      </c>
      <c r="E4" s="2">
        <v>1</v>
      </c>
      <c r="F4" s="2">
        <v>2</v>
      </c>
      <c r="G4" s="2" t="b">
        <v>0</v>
      </c>
      <c r="H4" s="2">
        <v>6</v>
      </c>
      <c r="I4" s="2">
        <v>1</v>
      </c>
      <c r="J4" s="2">
        <v>0.22</v>
      </c>
    </row>
    <row r="5" spans="1:10" x14ac:dyDescent="0.3">
      <c r="A5" s="2">
        <v>4</v>
      </c>
      <c r="B5" s="3">
        <v>40544</v>
      </c>
      <c r="C5" s="2">
        <v>1</v>
      </c>
      <c r="D5" s="2">
        <v>0</v>
      </c>
      <c r="E5" s="2">
        <v>1</v>
      </c>
      <c r="F5" s="2">
        <v>3</v>
      </c>
      <c r="G5" s="2" t="b">
        <v>0</v>
      </c>
      <c r="H5" s="2">
        <v>6</v>
      </c>
      <c r="I5" s="2">
        <v>1</v>
      </c>
      <c r="J5" s="2">
        <v>0.24</v>
      </c>
    </row>
    <row r="6" spans="1:10" x14ac:dyDescent="0.3">
      <c r="A6" s="2">
        <v>5</v>
      </c>
      <c r="B6" s="3">
        <v>40544</v>
      </c>
      <c r="C6" s="2">
        <v>1</v>
      </c>
      <c r="D6" s="2">
        <v>0</v>
      </c>
      <c r="E6" s="2">
        <v>1</v>
      </c>
      <c r="F6" s="2">
        <v>4</v>
      </c>
      <c r="G6" s="2" t="b">
        <v>0</v>
      </c>
      <c r="H6" s="2">
        <v>6</v>
      </c>
      <c r="I6" s="2">
        <v>1</v>
      </c>
      <c r="J6" s="2">
        <v>0.24</v>
      </c>
    </row>
    <row r="7" spans="1:10" x14ac:dyDescent="0.3">
      <c r="A7" s="2">
        <v>6</v>
      </c>
      <c r="B7" s="3">
        <v>40544</v>
      </c>
      <c r="C7" s="2">
        <v>1</v>
      </c>
      <c r="D7" s="2">
        <v>0</v>
      </c>
      <c r="E7" s="2">
        <v>1</v>
      </c>
      <c r="F7" s="2">
        <v>5</v>
      </c>
      <c r="G7" s="2" t="b">
        <v>0</v>
      </c>
      <c r="H7" s="2">
        <v>6</v>
      </c>
      <c r="I7" s="2">
        <v>2</v>
      </c>
      <c r="J7" s="2">
        <v>0.24</v>
      </c>
    </row>
    <row r="8" spans="1:10" x14ac:dyDescent="0.3">
      <c r="A8" s="2">
        <v>7</v>
      </c>
      <c r="B8" s="3">
        <v>40544</v>
      </c>
      <c r="C8" s="2">
        <v>1</v>
      </c>
      <c r="D8" s="2">
        <v>0</v>
      </c>
      <c r="E8" s="2">
        <v>1</v>
      </c>
      <c r="F8" s="2">
        <v>6</v>
      </c>
      <c r="G8" s="2" t="b">
        <v>0</v>
      </c>
      <c r="H8" s="2">
        <v>6</v>
      </c>
      <c r="I8" s="2">
        <v>1</v>
      </c>
      <c r="J8" s="2">
        <v>0.22</v>
      </c>
    </row>
    <row r="9" spans="1:10" x14ac:dyDescent="0.3">
      <c r="A9" s="2">
        <v>8</v>
      </c>
      <c r="B9" s="3">
        <v>40544</v>
      </c>
      <c r="C9" s="2">
        <v>1</v>
      </c>
      <c r="D9" s="2">
        <v>0</v>
      </c>
      <c r="E9" s="2">
        <v>1</v>
      </c>
      <c r="F9" s="2">
        <v>7</v>
      </c>
      <c r="G9" s="2" t="b">
        <v>0</v>
      </c>
      <c r="H9" s="2">
        <v>6</v>
      </c>
      <c r="I9" s="2">
        <v>1</v>
      </c>
      <c r="J9" s="2">
        <v>0.2</v>
      </c>
    </row>
    <row r="10" spans="1:10" x14ac:dyDescent="0.3">
      <c r="A10" s="2">
        <v>9</v>
      </c>
      <c r="B10" s="3">
        <v>40544</v>
      </c>
      <c r="C10" s="2">
        <v>1</v>
      </c>
      <c r="D10" s="2">
        <v>0</v>
      </c>
      <c r="E10" s="2">
        <v>1</v>
      </c>
      <c r="F10" s="2">
        <v>8</v>
      </c>
      <c r="G10" s="2" t="b">
        <v>0</v>
      </c>
      <c r="H10" s="2">
        <v>6</v>
      </c>
      <c r="I10" s="2">
        <v>1</v>
      </c>
      <c r="J10" s="2">
        <v>0.24</v>
      </c>
    </row>
    <row r="11" spans="1:10" x14ac:dyDescent="0.3">
      <c r="A11" s="2">
        <v>10</v>
      </c>
      <c r="B11" s="3">
        <v>40544</v>
      </c>
      <c r="C11" s="2">
        <v>1</v>
      </c>
      <c r="D11" s="2">
        <v>0</v>
      </c>
      <c r="E11" s="2">
        <v>1</v>
      </c>
      <c r="F11" s="2">
        <v>9</v>
      </c>
      <c r="G11" s="2" t="b">
        <v>0</v>
      </c>
      <c r="H11" s="2">
        <v>6</v>
      </c>
      <c r="I11" s="2">
        <v>1</v>
      </c>
      <c r="J11" s="2">
        <v>0.32</v>
      </c>
    </row>
    <row r="12" spans="1:10" x14ac:dyDescent="0.3">
      <c r="A12" s="2">
        <v>11</v>
      </c>
      <c r="B12" s="3">
        <v>40544</v>
      </c>
      <c r="C12" s="2">
        <v>1</v>
      </c>
      <c r="D12" s="2">
        <v>0</v>
      </c>
      <c r="E12" s="2">
        <v>1</v>
      </c>
      <c r="F12" s="2">
        <v>10</v>
      </c>
      <c r="G12" s="2" t="b">
        <v>0</v>
      </c>
      <c r="H12" s="2">
        <v>6</v>
      </c>
      <c r="I12" s="2">
        <v>1</v>
      </c>
      <c r="J12" s="2">
        <v>0.38</v>
      </c>
    </row>
    <row r="13" spans="1:10" x14ac:dyDescent="0.3">
      <c r="A13" s="2">
        <v>12</v>
      </c>
      <c r="B13" s="3">
        <v>40544</v>
      </c>
      <c r="C13" s="2">
        <v>1</v>
      </c>
      <c r="D13" s="2">
        <v>0</v>
      </c>
      <c r="E13" s="2">
        <v>1</v>
      </c>
      <c r="F13" s="2">
        <v>11</v>
      </c>
      <c r="G13" s="2" t="b">
        <v>0</v>
      </c>
      <c r="H13" s="2">
        <v>6</v>
      </c>
      <c r="I13" s="2">
        <v>1</v>
      </c>
      <c r="J13" s="2">
        <v>0.36</v>
      </c>
    </row>
    <row r="14" spans="1:10" x14ac:dyDescent="0.3">
      <c r="A14" s="2">
        <v>13</v>
      </c>
      <c r="B14" s="3">
        <v>40544</v>
      </c>
      <c r="C14" s="2">
        <v>1</v>
      </c>
      <c r="D14" s="2">
        <v>0</v>
      </c>
      <c r="E14" s="2">
        <v>1</v>
      </c>
      <c r="F14" s="2">
        <v>12</v>
      </c>
      <c r="G14" s="2" t="b">
        <v>0</v>
      </c>
      <c r="H14" s="2">
        <v>6</v>
      </c>
      <c r="I14" s="2">
        <v>1</v>
      </c>
      <c r="J14" s="2">
        <v>0.42</v>
      </c>
    </row>
    <row r="15" spans="1:10" x14ac:dyDescent="0.3">
      <c r="A15" s="2">
        <v>14</v>
      </c>
      <c r="B15" s="3">
        <v>40544</v>
      </c>
      <c r="C15" s="2">
        <v>1</v>
      </c>
      <c r="D15" s="2">
        <v>0</v>
      </c>
      <c r="E15" s="2">
        <v>1</v>
      </c>
      <c r="F15" s="2">
        <v>13</v>
      </c>
      <c r="G15" s="2" t="b">
        <v>0</v>
      </c>
      <c r="H15" s="2">
        <v>6</v>
      </c>
      <c r="I15" s="2">
        <v>2</v>
      </c>
      <c r="J15" s="2">
        <v>0.46</v>
      </c>
    </row>
    <row r="16" spans="1:10" x14ac:dyDescent="0.3">
      <c r="A16" s="2">
        <v>15</v>
      </c>
      <c r="B16" s="3">
        <v>40544</v>
      </c>
      <c r="C16" s="2">
        <v>1</v>
      </c>
      <c r="D16" s="2">
        <v>0</v>
      </c>
      <c r="E16" s="2">
        <v>1</v>
      </c>
      <c r="F16" s="2">
        <v>14</v>
      </c>
      <c r="G16" s="2" t="b">
        <v>0</v>
      </c>
      <c r="H16" s="2">
        <v>6</v>
      </c>
      <c r="I16" s="2">
        <v>2</v>
      </c>
      <c r="J16" s="2">
        <v>0.46</v>
      </c>
    </row>
    <row r="17" spans="1:10" x14ac:dyDescent="0.3">
      <c r="A17" s="2">
        <v>16</v>
      </c>
      <c r="B17" s="3">
        <v>40544</v>
      </c>
      <c r="C17" s="2">
        <v>1</v>
      </c>
      <c r="D17" s="2">
        <v>0</v>
      </c>
      <c r="E17" s="2">
        <v>1</v>
      </c>
      <c r="F17" s="2">
        <v>15</v>
      </c>
      <c r="G17" s="2" t="b">
        <v>0</v>
      </c>
      <c r="H17" s="2">
        <v>6</v>
      </c>
      <c r="I17" s="2">
        <v>2</v>
      </c>
      <c r="J17" s="2">
        <v>0.44</v>
      </c>
    </row>
    <row r="18" spans="1:10" x14ac:dyDescent="0.3">
      <c r="A18" s="2">
        <v>17</v>
      </c>
      <c r="B18" s="3">
        <v>40544</v>
      </c>
      <c r="C18" s="2">
        <v>1</v>
      </c>
      <c r="D18" s="2">
        <v>0</v>
      </c>
      <c r="E18" s="2">
        <v>1</v>
      </c>
      <c r="F18" s="2">
        <v>16</v>
      </c>
      <c r="G18" s="2" t="b">
        <v>0</v>
      </c>
      <c r="H18" s="2">
        <v>6</v>
      </c>
      <c r="I18" s="2">
        <v>2</v>
      </c>
      <c r="J18" s="2">
        <v>0.42</v>
      </c>
    </row>
    <row r="19" spans="1:10" x14ac:dyDescent="0.3">
      <c r="A19" s="2">
        <v>18</v>
      </c>
      <c r="B19" s="3">
        <v>40544</v>
      </c>
      <c r="C19" s="2">
        <v>1</v>
      </c>
      <c r="D19" s="2">
        <v>0</v>
      </c>
      <c r="E19" s="2">
        <v>1</v>
      </c>
      <c r="F19" s="2">
        <v>17</v>
      </c>
      <c r="G19" s="2" t="b">
        <v>0</v>
      </c>
      <c r="H19" s="2">
        <v>6</v>
      </c>
      <c r="I19" s="2">
        <v>2</v>
      </c>
      <c r="J19" s="2">
        <v>0.44</v>
      </c>
    </row>
    <row r="20" spans="1:10" x14ac:dyDescent="0.3">
      <c r="A20" s="2">
        <v>19</v>
      </c>
      <c r="B20" s="3">
        <v>40544</v>
      </c>
      <c r="C20" s="2">
        <v>1</v>
      </c>
      <c r="D20" s="2">
        <v>0</v>
      </c>
      <c r="E20" s="2">
        <v>1</v>
      </c>
      <c r="F20" s="2">
        <v>18</v>
      </c>
      <c r="G20" s="2" t="b">
        <v>0</v>
      </c>
      <c r="H20" s="2">
        <v>6</v>
      </c>
      <c r="I20" s="2">
        <v>3</v>
      </c>
      <c r="J20" s="2">
        <v>0.42</v>
      </c>
    </row>
    <row r="21" spans="1:10" x14ac:dyDescent="0.3">
      <c r="A21" s="2">
        <v>20</v>
      </c>
      <c r="B21" s="3">
        <v>40544</v>
      </c>
      <c r="C21" s="2">
        <v>1</v>
      </c>
      <c r="D21" s="2">
        <v>0</v>
      </c>
      <c r="E21" s="2">
        <v>1</v>
      </c>
      <c r="F21" s="2">
        <v>19</v>
      </c>
      <c r="G21" s="2" t="b">
        <v>0</v>
      </c>
      <c r="H21" s="2">
        <v>6</v>
      </c>
      <c r="I21" s="2">
        <v>3</v>
      </c>
      <c r="J21" s="2">
        <v>0.42</v>
      </c>
    </row>
    <row r="22" spans="1:10" x14ac:dyDescent="0.3">
      <c r="A22" s="2">
        <v>21</v>
      </c>
      <c r="B22" s="3">
        <v>40544</v>
      </c>
      <c r="C22" s="2">
        <v>1</v>
      </c>
      <c r="D22" s="2">
        <v>0</v>
      </c>
      <c r="E22" s="2">
        <v>1</v>
      </c>
      <c r="F22" s="2">
        <v>20</v>
      </c>
      <c r="G22" s="2" t="b">
        <v>0</v>
      </c>
      <c r="H22" s="2">
        <v>6</v>
      </c>
      <c r="I22" s="2">
        <v>2</v>
      </c>
      <c r="J22" s="2">
        <v>0.4</v>
      </c>
    </row>
    <row r="23" spans="1:10" x14ac:dyDescent="0.3">
      <c r="A23" s="2">
        <v>22</v>
      </c>
      <c r="B23" s="3">
        <v>40544</v>
      </c>
      <c r="C23" s="2">
        <v>1</v>
      </c>
      <c r="D23" s="2">
        <v>0</v>
      </c>
      <c r="E23" s="2">
        <v>1</v>
      </c>
      <c r="F23" s="2">
        <v>21</v>
      </c>
      <c r="G23" s="2" t="b">
        <v>0</v>
      </c>
      <c r="H23" s="2">
        <v>6</v>
      </c>
      <c r="I23" s="2">
        <v>2</v>
      </c>
      <c r="J23" s="2">
        <v>0.4</v>
      </c>
    </row>
    <row r="24" spans="1:10" x14ac:dyDescent="0.3">
      <c r="A24" s="2">
        <v>23</v>
      </c>
      <c r="B24" s="3">
        <v>40544</v>
      </c>
      <c r="C24" s="2">
        <v>1</v>
      </c>
      <c r="D24" s="2">
        <v>0</v>
      </c>
      <c r="E24" s="2">
        <v>1</v>
      </c>
      <c r="F24" s="2">
        <v>22</v>
      </c>
      <c r="G24" s="2" t="b">
        <v>0</v>
      </c>
      <c r="H24" s="2">
        <v>6</v>
      </c>
      <c r="I24" s="2">
        <v>2</v>
      </c>
      <c r="J24" s="2">
        <v>0.4</v>
      </c>
    </row>
    <row r="25" spans="1:10" x14ac:dyDescent="0.3">
      <c r="A25" s="2">
        <v>24</v>
      </c>
      <c r="B25" s="3">
        <v>40544</v>
      </c>
      <c r="C25" s="2">
        <v>1</v>
      </c>
      <c r="D25" s="2">
        <v>0</v>
      </c>
      <c r="E25" s="2">
        <v>1</v>
      </c>
      <c r="F25" s="2">
        <v>23</v>
      </c>
      <c r="G25" s="2" t="b">
        <v>0</v>
      </c>
      <c r="H25" s="2">
        <v>6</v>
      </c>
      <c r="I25" s="2">
        <v>2</v>
      </c>
      <c r="J25" s="2">
        <v>0.46</v>
      </c>
    </row>
    <row r="26" spans="1:10" x14ac:dyDescent="0.3">
      <c r="A26" s="2">
        <v>25</v>
      </c>
      <c r="B26" s="3">
        <v>40545</v>
      </c>
      <c r="C26" s="2">
        <v>1</v>
      </c>
      <c r="D26" s="2">
        <v>0</v>
      </c>
      <c r="E26" s="2">
        <v>1</v>
      </c>
      <c r="F26" s="2">
        <v>0</v>
      </c>
      <c r="G26" s="2" t="b">
        <v>0</v>
      </c>
      <c r="H26" s="2">
        <v>0</v>
      </c>
      <c r="I26" s="2">
        <v>2</v>
      </c>
      <c r="J26" s="2">
        <v>0.46</v>
      </c>
    </row>
    <row r="27" spans="1:10" x14ac:dyDescent="0.3">
      <c r="A27" s="2">
        <v>26</v>
      </c>
      <c r="B27" s="3">
        <v>40545</v>
      </c>
      <c r="C27" s="2">
        <v>1</v>
      </c>
      <c r="D27" s="2">
        <v>0</v>
      </c>
      <c r="E27" s="2">
        <v>1</v>
      </c>
      <c r="F27" s="2">
        <v>1</v>
      </c>
      <c r="G27" s="2" t="b">
        <v>0</v>
      </c>
      <c r="H27" s="2">
        <v>0</v>
      </c>
      <c r="I27" s="2">
        <v>2</v>
      </c>
      <c r="J27" s="2">
        <v>0.44</v>
      </c>
    </row>
    <row r="28" spans="1:10" x14ac:dyDescent="0.3">
      <c r="A28" s="2">
        <v>27</v>
      </c>
      <c r="B28" s="3">
        <v>40545</v>
      </c>
      <c r="C28" s="2">
        <v>1</v>
      </c>
      <c r="D28" s="2">
        <v>0</v>
      </c>
      <c r="E28" s="2">
        <v>1</v>
      </c>
      <c r="F28" s="2">
        <v>2</v>
      </c>
      <c r="G28" s="2" t="b">
        <v>0</v>
      </c>
      <c r="H28" s="2">
        <v>0</v>
      </c>
      <c r="I28" s="2">
        <v>2</v>
      </c>
      <c r="J28" s="2">
        <v>0.42</v>
      </c>
    </row>
    <row r="29" spans="1:10" x14ac:dyDescent="0.3">
      <c r="A29" s="2">
        <v>28</v>
      </c>
      <c r="B29" s="3">
        <v>40545</v>
      </c>
      <c r="C29" s="2">
        <v>1</v>
      </c>
      <c r="D29" s="2">
        <v>0</v>
      </c>
      <c r="E29" s="2">
        <v>1</v>
      </c>
      <c r="F29" s="2">
        <v>3</v>
      </c>
      <c r="G29" s="2" t="b">
        <v>0</v>
      </c>
      <c r="H29" s="2">
        <v>0</v>
      </c>
      <c r="I29" s="2">
        <v>2</v>
      </c>
      <c r="J29" s="2">
        <v>0.46</v>
      </c>
    </row>
    <row r="30" spans="1:10" x14ac:dyDescent="0.3">
      <c r="A30" s="2">
        <v>29</v>
      </c>
      <c r="B30" s="3">
        <v>40545</v>
      </c>
      <c r="C30" s="2">
        <v>1</v>
      </c>
      <c r="D30" s="2">
        <v>0</v>
      </c>
      <c r="E30" s="2">
        <v>1</v>
      </c>
      <c r="F30" s="2">
        <v>4</v>
      </c>
      <c r="G30" s="2" t="b">
        <v>0</v>
      </c>
      <c r="H30" s="2">
        <v>0</v>
      </c>
      <c r="I30" s="2">
        <v>2</v>
      </c>
      <c r="J30" s="2">
        <v>0.46</v>
      </c>
    </row>
    <row r="31" spans="1:10" x14ac:dyDescent="0.3">
      <c r="A31" s="2">
        <v>30</v>
      </c>
      <c r="B31" s="3">
        <v>40545</v>
      </c>
      <c r="C31" s="2">
        <v>1</v>
      </c>
      <c r="D31" s="2">
        <v>0</v>
      </c>
      <c r="E31" s="2">
        <v>1</v>
      </c>
      <c r="F31" s="2">
        <v>6</v>
      </c>
      <c r="G31" s="2" t="b">
        <v>0</v>
      </c>
      <c r="H31" s="2">
        <v>0</v>
      </c>
      <c r="I31" s="2">
        <v>3</v>
      </c>
      <c r="J31" s="2">
        <v>0.42</v>
      </c>
    </row>
    <row r="32" spans="1:10" x14ac:dyDescent="0.3">
      <c r="A32" s="2">
        <v>31</v>
      </c>
      <c r="B32" s="3">
        <v>40545</v>
      </c>
      <c r="C32" s="2">
        <v>1</v>
      </c>
      <c r="D32" s="2">
        <v>0</v>
      </c>
      <c r="E32" s="2">
        <v>1</v>
      </c>
      <c r="F32" s="2">
        <v>7</v>
      </c>
      <c r="G32" s="2" t="b">
        <v>0</v>
      </c>
      <c r="H32" s="2">
        <v>0</v>
      </c>
      <c r="I32" s="2">
        <v>2</v>
      </c>
      <c r="J32" s="2">
        <v>0.4</v>
      </c>
    </row>
    <row r="33" spans="1:10" x14ac:dyDescent="0.3">
      <c r="A33" s="2">
        <v>32</v>
      </c>
      <c r="B33" s="3">
        <v>40545</v>
      </c>
      <c r="C33" s="2">
        <v>1</v>
      </c>
      <c r="D33" s="2">
        <v>0</v>
      </c>
      <c r="E33" s="2">
        <v>1</v>
      </c>
      <c r="F33" s="2">
        <v>8</v>
      </c>
      <c r="G33" s="2" t="b">
        <v>0</v>
      </c>
      <c r="H33" s="2">
        <v>0</v>
      </c>
      <c r="I33" s="2">
        <v>3</v>
      </c>
      <c r="J33" s="2">
        <v>0.4</v>
      </c>
    </row>
    <row r="34" spans="1:10" x14ac:dyDescent="0.3">
      <c r="A34" s="2">
        <v>33</v>
      </c>
      <c r="B34" s="3">
        <v>40545</v>
      </c>
      <c r="C34" s="2">
        <v>1</v>
      </c>
      <c r="D34" s="2">
        <v>0</v>
      </c>
      <c r="E34" s="2">
        <v>1</v>
      </c>
      <c r="F34" s="2">
        <v>9</v>
      </c>
      <c r="G34" s="2" t="b">
        <v>0</v>
      </c>
      <c r="H34" s="2">
        <v>0</v>
      </c>
      <c r="I34" s="2">
        <v>2</v>
      </c>
      <c r="J34" s="2">
        <v>0.38</v>
      </c>
    </row>
    <row r="35" spans="1:10" x14ac:dyDescent="0.3">
      <c r="A35" s="2">
        <v>34</v>
      </c>
      <c r="B35" s="3">
        <v>40545</v>
      </c>
      <c r="C35" s="2">
        <v>1</v>
      </c>
      <c r="D35" s="2">
        <v>0</v>
      </c>
      <c r="E35" s="2">
        <v>1</v>
      </c>
      <c r="F35" s="2">
        <v>10</v>
      </c>
      <c r="G35" s="2" t="b">
        <v>0</v>
      </c>
      <c r="H35" s="2">
        <v>0</v>
      </c>
      <c r="I35" s="2">
        <v>2</v>
      </c>
      <c r="J35" s="2">
        <v>0.36</v>
      </c>
    </row>
    <row r="36" spans="1:10" x14ac:dyDescent="0.3">
      <c r="A36" s="2">
        <v>35</v>
      </c>
      <c r="B36" s="3">
        <v>40545</v>
      </c>
      <c r="C36" s="2">
        <v>1</v>
      </c>
      <c r="D36" s="2">
        <v>0</v>
      </c>
      <c r="E36" s="2">
        <v>1</v>
      </c>
      <c r="F36" s="2">
        <v>11</v>
      </c>
      <c r="G36" s="2" t="b">
        <v>0</v>
      </c>
      <c r="H36" s="2">
        <v>0</v>
      </c>
      <c r="I36" s="2">
        <v>2</v>
      </c>
      <c r="J36" s="2">
        <v>0.36</v>
      </c>
    </row>
    <row r="37" spans="1:10" x14ac:dyDescent="0.3">
      <c r="A37" s="2">
        <v>36</v>
      </c>
      <c r="B37" s="3">
        <v>40545</v>
      </c>
      <c r="C37" s="2">
        <v>1</v>
      </c>
      <c r="D37" s="2">
        <v>0</v>
      </c>
      <c r="E37" s="2">
        <v>1</v>
      </c>
      <c r="F37" s="2">
        <v>12</v>
      </c>
      <c r="G37" s="2" t="b">
        <v>0</v>
      </c>
      <c r="H37" s="2">
        <v>0</v>
      </c>
      <c r="I37" s="2">
        <v>2</v>
      </c>
      <c r="J37" s="2">
        <v>0.36</v>
      </c>
    </row>
    <row r="38" spans="1:10" x14ac:dyDescent="0.3">
      <c r="A38" s="2">
        <v>37</v>
      </c>
      <c r="B38" s="3">
        <v>40545</v>
      </c>
      <c r="C38" s="2">
        <v>1</v>
      </c>
      <c r="D38" s="2">
        <v>0</v>
      </c>
      <c r="E38" s="2">
        <v>1</v>
      </c>
      <c r="F38" s="2">
        <v>13</v>
      </c>
      <c r="G38" s="2" t="b">
        <v>0</v>
      </c>
      <c r="H38" s="2">
        <v>0</v>
      </c>
      <c r="I38" s="2">
        <v>2</v>
      </c>
      <c r="J38" s="2">
        <v>0.36</v>
      </c>
    </row>
    <row r="39" spans="1:10" x14ac:dyDescent="0.3">
      <c r="A39" s="2">
        <v>38</v>
      </c>
      <c r="B39" s="3">
        <v>40545</v>
      </c>
      <c r="C39" s="2">
        <v>1</v>
      </c>
      <c r="D39" s="2">
        <v>0</v>
      </c>
      <c r="E39" s="2">
        <v>1</v>
      </c>
      <c r="F39" s="2">
        <v>14</v>
      </c>
      <c r="G39" s="2" t="b">
        <v>0</v>
      </c>
      <c r="H39" s="2">
        <v>0</v>
      </c>
      <c r="I39" s="2">
        <v>3</v>
      </c>
      <c r="J39" s="2">
        <v>0.36</v>
      </c>
    </row>
    <row r="40" spans="1:10" x14ac:dyDescent="0.3">
      <c r="A40" s="2">
        <v>39</v>
      </c>
      <c r="B40" s="3">
        <v>40545</v>
      </c>
      <c r="C40" s="2">
        <v>1</v>
      </c>
      <c r="D40" s="2">
        <v>0</v>
      </c>
      <c r="E40" s="2">
        <v>1</v>
      </c>
      <c r="F40" s="2">
        <v>15</v>
      </c>
      <c r="G40" s="2" t="b">
        <v>0</v>
      </c>
      <c r="H40" s="2">
        <v>0</v>
      </c>
      <c r="I40" s="2">
        <v>3</v>
      </c>
      <c r="J40" s="2">
        <v>0.34</v>
      </c>
    </row>
    <row r="41" spans="1:10" x14ac:dyDescent="0.3">
      <c r="A41" s="2">
        <v>40</v>
      </c>
      <c r="B41" s="3">
        <v>40545</v>
      </c>
      <c r="C41" s="2">
        <v>1</v>
      </c>
      <c r="D41" s="2">
        <v>0</v>
      </c>
      <c r="E41" s="2">
        <v>1</v>
      </c>
      <c r="F41" s="2">
        <v>16</v>
      </c>
      <c r="G41" s="2" t="b">
        <v>0</v>
      </c>
      <c r="H41" s="2">
        <v>0</v>
      </c>
      <c r="I41" s="2">
        <v>3</v>
      </c>
      <c r="J41" s="2">
        <v>0.34</v>
      </c>
    </row>
    <row r="42" spans="1:10" x14ac:dyDescent="0.3">
      <c r="A42" s="2">
        <v>41</v>
      </c>
      <c r="B42" s="3">
        <v>40545</v>
      </c>
      <c r="C42" s="2">
        <v>1</v>
      </c>
      <c r="D42" s="2">
        <v>0</v>
      </c>
      <c r="E42" s="2">
        <v>1</v>
      </c>
      <c r="F42" s="2">
        <v>17</v>
      </c>
      <c r="G42" s="2" t="b">
        <v>0</v>
      </c>
      <c r="H42" s="2">
        <v>0</v>
      </c>
      <c r="I42" s="2">
        <v>1</v>
      </c>
      <c r="J42" s="2">
        <v>0.34</v>
      </c>
    </row>
    <row r="43" spans="1:10" x14ac:dyDescent="0.3">
      <c r="A43" s="2">
        <v>42</v>
      </c>
      <c r="B43" s="3">
        <v>40545</v>
      </c>
      <c r="C43" s="2">
        <v>1</v>
      </c>
      <c r="D43" s="2">
        <v>0</v>
      </c>
      <c r="E43" s="2">
        <v>1</v>
      </c>
      <c r="F43" s="2">
        <v>18</v>
      </c>
      <c r="G43" s="2" t="b">
        <v>0</v>
      </c>
      <c r="H43" s="2">
        <v>0</v>
      </c>
      <c r="I43" s="2">
        <v>2</v>
      </c>
      <c r="J43" s="2">
        <v>0.36</v>
      </c>
    </row>
    <row r="44" spans="1:10" x14ac:dyDescent="0.3">
      <c r="A44" s="2">
        <v>43</v>
      </c>
      <c r="B44" s="3">
        <v>40545</v>
      </c>
      <c r="C44" s="2">
        <v>1</v>
      </c>
      <c r="D44" s="2">
        <v>0</v>
      </c>
      <c r="E44" s="2">
        <v>1</v>
      </c>
      <c r="F44" s="2">
        <v>19</v>
      </c>
      <c r="G44" s="2" t="b">
        <v>0</v>
      </c>
      <c r="H44" s="2">
        <v>0</v>
      </c>
      <c r="I44" s="2">
        <v>1</v>
      </c>
      <c r="J44" s="2">
        <v>0.32</v>
      </c>
    </row>
    <row r="45" spans="1:10" x14ac:dyDescent="0.3">
      <c r="A45" s="2">
        <v>44</v>
      </c>
      <c r="B45" s="3">
        <v>40545</v>
      </c>
      <c r="C45" s="2">
        <v>1</v>
      </c>
      <c r="D45" s="2">
        <v>0</v>
      </c>
      <c r="E45" s="2">
        <v>1</v>
      </c>
      <c r="F45" s="2">
        <v>20</v>
      </c>
      <c r="G45" s="2" t="b">
        <v>0</v>
      </c>
      <c r="H45" s="2">
        <v>0</v>
      </c>
      <c r="I45" s="2">
        <v>1</v>
      </c>
      <c r="J45" s="2">
        <v>0.3</v>
      </c>
    </row>
    <row r="46" spans="1:10" x14ac:dyDescent="0.3">
      <c r="A46" s="2">
        <v>45</v>
      </c>
      <c r="B46" s="3">
        <v>40545</v>
      </c>
      <c r="C46" s="2">
        <v>1</v>
      </c>
      <c r="D46" s="2">
        <v>0</v>
      </c>
      <c r="E46" s="2">
        <v>1</v>
      </c>
      <c r="F46" s="2">
        <v>21</v>
      </c>
      <c r="G46" s="2" t="b">
        <v>0</v>
      </c>
      <c r="H46" s="2">
        <v>0</v>
      </c>
      <c r="I46" s="2">
        <v>1</v>
      </c>
      <c r="J46" s="2">
        <v>0.26</v>
      </c>
    </row>
    <row r="47" spans="1:10" x14ac:dyDescent="0.3">
      <c r="A47" s="2">
        <v>46</v>
      </c>
      <c r="B47" s="3">
        <v>40545</v>
      </c>
      <c r="C47" s="2">
        <v>1</v>
      </c>
      <c r="D47" s="2">
        <v>0</v>
      </c>
      <c r="E47" s="2">
        <v>1</v>
      </c>
      <c r="F47" s="2">
        <v>22</v>
      </c>
      <c r="G47" s="2" t="b">
        <v>0</v>
      </c>
      <c r="H47" s="2">
        <v>0</v>
      </c>
      <c r="I47" s="2">
        <v>1</v>
      </c>
      <c r="J47" s="2">
        <v>0.24</v>
      </c>
    </row>
    <row r="48" spans="1:10" x14ac:dyDescent="0.3">
      <c r="A48" s="2">
        <v>47</v>
      </c>
      <c r="B48" s="3">
        <v>40545</v>
      </c>
      <c r="C48" s="2">
        <v>1</v>
      </c>
      <c r="D48" s="2">
        <v>0</v>
      </c>
      <c r="E48" s="2">
        <v>1</v>
      </c>
      <c r="F48" s="2">
        <v>23</v>
      </c>
      <c r="G48" s="2" t="b">
        <v>0</v>
      </c>
      <c r="H48" s="2">
        <v>0</v>
      </c>
      <c r="I48" s="2">
        <v>1</v>
      </c>
      <c r="J48" s="2">
        <v>0.22</v>
      </c>
    </row>
    <row r="49" spans="1:10" x14ac:dyDescent="0.3">
      <c r="A49" s="2">
        <v>48</v>
      </c>
      <c r="B49" s="3">
        <v>40546</v>
      </c>
      <c r="C49" s="2">
        <v>1</v>
      </c>
      <c r="D49" s="2">
        <v>0</v>
      </c>
      <c r="E49" s="2">
        <v>1</v>
      </c>
      <c r="F49" s="2">
        <v>0</v>
      </c>
      <c r="G49" s="2" t="b">
        <v>0</v>
      </c>
      <c r="H49" s="2">
        <v>1</v>
      </c>
      <c r="I49" s="2">
        <v>1</v>
      </c>
      <c r="J49" s="2">
        <v>0.22</v>
      </c>
    </row>
    <row r="50" spans="1:10" x14ac:dyDescent="0.3">
      <c r="A50" s="2">
        <v>49</v>
      </c>
      <c r="B50" s="3">
        <v>40546</v>
      </c>
      <c r="C50" s="2">
        <v>1</v>
      </c>
      <c r="D50" s="2">
        <v>0</v>
      </c>
      <c r="E50" s="2">
        <v>1</v>
      </c>
      <c r="F50" s="2">
        <v>1</v>
      </c>
      <c r="G50" s="2" t="b">
        <v>0</v>
      </c>
      <c r="H50" s="2">
        <v>1</v>
      </c>
      <c r="I50" s="2">
        <v>1</v>
      </c>
      <c r="J50" s="2">
        <v>0.2</v>
      </c>
    </row>
    <row r="51" spans="1:10" x14ac:dyDescent="0.3">
      <c r="A51" s="2">
        <v>50</v>
      </c>
      <c r="B51" s="3">
        <v>40546</v>
      </c>
      <c r="C51" s="2">
        <v>1</v>
      </c>
      <c r="D51" s="2">
        <v>0</v>
      </c>
      <c r="E51" s="2">
        <v>1</v>
      </c>
      <c r="F51" s="2">
        <v>4</v>
      </c>
      <c r="G51" s="2" t="b">
        <v>0</v>
      </c>
      <c r="H51" s="2">
        <v>1</v>
      </c>
      <c r="I51" s="2">
        <v>1</v>
      </c>
      <c r="J51" s="2">
        <v>0.16</v>
      </c>
    </row>
    <row r="52" spans="1:10" x14ac:dyDescent="0.3">
      <c r="A52" s="2">
        <v>51</v>
      </c>
      <c r="B52" s="3">
        <v>40546</v>
      </c>
      <c r="C52" s="2">
        <v>1</v>
      </c>
      <c r="D52" s="2">
        <v>0</v>
      </c>
      <c r="E52" s="2">
        <v>1</v>
      </c>
      <c r="F52" s="2">
        <v>5</v>
      </c>
      <c r="G52" s="2" t="b">
        <v>0</v>
      </c>
      <c r="H52" s="2">
        <v>1</v>
      </c>
      <c r="I52" s="2">
        <v>1</v>
      </c>
      <c r="J52" s="2">
        <v>0.16</v>
      </c>
    </row>
    <row r="53" spans="1:10" x14ac:dyDescent="0.3">
      <c r="A53" s="2">
        <v>52</v>
      </c>
      <c r="B53" s="3">
        <v>40546</v>
      </c>
      <c r="C53" s="2">
        <v>1</v>
      </c>
      <c r="D53" s="2">
        <v>0</v>
      </c>
      <c r="E53" s="2">
        <v>1</v>
      </c>
      <c r="F53" s="2">
        <v>6</v>
      </c>
      <c r="G53" s="2" t="b">
        <v>0</v>
      </c>
      <c r="H53" s="2">
        <v>1</v>
      </c>
      <c r="I53" s="2">
        <v>1</v>
      </c>
      <c r="J53" s="2">
        <v>0.14000000000000001</v>
      </c>
    </row>
    <row r="54" spans="1:10" x14ac:dyDescent="0.3">
      <c r="A54" s="2">
        <v>53</v>
      </c>
      <c r="B54" s="3">
        <v>40546</v>
      </c>
      <c r="C54" s="2">
        <v>1</v>
      </c>
      <c r="D54" s="2">
        <v>0</v>
      </c>
      <c r="E54" s="2">
        <v>1</v>
      </c>
      <c r="F54" s="2">
        <v>7</v>
      </c>
      <c r="G54" s="2" t="b">
        <v>0</v>
      </c>
      <c r="H54" s="2">
        <v>1</v>
      </c>
      <c r="I54" s="2">
        <v>1</v>
      </c>
      <c r="J54" s="2">
        <v>0.14000000000000001</v>
      </c>
    </row>
    <row r="55" spans="1:10" x14ac:dyDescent="0.3">
      <c r="A55" s="2">
        <v>54</v>
      </c>
      <c r="B55" s="3">
        <v>40546</v>
      </c>
      <c r="C55" s="2">
        <v>1</v>
      </c>
      <c r="D55" s="2">
        <v>0</v>
      </c>
      <c r="E55" s="2">
        <v>1</v>
      </c>
      <c r="F55" s="2">
        <v>8</v>
      </c>
      <c r="G55" s="2" t="b">
        <v>0</v>
      </c>
      <c r="H55" s="2">
        <v>1</v>
      </c>
      <c r="I55" s="2">
        <v>1</v>
      </c>
      <c r="J55" s="2">
        <v>0.14000000000000001</v>
      </c>
    </row>
    <row r="56" spans="1:10" x14ac:dyDescent="0.3">
      <c r="A56" s="2">
        <v>55</v>
      </c>
      <c r="B56" s="3">
        <v>40546</v>
      </c>
      <c r="C56" s="2">
        <v>1</v>
      </c>
      <c r="D56" s="2">
        <v>0</v>
      </c>
      <c r="E56" s="2">
        <v>1</v>
      </c>
      <c r="F56" s="2">
        <v>9</v>
      </c>
      <c r="G56" s="2" t="b">
        <v>0</v>
      </c>
      <c r="H56" s="2">
        <v>1</v>
      </c>
      <c r="I56" s="2">
        <v>1</v>
      </c>
      <c r="J56" s="2">
        <v>0.16</v>
      </c>
    </row>
    <row r="57" spans="1:10" x14ac:dyDescent="0.3">
      <c r="A57" s="2">
        <v>56</v>
      </c>
      <c r="B57" s="3">
        <v>40546</v>
      </c>
      <c r="C57" s="2">
        <v>1</v>
      </c>
      <c r="D57" s="2">
        <v>0</v>
      </c>
      <c r="E57" s="2">
        <v>1</v>
      </c>
      <c r="F57" s="2">
        <v>10</v>
      </c>
      <c r="G57" s="2" t="b">
        <v>0</v>
      </c>
      <c r="H57" s="2">
        <v>1</v>
      </c>
      <c r="I57" s="2">
        <v>1</v>
      </c>
      <c r="J57" s="2">
        <v>0.18</v>
      </c>
    </row>
    <row r="58" spans="1:10" x14ac:dyDescent="0.3">
      <c r="A58" s="2">
        <v>57</v>
      </c>
      <c r="B58" s="3">
        <v>40546</v>
      </c>
      <c r="C58" s="2">
        <v>1</v>
      </c>
      <c r="D58" s="2">
        <v>0</v>
      </c>
      <c r="E58" s="2">
        <v>1</v>
      </c>
      <c r="F58" s="2">
        <v>11</v>
      </c>
      <c r="G58" s="2" t="b">
        <v>0</v>
      </c>
      <c r="H58" s="2">
        <v>1</v>
      </c>
      <c r="I58" s="2">
        <v>1</v>
      </c>
      <c r="J58" s="2">
        <v>0.2</v>
      </c>
    </row>
    <row r="59" spans="1:10" x14ac:dyDescent="0.3">
      <c r="A59" s="2">
        <v>58</v>
      </c>
      <c r="B59" s="3">
        <v>40546</v>
      </c>
      <c r="C59" s="2">
        <v>1</v>
      </c>
      <c r="D59" s="2">
        <v>0</v>
      </c>
      <c r="E59" s="2">
        <v>1</v>
      </c>
      <c r="F59" s="2">
        <v>12</v>
      </c>
      <c r="G59" s="2" t="b">
        <v>0</v>
      </c>
      <c r="H59" s="2">
        <v>1</v>
      </c>
      <c r="I59" s="2">
        <v>1</v>
      </c>
      <c r="J59" s="2">
        <v>0.22</v>
      </c>
    </row>
    <row r="60" spans="1:10" x14ac:dyDescent="0.3">
      <c r="A60" s="2">
        <v>59</v>
      </c>
      <c r="B60" s="3">
        <v>40546</v>
      </c>
      <c r="C60" s="2">
        <v>1</v>
      </c>
      <c r="D60" s="2">
        <v>0</v>
      </c>
      <c r="E60" s="2">
        <v>1</v>
      </c>
      <c r="F60" s="2">
        <v>13</v>
      </c>
      <c r="G60" s="2" t="b">
        <v>0</v>
      </c>
      <c r="H60" s="2">
        <v>1</v>
      </c>
      <c r="I60" s="2">
        <v>1</v>
      </c>
      <c r="J60" s="2">
        <v>0.24</v>
      </c>
    </row>
    <row r="61" spans="1:10" x14ac:dyDescent="0.3">
      <c r="A61" s="2">
        <v>60</v>
      </c>
      <c r="B61" s="3">
        <v>40546</v>
      </c>
      <c r="C61" s="2">
        <v>1</v>
      </c>
      <c r="D61" s="2">
        <v>0</v>
      </c>
      <c r="E61" s="2">
        <v>1</v>
      </c>
      <c r="F61" s="2">
        <v>14</v>
      </c>
      <c r="G61" s="2" t="b">
        <v>0</v>
      </c>
      <c r="H61" s="2">
        <v>1</v>
      </c>
      <c r="I61" s="2">
        <v>1</v>
      </c>
      <c r="J61" s="2">
        <v>0.26</v>
      </c>
    </row>
    <row r="62" spans="1:10" x14ac:dyDescent="0.3">
      <c r="A62" s="2">
        <v>61</v>
      </c>
      <c r="B62" s="3">
        <v>40546</v>
      </c>
      <c r="C62" s="2">
        <v>1</v>
      </c>
      <c r="D62" s="2">
        <v>0</v>
      </c>
      <c r="E62" s="2">
        <v>1</v>
      </c>
      <c r="F62" s="2">
        <v>15</v>
      </c>
      <c r="G62" s="2" t="b">
        <v>0</v>
      </c>
      <c r="H62" s="2">
        <v>1</v>
      </c>
      <c r="I62" s="2">
        <v>1</v>
      </c>
      <c r="J62" s="2">
        <v>0.26</v>
      </c>
    </row>
    <row r="63" spans="1:10" x14ac:dyDescent="0.3">
      <c r="A63" s="2">
        <v>62</v>
      </c>
      <c r="B63" s="3">
        <v>40546</v>
      </c>
      <c r="C63" s="2">
        <v>1</v>
      </c>
      <c r="D63" s="2">
        <v>0</v>
      </c>
      <c r="E63" s="2">
        <v>1</v>
      </c>
      <c r="F63" s="2">
        <v>16</v>
      </c>
      <c r="G63" s="2" t="b">
        <v>0</v>
      </c>
      <c r="H63" s="2">
        <v>1</v>
      </c>
      <c r="I63" s="2">
        <v>1</v>
      </c>
      <c r="J63" s="2">
        <v>0.26</v>
      </c>
    </row>
    <row r="64" spans="1:10" x14ac:dyDescent="0.3">
      <c r="A64" s="2">
        <v>63</v>
      </c>
      <c r="B64" s="3">
        <v>40546</v>
      </c>
      <c r="C64" s="2">
        <v>1</v>
      </c>
      <c r="D64" s="2">
        <v>0</v>
      </c>
      <c r="E64" s="2">
        <v>1</v>
      </c>
      <c r="F64" s="2">
        <v>17</v>
      </c>
      <c r="G64" s="2" t="b">
        <v>0</v>
      </c>
      <c r="H64" s="2">
        <v>1</v>
      </c>
      <c r="I64" s="2">
        <v>1</v>
      </c>
      <c r="J64" s="2">
        <v>0.24</v>
      </c>
    </row>
    <row r="65" spans="1:10" x14ac:dyDescent="0.3">
      <c r="A65" s="2">
        <v>64</v>
      </c>
      <c r="B65" s="3">
        <v>40546</v>
      </c>
      <c r="C65" s="2">
        <v>1</v>
      </c>
      <c r="D65" s="2">
        <v>0</v>
      </c>
      <c r="E65" s="2">
        <v>1</v>
      </c>
      <c r="F65" s="2">
        <v>18</v>
      </c>
      <c r="G65" s="2" t="b">
        <v>0</v>
      </c>
      <c r="H65" s="2">
        <v>1</v>
      </c>
      <c r="I65" s="2">
        <v>1</v>
      </c>
      <c r="J65" s="2">
        <v>0.24</v>
      </c>
    </row>
    <row r="66" spans="1:10" x14ac:dyDescent="0.3">
      <c r="A66" s="2">
        <v>65</v>
      </c>
      <c r="B66" s="3">
        <v>40546</v>
      </c>
      <c r="C66" s="2">
        <v>1</v>
      </c>
      <c r="D66" s="2">
        <v>0</v>
      </c>
      <c r="E66" s="2">
        <v>1</v>
      </c>
      <c r="F66" s="2">
        <v>19</v>
      </c>
      <c r="G66" s="2" t="b">
        <v>0</v>
      </c>
      <c r="H66" s="2">
        <v>1</v>
      </c>
      <c r="I66" s="2">
        <v>1</v>
      </c>
      <c r="J66" s="2">
        <v>0.2</v>
      </c>
    </row>
    <row r="67" spans="1:10" x14ac:dyDescent="0.3">
      <c r="A67" s="2">
        <v>66</v>
      </c>
      <c r="B67" s="3">
        <v>40546</v>
      </c>
      <c r="C67" s="2">
        <v>1</v>
      </c>
      <c r="D67" s="2">
        <v>0</v>
      </c>
      <c r="E67" s="2">
        <v>1</v>
      </c>
      <c r="F67" s="2">
        <v>20</v>
      </c>
      <c r="G67" s="2" t="b">
        <v>0</v>
      </c>
      <c r="H67" s="2">
        <v>1</v>
      </c>
      <c r="I67" s="2">
        <v>1</v>
      </c>
      <c r="J67" s="2">
        <v>0.2</v>
      </c>
    </row>
    <row r="68" spans="1:10" x14ac:dyDescent="0.3">
      <c r="A68" s="2">
        <v>67</v>
      </c>
      <c r="B68" s="3">
        <v>40546</v>
      </c>
      <c r="C68" s="2">
        <v>1</v>
      </c>
      <c r="D68" s="2">
        <v>0</v>
      </c>
      <c r="E68" s="2">
        <v>1</v>
      </c>
      <c r="F68" s="2">
        <v>21</v>
      </c>
      <c r="G68" s="2" t="b">
        <v>0</v>
      </c>
      <c r="H68" s="2">
        <v>1</v>
      </c>
      <c r="I68" s="2">
        <v>1</v>
      </c>
      <c r="J68" s="2">
        <v>0.18</v>
      </c>
    </row>
    <row r="69" spans="1:10" x14ac:dyDescent="0.3">
      <c r="A69" s="2">
        <v>68</v>
      </c>
      <c r="B69" s="3">
        <v>40546</v>
      </c>
      <c r="C69" s="2">
        <v>1</v>
      </c>
      <c r="D69" s="2">
        <v>0</v>
      </c>
      <c r="E69" s="2">
        <v>1</v>
      </c>
      <c r="F69" s="2">
        <v>22</v>
      </c>
      <c r="G69" s="2" t="b">
        <v>0</v>
      </c>
      <c r="H69" s="2">
        <v>1</v>
      </c>
      <c r="I69" s="2">
        <v>1</v>
      </c>
      <c r="J69" s="2">
        <v>0.14000000000000001</v>
      </c>
    </row>
    <row r="70" spans="1:10" x14ac:dyDescent="0.3">
      <c r="A70" s="2">
        <v>69</v>
      </c>
      <c r="B70" s="3">
        <v>40546</v>
      </c>
      <c r="C70" s="2">
        <v>1</v>
      </c>
      <c r="D70" s="2">
        <v>0</v>
      </c>
      <c r="E70" s="2">
        <v>1</v>
      </c>
      <c r="F70" s="2">
        <v>23</v>
      </c>
      <c r="G70" s="2" t="b">
        <v>0</v>
      </c>
      <c r="H70" s="2">
        <v>1</v>
      </c>
      <c r="I70" s="2">
        <v>1</v>
      </c>
      <c r="J70" s="2">
        <v>0.18</v>
      </c>
    </row>
    <row r="71" spans="1:10" x14ac:dyDescent="0.3">
      <c r="A71" s="2">
        <v>70</v>
      </c>
      <c r="B71" s="3">
        <v>40547</v>
      </c>
      <c r="C71" s="2">
        <v>1</v>
      </c>
      <c r="D71" s="2">
        <v>0</v>
      </c>
      <c r="E71" s="2">
        <v>1</v>
      </c>
      <c r="F71" s="2">
        <v>0</v>
      </c>
      <c r="G71" s="2" t="b">
        <v>0</v>
      </c>
      <c r="H71" s="2">
        <v>2</v>
      </c>
      <c r="I71" s="2">
        <v>1</v>
      </c>
      <c r="J71" s="2">
        <v>0.16</v>
      </c>
    </row>
    <row r="72" spans="1:10" x14ac:dyDescent="0.3">
      <c r="A72" s="2">
        <v>71</v>
      </c>
      <c r="B72" s="3">
        <v>40547</v>
      </c>
      <c r="C72" s="2">
        <v>1</v>
      </c>
      <c r="D72" s="2">
        <v>0</v>
      </c>
      <c r="E72" s="2">
        <v>1</v>
      </c>
      <c r="F72" s="2">
        <v>1</v>
      </c>
      <c r="G72" s="2" t="b">
        <v>0</v>
      </c>
      <c r="H72" s="2">
        <v>2</v>
      </c>
      <c r="I72" s="2">
        <v>1</v>
      </c>
      <c r="J72" s="2">
        <v>0.16</v>
      </c>
    </row>
    <row r="73" spans="1:10" x14ac:dyDescent="0.3">
      <c r="A73" s="2">
        <v>72</v>
      </c>
      <c r="B73" s="3">
        <v>40547</v>
      </c>
      <c r="C73" s="2">
        <v>1</v>
      </c>
      <c r="D73" s="2">
        <v>0</v>
      </c>
      <c r="E73" s="2">
        <v>1</v>
      </c>
      <c r="F73" s="2">
        <v>2</v>
      </c>
      <c r="G73" s="2" t="b">
        <v>0</v>
      </c>
      <c r="H73" s="2">
        <v>2</v>
      </c>
      <c r="I73" s="2">
        <v>1</v>
      </c>
      <c r="J73" s="2">
        <v>0.14000000000000001</v>
      </c>
    </row>
    <row r="74" spans="1:10" x14ac:dyDescent="0.3">
      <c r="A74" s="2">
        <v>73</v>
      </c>
      <c r="B74" s="3">
        <v>40547</v>
      </c>
      <c r="C74" s="2">
        <v>1</v>
      </c>
      <c r="D74" s="2">
        <v>0</v>
      </c>
      <c r="E74" s="2">
        <v>1</v>
      </c>
      <c r="F74" s="2">
        <v>4</v>
      </c>
      <c r="G74" s="2" t="b">
        <v>0</v>
      </c>
      <c r="H74" s="2">
        <v>2</v>
      </c>
      <c r="I74" s="2">
        <v>1</v>
      </c>
      <c r="J74" s="2">
        <v>0.14000000000000001</v>
      </c>
    </row>
    <row r="75" spans="1:10" x14ac:dyDescent="0.3">
      <c r="A75" s="2">
        <v>74</v>
      </c>
      <c r="B75" s="3">
        <v>40547</v>
      </c>
      <c r="C75" s="2">
        <v>1</v>
      </c>
      <c r="D75" s="2">
        <v>0</v>
      </c>
      <c r="E75" s="2">
        <v>1</v>
      </c>
      <c r="F75" s="2">
        <v>5</v>
      </c>
      <c r="G75" s="2" t="b">
        <v>0</v>
      </c>
      <c r="H75" s="2">
        <v>2</v>
      </c>
      <c r="I75" s="2">
        <v>1</v>
      </c>
      <c r="J75" s="2">
        <v>0.12</v>
      </c>
    </row>
    <row r="76" spans="1:10" x14ac:dyDescent="0.3">
      <c r="A76" s="2">
        <v>75</v>
      </c>
      <c r="B76" s="3">
        <v>40547</v>
      </c>
      <c r="C76" s="2">
        <v>1</v>
      </c>
      <c r="D76" s="2">
        <v>0</v>
      </c>
      <c r="E76" s="2">
        <v>1</v>
      </c>
      <c r="F76" s="2">
        <v>6</v>
      </c>
      <c r="G76" s="2" t="b">
        <v>0</v>
      </c>
      <c r="H76" s="2">
        <v>2</v>
      </c>
      <c r="I76" s="2">
        <v>1</v>
      </c>
      <c r="J76" s="2">
        <v>0.12</v>
      </c>
    </row>
    <row r="77" spans="1:10" x14ac:dyDescent="0.3">
      <c r="A77" s="2">
        <v>76</v>
      </c>
      <c r="B77" s="3">
        <v>40547</v>
      </c>
      <c r="C77" s="2">
        <v>1</v>
      </c>
      <c r="D77" s="2">
        <v>0</v>
      </c>
      <c r="E77" s="2">
        <v>1</v>
      </c>
      <c r="F77" s="2">
        <v>7</v>
      </c>
      <c r="G77" s="2" t="b">
        <v>0</v>
      </c>
      <c r="H77" s="2">
        <v>2</v>
      </c>
      <c r="I77" s="2">
        <v>1</v>
      </c>
      <c r="J77" s="2">
        <v>0.12</v>
      </c>
    </row>
    <row r="78" spans="1:10" x14ac:dyDescent="0.3">
      <c r="A78" s="2">
        <v>77</v>
      </c>
      <c r="B78" s="3">
        <v>40547</v>
      </c>
      <c r="C78" s="2">
        <v>1</v>
      </c>
      <c r="D78" s="2">
        <v>0</v>
      </c>
      <c r="E78" s="2">
        <v>1</v>
      </c>
      <c r="F78" s="2">
        <v>8</v>
      </c>
      <c r="G78" s="2" t="b">
        <v>0</v>
      </c>
      <c r="H78" s="2">
        <v>2</v>
      </c>
      <c r="I78" s="2">
        <v>1</v>
      </c>
      <c r="J78" s="2">
        <v>0.14000000000000001</v>
      </c>
    </row>
    <row r="79" spans="1:10" x14ac:dyDescent="0.3">
      <c r="A79" s="2">
        <v>78</v>
      </c>
      <c r="B79" s="3">
        <v>40547</v>
      </c>
      <c r="C79" s="2">
        <v>1</v>
      </c>
      <c r="D79" s="2">
        <v>0</v>
      </c>
      <c r="E79" s="2">
        <v>1</v>
      </c>
      <c r="F79" s="2">
        <v>9</v>
      </c>
      <c r="G79" s="2" t="b">
        <v>0</v>
      </c>
      <c r="H79" s="2">
        <v>2</v>
      </c>
      <c r="I79" s="2">
        <v>1</v>
      </c>
      <c r="J79" s="2">
        <v>0.16</v>
      </c>
    </row>
    <row r="80" spans="1:10" x14ac:dyDescent="0.3">
      <c r="A80" s="2">
        <v>79</v>
      </c>
      <c r="B80" s="3">
        <v>40547</v>
      </c>
      <c r="C80" s="2">
        <v>1</v>
      </c>
      <c r="D80" s="2">
        <v>0</v>
      </c>
      <c r="E80" s="2">
        <v>1</v>
      </c>
      <c r="F80" s="2">
        <v>10</v>
      </c>
      <c r="G80" s="2" t="b">
        <v>0</v>
      </c>
      <c r="H80" s="2">
        <v>2</v>
      </c>
      <c r="I80" s="2">
        <v>2</v>
      </c>
      <c r="J80" s="2">
        <v>0.16</v>
      </c>
    </row>
    <row r="81" spans="1:10" x14ac:dyDescent="0.3">
      <c r="A81" s="2">
        <v>80</v>
      </c>
      <c r="B81" s="3">
        <v>40547</v>
      </c>
      <c r="C81" s="2">
        <v>1</v>
      </c>
      <c r="D81" s="2">
        <v>0</v>
      </c>
      <c r="E81" s="2">
        <v>1</v>
      </c>
      <c r="F81" s="2">
        <v>11</v>
      </c>
      <c r="G81" s="2" t="b">
        <v>0</v>
      </c>
      <c r="H81" s="2">
        <v>2</v>
      </c>
      <c r="I81" s="2">
        <v>1</v>
      </c>
      <c r="J81" s="2">
        <v>0.22</v>
      </c>
    </row>
    <row r="82" spans="1:10" x14ac:dyDescent="0.3">
      <c r="A82" s="2">
        <v>81</v>
      </c>
      <c r="B82" s="3">
        <v>40547</v>
      </c>
      <c r="C82" s="2">
        <v>1</v>
      </c>
      <c r="D82" s="2">
        <v>0</v>
      </c>
      <c r="E82" s="2">
        <v>1</v>
      </c>
      <c r="F82" s="2">
        <v>12</v>
      </c>
      <c r="G82" s="2" t="b">
        <v>0</v>
      </c>
      <c r="H82" s="2">
        <v>2</v>
      </c>
      <c r="I82" s="2">
        <v>1</v>
      </c>
      <c r="J82" s="2">
        <v>0.22</v>
      </c>
    </row>
    <row r="83" spans="1:10" x14ac:dyDescent="0.3">
      <c r="A83" s="2">
        <v>82</v>
      </c>
      <c r="B83" s="3">
        <v>40547</v>
      </c>
      <c r="C83" s="2">
        <v>1</v>
      </c>
      <c r="D83" s="2">
        <v>0</v>
      </c>
      <c r="E83" s="2">
        <v>1</v>
      </c>
      <c r="F83" s="2">
        <v>13</v>
      </c>
      <c r="G83" s="2" t="b">
        <v>0</v>
      </c>
      <c r="H83" s="2">
        <v>2</v>
      </c>
      <c r="I83" s="2">
        <v>1</v>
      </c>
      <c r="J83" s="2">
        <v>0.24</v>
      </c>
    </row>
    <row r="84" spans="1:10" x14ac:dyDescent="0.3">
      <c r="A84" s="2">
        <v>83</v>
      </c>
      <c r="B84" s="3">
        <v>40547</v>
      </c>
      <c r="C84" s="2">
        <v>1</v>
      </c>
      <c r="D84" s="2">
        <v>0</v>
      </c>
      <c r="E84" s="2">
        <v>1</v>
      </c>
      <c r="F84" s="2">
        <v>14</v>
      </c>
      <c r="G84" s="2" t="b">
        <v>0</v>
      </c>
      <c r="H84" s="2">
        <v>2</v>
      </c>
      <c r="I84" s="2">
        <v>1</v>
      </c>
      <c r="J84" s="2">
        <v>0.26</v>
      </c>
    </row>
    <row r="85" spans="1:10" x14ac:dyDescent="0.3">
      <c r="A85" s="2">
        <v>84</v>
      </c>
      <c r="B85" s="3">
        <v>40547</v>
      </c>
      <c r="C85" s="2">
        <v>1</v>
      </c>
      <c r="D85" s="2">
        <v>0</v>
      </c>
      <c r="E85" s="2">
        <v>1</v>
      </c>
      <c r="F85" s="2">
        <v>15</v>
      </c>
      <c r="G85" s="2" t="b">
        <v>0</v>
      </c>
      <c r="H85" s="2">
        <v>2</v>
      </c>
      <c r="I85" s="2">
        <v>1</v>
      </c>
      <c r="J85" s="2">
        <v>0.28000000000000003</v>
      </c>
    </row>
    <row r="86" spans="1:10" x14ac:dyDescent="0.3">
      <c r="A86" s="2">
        <v>85</v>
      </c>
      <c r="B86" s="3">
        <v>40547</v>
      </c>
      <c r="C86" s="2">
        <v>1</v>
      </c>
      <c r="D86" s="2">
        <v>0</v>
      </c>
      <c r="E86" s="2">
        <v>1</v>
      </c>
      <c r="F86" s="2">
        <v>16</v>
      </c>
      <c r="G86" s="2" t="b">
        <v>0</v>
      </c>
      <c r="H86" s="2">
        <v>2</v>
      </c>
      <c r="I86" s="2">
        <v>1</v>
      </c>
      <c r="J86" s="2">
        <v>0.3</v>
      </c>
    </row>
    <row r="87" spans="1:10" x14ac:dyDescent="0.3">
      <c r="A87" s="2">
        <v>86</v>
      </c>
      <c r="B87" s="3">
        <v>40547</v>
      </c>
      <c r="C87" s="2">
        <v>1</v>
      </c>
      <c r="D87" s="2">
        <v>0</v>
      </c>
      <c r="E87" s="2">
        <v>1</v>
      </c>
      <c r="F87" s="2">
        <v>17</v>
      </c>
      <c r="G87" s="2" t="b">
        <v>0</v>
      </c>
      <c r="H87" s="2">
        <v>2</v>
      </c>
      <c r="I87" s="2">
        <v>1</v>
      </c>
      <c r="J87" s="2">
        <v>0.28000000000000003</v>
      </c>
    </row>
    <row r="88" spans="1:10" x14ac:dyDescent="0.3">
      <c r="A88" s="2">
        <v>87</v>
      </c>
      <c r="B88" s="3">
        <v>40547</v>
      </c>
      <c r="C88" s="2">
        <v>1</v>
      </c>
      <c r="D88" s="2">
        <v>0</v>
      </c>
      <c r="E88" s="2">
        <v>1</v>
      </c>
      <c r="F88" s="2">
        <v>18</v>
      </c>
      <c r="G88" s="2" t="b">
        <v>0</v>
      </c>
      <c r="H88" s="2">
        <v>2</v>
      </c>
      <c r="I88" s="2">
        <v>1</v>
      </c>
      <c r="J88" s="2">
        <v>0.26</v>
      </c>
    </row>
    <row r="89" spans="1:10" x14ac:dyDescent="0.3">
      <c r="A89" s="2">
        <v>88</v>
      </c>
      <c r="B89" s="3">
        <v>40547</v>
      </c>
      <c r="C89" s="2">
        <v>1</v>
      </c>
      <c r="D89" s="2">
        <v>0</v>
      </c>
      <c r="E89" s="2">
        <v>1</v>
      </c>
      <c r="F89" s="2">
        <v>19</v>
      </c>
      <c r="G89" s="2" t="b">
        <v>0</v>
      </c>
      <c r="H89" s="2">
        <v>2</v>
      </c>
      <c r="I89" s="2">
        <v>1</v>
      </c>
      <c r="J89" s="2">
        <v>0.24</v>
      </c>
    </row>
    <row r="90" spans="1:10" x14ac:dyDescent="0.3">
      <c r="A90" s="2">
        <v>89</v>
      </c>
      <c r="B90" s="3">
        <v>40547</v>
      </c>
      <c r="C90" s="2">
        <v>1</v>
      </c>
      <c r="D90" s="2">
        <v>0</v>
      </c>
      <c r="E90" s="2">
        <v>1</v>
      </c>
      <c r="F90" s="2">
        <v>20</v>
      </c>
      <c r="G90" s="2" t="b">
        <v>0</v>
      </c>
      <c r="H90" s="2">
        <v>2</v>
      </c>
      <c r="I90" s="2">
        <v>1</v>
      </c>
      <c r="J90" s="2">
        <v>0.24</v>
      </c>
    </row>
    <row r="91" spans="1:10" x14ac:dyDescent="0.3">
      <c r="A91" s="2">
        <v>90</v>
      </c>
      <c r="B91" s="3">
        <v>40547</v>
      </c>
      <c r="C91" s="2">
        <v>1</v>
      </c>
      <c r="D91" s="2">
        <v>0</v>
      </c>
      <c r="E91" s="2">
        <v>1</v>
      </c>
      <c r="F91" s="2">
        <v>21</v>
      </c>
      <c r="G91" s="2" t="b">
        <v>0</v>
      </c>
      <c r="H91" s="2">
        <v>2</v>
      </c>
      <c r="I91" s="2">
        <v>1</v>
      </c>
      <c r="J91" s="2">
        <v>0.22</v>
      </c>
    </row>
    <row r="92" spans="1:10" x14ac:dyDescent="0.3">
      <c r="A92" s="2">
        <v>91</v>
      </c>
      <c r="B92" s="3">
        <v>40547</v>
      </c>
      <c r="C92" s="2">
        <v>1</v>
      </c>
      <c r="D92" s="2">
        <v>0</v>
      </c>
      <c r="E92" s="2">
        <v>1</v>
      </c>
      <c r="F92" s="2">
        <v>22</v>
      </c>
      <c r="G92" s="2" t="b">
        <v>0</v>
      </c>
      <c r="H92" s="2">
        <v>2</v>
      </c>
      <c r="I92" s="2">
        <v>1</v>
      </c>
      <c r="J92" s="2">
        <v>0.22</v>
      </c>
    </row>
    <row r="93" spans="1:10" x14ac:dyDescent="0.3">
      <c r="A93" s="2">
        <v>92</v>
      </c>
      <c r="B93" s="3">
        <v>40547</v>
      </c>
      <c r="C93" s="2">
        <v>1</v>
      </c>
      <c r="D93" s="2">
        <v>0</v>
      </c>
      <c r="E93" s="2">
        <v>1</v>
      </c>
      <c r="F93" s="2">
        <v>23</v>
      </c>
      <c r="G93" s="2" t="b">
        <v>0</v>
      </c>
      <c r="H93" s="2">
        <v>2</v>
      </c>
      <c r="I93" s="2">
        <v>1</v>
      </c>
      <c r="J93" s="2">
        <v>0.2</v>
      </c>
    </row>
    <row r="94" spans="1:10" x14ac:dyDescent="0.3">
      <c r="A94" s="2">
        <v>93</v>
      </c>
      <c r="B94" s="3">
        <v>40548</v>
      </c>
      <c r="C94" s="2">
        <v>1</v>
      </c>
      <c r="D94" s="2">
        <v>0</v>
      </c>
      <c r="E94" s="2">
        <v>1</v>
      </c>
      <c r="F94" s="2">
        <v>0</v>
      </c>
      <c r="G94" s="2" t="b">
        <v>0</v>
      </c>
      <c r="H94" s="2">
        <v>3</v>
      </c>
      <c r="I94" s="2">
        <v>1</v>
      </c>
      <c r="J94" s="2">
        <v>0.2</v>
      </c>
    </row>
    <row r="95" spans="1:10" x14ac:dyDescent="0.3">
      <c r="A95" s="2">
        <v>94</v>
      </c>
      <c r="B95" s="3">
        <v>40548</v>
      </c>
      <c r="C95" s="2">
        <v>1</v>
      </c>
      <c r="D95" s="2">
        <v>0</v>
      </c>
      <c r="E95" s="2">
        <v>1</v>
      </c>
      <c r="F95" s="2">
        <v>1</v>
      </c>
      <c r="G95" s="2" t="b">
        <v>0</v>
      </c>
      <c r="H95" s="2">
        <v>3</v>
      </c>
      <c r="I95" s="2">
        <v>1</v>
      </c>
      <c r="J95" s="2">
        <v>0.16</v>
      </c>
    </row>
    <row r="96" spans="1:10" x14ac:dyDescent="0.3">
      <c r="A96" s="2">
        <v>95</v>
      </c>
      <c r="B96" s="3">
        <v>40548</v>
      </c>
      <c r="C96" s="2">
        <v>1</v>
      </c>
      <c r="D96" s="2">
        <v>0</v>
      </c>
      <c r="E96" s="2">
        <v>1</v>
      </c>
      <c r="F96" s="2">
        <v>2</v>
      </c>
      <c r="G96" s="2" t="b">
        <v>0</v>
      </c>
      <c r="H96" s="2">
        <v>3</v>
      </c>
      <c r="I96" s="2">
        <v>1</v>
      </c>
      <c r="J96" s="2">
        <v>0.16</v>
      </c>
    </row>
    <row r="97" spans="1:10" x14ac:dyDescent="0.3">
      <c r="A97" s="2">
        <v>96</v>
      </c>
      <c r="B97" s="3">
        <v>40548</v>
      </c>
      <c r="C97" s="2">
        <v>1</v>
      </c>
      <c r="D97" s="2">
        <v>0</v>
      </c>
      <c r="E97" s="2">
        <v>1</v>
      </c>
      <c r="F97" s="2">
        <v>4</v>
      </c>
      <c r="G97" s="2" t="b">
        <v>0</v>
      </c>
      <c r="H97" s="2">
        <v>3</v>
      </c>
      <c r="I97" s="2">
        <v>1</v>
      </c>
      <c r="J97" s="2">
        <v>0.24</v>
      </c>
    </row>
    <row r="98" spans="1:10" x14ac:dyDescent="0.3">
      <c r="A98" s="2">
        <v>97</v>
      </c>
      <c r="B98" s="3">
        <v>40548</v>
      </c>
      <c r="C98" s="2">
        <v>1</v>
      </c>
      <c r="D98" s="2">
        <v>0</v>
      </c>
      <c r="E98" s="2">
        <v>1</v>
      </c>
      <c r="F98" s="2">
        <v>5</v>
      </c>
      <c r="G98" s="2" t="b">
        <v>0</v>
      </c>
      <c r="H98" s="2">
        <v>3</v>
      </c>
      <c r="I98" s="2">
        <v>1</v>
      </c>
      <c r="J98" s="2">
        <v>0.22</v>
      </c>
    </row>
    <row r="99" spans="1:10" x14ac:dyDescent="0.3">
      <c r="A99" s="2">
        <v>98</v>
      </c>
      <c r="B99" s="3">
        <v>40548</v>
      </c>
      <c r="C99" s="2">
        <v>1</v>
      </c>
      <c r="D99" s="2">
        <v>0</v>
      </c>
      <c r="E99" s="2">
        <v>1</v>
      </c>
      <c r="F99" s="2">
        <v>6</v>
      </c>
      <c r="G99" s="2" t="b">
        <v>0</v>
      </c>
      <c r="H99" s="2">
        <v>3</v>
      </c>
      <c r="I99" s="2">
        <v>1</v>
      </c>
      <c r="J99" s="2">
        <v>0.2</v>
      </c>
    </row>
    <row r="100" spans="1:10" x14ac:dyDescent="0.3">
      <c r="A100" s="2">
        <v>99</v>
      </c>
      <c r="B100" s="3">
        <v>40548</v>
      </c>
      <c r="C100" s="2">
        <v>1</v>
      </c>
      <c r="D100" s="2">
        <v>0</v>
      </c>
      <c r="E100" s="2">
        <v>1</v>
      </c>
      <c r="F100" s="2">
        <v>7</v>
      </c>
      <c r="G100" s="2" t="b">
        <v>0</v>
      </c>
      <c r="H100" s="2">
        <v>3</v>
      </c>
      <c r="I100" s="2">
        <v>1</v>
      </c>
      <c r="J100" s="2">
        <v>0.18</v>
      </c>
    </row>
    <row r="101" spans="1:10" x14ac:dyDescent="0.3">
      <c r="A101" s="2">
        <v>100</v>
      </c>
      <c r="B101" s="3">
        <v>40548</v>
      </c>
      <c r="C101" s="2">
        <v>1</v>
      </c>
      <c r="D101" s="2">
        <v>0</v>
      </c>
      <c r="E101" s="2">
        <v>1</v>
      </c>
      <c r="F101" s="2">
        <v>8</v>
      </c>
      <c r="G101" s="2" t="b">
        <v>0</v>
      </c>
      <c r="H101" s="2">
        <v>3</v>
      </c>
      <c r="I101" s="2">
        <v>1</v>
      </c>
      <c r="J101" s="2">
        <v>0.2</v>
      </c>
    </row>
    <row r="102" spans="1:10" x14ac:dyDescent="0.3">
      <c r="A102" s="2">
        <v>101</v>
      </c>
      <c r="B102" s="3">
        <v>40548</v>
      </c>
      <c r="C102" s="2">
        <v>1</v>
      </c>
      <c r="D102" s="2">
        <v>0</v>
      </c>
      <c r="E102" s="2">
        <v>1</v>
      </c>
      <c r="F102" s="2">
        <v>9</v>
      </c>
      <c r="G102" s="2" t="b">
        <v>0</v>
      </c>
      <c r="H102" s="2">
        <v>3</v>
      </c>
      <c r="I102" s="2">
        <v>1</v>
      </c>
      <c r="J102" s="2">
        <v>0.22</v>
      </c>
    </row>
    <row r="103" spans="1:10" x14ac:dyDescent="0.3">
      <c r="A103" s="2">
        <v>102</v>
      </c>
      <c r="B103" s="3">
        <v>40548</v>
      </c>
      <c r="C103" s="2">
        <v>1</v>
      </c>
      <c r="D103" s="2">
        <v>0</v>
      </c>
      <c r="E103" s="2">
        <v>1</v>
      </c>
      <c r="F103" s="2">
        <v>10</v>
      </c>
      <c r="G103" s="2" t="b">
        <v>0</v>
      </c>
      <c r="H103" s="2">
        <v>3</v>
      </c>
      <c r="I103" s="2">
        <v>1</v>
      </c>
      <c r="J103" s="2">
        <v>0.22</v>
      </c>
    </row>
    <row r="104" spans="1:10" x14ac:dyDescent="0.3">
      <c r="A104" s="2">
        <v>103</v>
      </c>
      <c r="B104" s="3">
        <v>40548</v>
      </c>
      <c r="C104" s="2">
        <v>1</v>
      </c>
      <c r="D104" s="2">
        <v>0</v>
      </c>
      <c r="E104" s="2">
        <v>1</v>
      </c>
      <c r="F104" s="2">
        <v>11</v>
      </c>
      <c r="G104" s="2" t="b">
        <v>0</v>
      </c>
      <c r="H104" s="2">
        <v>3</v>
      </c>
      <c r="I104" s="2">
        <v>1</v>
      </c>
      <c r="J104" s="2">
        <v>0.26</v>
      </c>
    </row>
    <row r="105" spans="1:10" x14ac:dyDescent="0.3">
      <c r="A105" s="2">
        <v>104</v>
      </c>
      <c r="B105" s="3">
        <v>40548</v>
      </c>
      <c r="C105" s="2">
        <v>1</v>
      </c>
      <c r="D105" s="2">
        <v>0</v>
      </c>
      <c r="E105" s="2">
        <v>1</v>
      </c>
      <c r="F105" s="2">
        <v>12</v>
      </c>
      <c r="G105" s="2" t="b">
        <v>0</v>
      </c>
      <c r="H105" s="2">
        <v>3</v>
      </c>
      <c r="I105" s="2">
        <v>1</v>
      </c>
      <c r="J105" s="2">
        <v>0.26</v>
      </c>
    </row>
    <row r="106" spans="1:10" x14ac:dyDescent="0.3">
      <c r="A106" s="2">
        <v>105</v>
      </c>
      <c r="B106" s="3">
        <v>40548</v>
      </c>
      <c r="C106" s="2">
        <v>1</v>
      </c>
      <c r="D106" s="2">
        <v>0</v>
      </c>
      <c r="E106" s="2">
        <v>1</v>
      </c>
      <c r="F106" s="2">
        <v>13</v>
      </c>
      <c r="G106" s="2" t="b">
        <v>0</v>
      </c>
      <c r="H106" s="2">
        <v>3</v>
      </c>
      <c r="I106" s="2">
        <v>1</v>
      </c>
      <c r="J106" s="2">
        <v>0.28000000000000003</v>
      </c>
    </row>
    <row r="107" spans="1:10" x14ac:dyDescent="0.3">
      <c r="A107" s="2">
        <v>106</v>
      </c>
      <c r="B107" s="3">
        <v>40548</v>
      </c>
      <c r="C107" s="2">
        <v>1</v>
      </c>
      <c r="D107" s="2">
        <v>0</v>
      </c>
      <c r="E107" s="2">
        <v>1</v>
      </c>
      <c r="F107" s="2">
        <v>14</v>
      </c>
      <c r="G107" s="2" t="b">
        <v>0</v>
      </c>
      <c r="H107" s="2">
        <v>3</v>
      </c>
      <c r="I107" s="2">
        <v>1</v>
      </c>
      <c r="J107" s="2">
        <v>0.3</v>
      </c>
    </row>
    <row r="108" spans="1:10" x14ac:dyDescent="0.3">
      <c r="A108" s="2">
        <v>107</v>
      </c>
      <c r="B108" s="3">
        <v>40548</v>
      </c>
      <c r="C108" s="2">
        <v>1</v>
      </c>
      <c r="D108" s="2">
        <v>0</v>
      </c>
      <c r="E108" s="2">
        <v>1</v>
      </c>
      <c r="F108" s="2">
        <v>15</v>
      </c>
      <c r="G108" s="2" t="b">
        <v>0</v>
      </c>
      <c r="H108" s="2">
        <v>3</v>
      </c>
      <c r="I108" s="2">
        <v>1</v>
      </c>
      <c r="J108" s="2">
        <v>0.3</v>
      </c>
    </row>
    <row r="109" spans="1:10" x14ac:dyDescent="0.3">
      <c r="A109" s="2">
        <v>108</v>
      </c>
      <c r="B109" s="3">
        <v>40548</v>
      </c>
      <c r="C109" s="2">
        <v>1</v>
      </c>
      <c r="D109" s="2">
        <v>0</v>
      </c>
      <c r="E109" s="2">
        <v>1</v>
      </c>
      <c r="F109" s="2">
        <v>16</v>
      </c>
      <c r="G109" s="2" t="b">
        <v>0</v>
      </c>
      <c r="H109" s="2">
        <v>3</v>
      </c>
      <c r="I109" s="2">
        <v>1</v>
      </c>
      <c r="J109" s="2">
        <v>0.3</v>
      </c>
    </row>
    <row r="110" spans="1:10" x14ac:dyDescent="0.3">
      <c r="A110" s="2">
        <v>109</v>
      </c>
      <c r="B110" s="3">
        <v>40548</v>
      </c>
      <c r="C110" s="2">
        <v>1</v>
      </c>
      <c r="D110" s="2">
        <v>0</v>
      </c>
      <c r="E110" s="2">
        <v>1</v>
      </c>
      <c r="F110" s="2">
        <v>17</v>
      </c>
      <c r="G110" s="2" t="b">
        <v>0</v>
      </c>
      <c r="H110" s="2">
        <v>3</v>
      </c>
      <c r="I110" s="2">
        <v>1</v>
      </c>
      <c r="J110" s="2">
        <v>0.24</v>
      </c>
    </row>
    <row r="111" spans="1:10" x14ac:dyDescent="0.3">
      <c r="A111" s="2">
        <v>110</v>
      </c>
      <c r="B111" s="3">
        <v>40548</v>
      </c>
      <c r="C111" s="2">
        <v>1</v>
      </c>
      <c r="D111" s="2">
        <v>0</v>
      </c>
      <c r="E111" s="2">
        <v>1</v>
      </c>
      <c r="F111" s="2">
        <v>18</v>
      </c>
      <c r="G111" s="2" t="b">
        <v>0</v>
      </c>
      <c r="H111" s="2">
        <v>3</v>
      </c>
      <c r="I111" s="2">
        <v>1</v>
      </c>
      <c r="J111" s="2">
        <v>0.24</v>
      </c>
    </row>
    <row r="112" spans="1:10" x14ac:dyDescent="0.3">
      <c r="A112" s="2">
        <v>111</v>
      </c>
      <c r="B112" s="3">
        <v>40548</v>
      </c>
      <c r="C112" s="2">
        <v>1</v>
      </c>
      <c r="D112" s="2">
        <v>0</v>
      </c>
      <c r="E112" s="2">
        <v>1</v>
      </c>
      <c r="F112" s="2">
        <v>19</v>
      </c>
      <c r="G112" s="2" t="b">
        <v>0</v>
      </c>
      <c r="H112" s="2">
        <v>3</v>
      </c>
      <c r="I112" s="2">
        <v>1</v>
      </c>
      <c r="J112" s="2">
        <v>0.24</v>
      </c>
    </row>
    <row r="113" spans="1:10" x14ac:dyDescent="0.3">
      <c r="A113" s="2">
        <v>112</v>
      </c>
      <c r="B113" s="3">
        <v>40548</v>
      </c>
      <c r="C113" s="2">
        <v>1</v>
      </c>
      <c r="D113" s="2">
        <v>0</v>
      </c>
      <c r="E113" s="2">
        <v>1</v>
      </c>
      <c r="F113" s="2">
        <v>20</v>
      </c>
      <c r="G113" s="2" t="b">
        <v>0</v>
      </c>
      <c r="H113" s="2">
        <v>3</v>
      </c>
      <c r="I113" s="2">
        <v>1</v>
      </c>
      <c r="J113" s="2">
        <v>0.22</v>
      </c>
    </row>
    <row r="114" spans="1:10" x14ac:dyDescent="0.3">
      <c r="A114" s="2">
        <v>113</v>
      </c>
      <c r="B114" s="3">
        <v>40548</v>
      </c>
      <c r="C114" s="2">
        <v>1</v>
      </c>
      <c r="D114" s="2">
        <v>0</v>
      </c>
      <c r="E114" s="2">
        <v>1</v>
      </c>
      <c r="F114" s="2">
        <v>21</v>
      </c>
      <c r="G114" s="2" t="b">
        <v>0</v>
      </c>
      <c r="H114" s="2">
        <v>3</v>
      </c>
      <c r="I114" s="2">
        <v>1</v>
      </c>
      <c r="J114" s="2">
        <v>0.2</v>
      </c>
    </row>
    <row r="115" spans="1:10" x14ac:dyDescent="0.3">
      <c r="A115" s="2">
        <v>114</v>
      </c>
      <c r="B115" s="3">
        <v>40548</v>
      </c>
      <c r="C115" s="2">
        <v>1</v>
      </c>
      <c r="D115" s="2">
        <v>0</v>
      </c>
      <c r="E115" s="2">
        <v>1</v>
      </c>
      <c r="F115" s="2">
        <v>22</v>
      </c>
      <c r="G115" s="2" t="b">
        <v>0</v>
      </c>
      <c r="H115" s="2">
        <v>3</v>
      </c>
      <c r="I115" s="2">
        <v>1</v>
      </c>
      <c r="J115" s="2">
        <v>0.18</v>
      </c>
    </row>
    <row r="116" spans="1:10" x14ac:dyDescent="0.3">
      <c r="A116" s="2">
        <v>115</v>
      </c>
      <c r="B116" s="3">
        <v>40548</v>
      </c>
      <c r="C116" s="2">
        <v>1</v>
      </c>
      <c r="D116" s="2">
        <v>0</v>
      </c>
      <c r="E116" s="2">
        <v>1</v>
      </c>
      <c r="F116" s="2">
        <v>23</v>
      </c>
      <c r="G116" s="2" t="b">
        <v>0</v>
      </c>
      <c r="H116" s="2">
        <v>3</v>
      </c>
      <c r="I116" s="2">
        <v>1</v>
      </c>
      <c r="J116" s="2">
        <v>0.2</v>
      </c>
    </row>
    <row r="117" spans="1:10" x14ac:dyDescent="0.3">
      <c r="A117" s="2">
        <v>116</v>
      </c>
      <c r="B117" s="3">
        <v>40549</v>
      </c>
      <c r="C117" s="2">
        <v>1</v>
      </c>
      <c r="D117" s="2">
        <v>0</v>
      </c>
      <c r="E117" s="2">
        <v>1</v>
      </c>
      <c r="F117" s="2">
        <v>0</v>
      </c>
      <c r="G117" s="2" t="b">
        <v>0</v>
      </c>
      <c r="H117" s="2">
        <v>4</v>
      </c>
      <c r="I117" s="2">
        <v>1</v>
      </c>
      <c r="J117" s="2">
        <v>0.18</v>
      </c>
    </row>
    <row r="118" spans="1:10" x14ac:dyDescent="0.3">
      <c r="A118" s="2">
        <v>117</v>
      </c>
      <c r="B118" s="3">
        <v>40549</v>
      </c>
      <c r="C118" s="2">
        <v>1</v>
      </c>
      <c r="D118" s="2">
        <v>0</v>
      </c>
      <c r="E118" s="2">
        <v>1</v>
      </c>
      <c r="F118" s="2">
        <v>1</v>
      </c>
      <c r="G118" s="2" t="b">
        <v>0</v>
      </c>
      <c r="H118" s="2">
        <v>4</v>
      </c>
      <c r="I118" s="2">
        <v>1</v>
      </c>
      <c r="J118" s="2">
        <v>0.16</v>
      </c>
    </row>
    <row r="119" spans="1:10" x14ac:dyDescent="0.3">
      <c r="A119" s="2">
        <v>118</v>
      </c>
      <c r="B119" s="3">
        <v>40549</v>
      </c>
      <c r="C119" s="2">
        <v>1</v>
      </c>
      <c r="D119" s="2">
        <v>0</v>
      </c>
      <c r="E119" s="2">
        <v>1</v>
      </c>
      <c r="F119" s="2">
        <v>2</v>
      </c>
      <c r="G119" s="2" t="b">
        <v>0</v>
      </c>
      <c r="H119" s="2">
        <v>4</v>
      </c>
      <c r="I119" s="2">
        <v>1</v>
      </c>
      <c r="J119" s="2">
        <v>0.16</v>
      </c>
    </row>
    <row r="120" spans="1:10" x14ac:dyDescent="0.3">
      <c r="A120" s="2">
        <v>119</v>
      </c>
      <c r="B120" s="3">
        <v>40549</v>
      </c>
      <c r="C120" s="2">
        <v>1</v>
      </c>
      <c r="D120" s="2">
        <v>0</v>
      </c>
      <c r="E120" s="2">
        <v>1</v>
      </c>
      <c r="F120" s="2">
        <v>4</v>
      </c>
      <c r="G120" s="2" t="b">
        <v>0</v>
      </c>
      <c r="H120" s="2">
        <v>4</v>
      </c>
      <c r="I120" s="2">
        <v>2</v>
      </c>
      <c r="J120" s="2">
        <v>0.16</v>
      </c>
    </row>
    <row r="121" spans="1:10" x14ac:dyDescent="0.3">
      <c r="A121" s="2">
        <v>120</v>
      </c>
      <c r="B121" s="3">
        <v>40549</v>
      </c>
      <c r="C121" s="2">
        <v>1</v>
      </c>
      <c r="D121" s="2">
        <v>0</v>
      </c>
      <c r="E121" s="2">
        <v>1</v>
      </c>
      <c r="F121" s="2">
        <v>5</v>
      </c>
      <c r="G121" s="2" t="b">
        <v>0</v>
      </c>
      <c r="H121" s="2">
        <v>4</v>
      </c>
      <c r="I121" s="2">
        <v>2</v>
      </c>
      <c r="J121" s="2">
        <v>0.14000000000000001</v>
      </c>
    </row>
    <row r="122" spans="1:10" x14ac:dyDescent="0.3">
      <c r="A122" s="2">
        <v>121</v>
      </c>
      <c r="B122" s="3">
        <v>40549</v>
      </c>
      <c r="C122" s="2">
        <v>1</v>
      </c>
      <c r="D122" s="2">
        <v>0</v>
      </c>
      <c r="E122" s="2">
        <v>1</v>
      </c>
      <c r="F122" s="2">
        <v>6</v>
      </c>
      <c r="G122" s="2" t="b">
        <v>0</v>
      </c>
      <c r="H122" s="2">
        <v>4</v>
      </c>
      <c r="I122" s="2">
        <v>2</v>
      </c>
      <c r="J122" s="2">
        <v>0.14000000000000001</v>
      </c>
    </row>
    <row r="123" spans="1:10" x14ac:dyDescent="0.3">
      <c r="A123" s="2">
        <v>122</v>
      </c>
      <c r="B123" s="3">
        <v>40549</v>
      </c>
      <c r="C123" s="2">
        <v>1</v>
      </c>
      <c r="D123" s="2">
        <v>0</v>
      </c>
      <c r="E123" s="2">
        <v>1</v>
      </c>
      <c r="F123" s="2">
        <v>7</v>
      </c>
      <c r="G123" s="2" t="b">
        <v>0</v>
      </c>
      <c r="H123" s="2">
        <v>4</v>
      </c>
      <c r="I123" s="2">
        <v>2</v>
      </c>
      <c r="J123" s="2">
        <v>0.16</v>
      </c>
    </row>
    <row r="124" spans="1:10" x14ac:dyDescent="0.3">
      <c r="A124" s="2">
        <v>123</v>
      </c>
      <c r="B124" s="3">
        <v>40549</v>
      </c>
      <c r="C124" s="2">
        <v>1</v>
      </c>
      <c r="D124" s="2">
        <v>0</v>
      </c>
      <c r="E124" s="2">
        <v>1</v>
      </c>
      <c r="F124" s="2">
        <v>8</v>
      </c>
      <c r="G124" s="2" t="b">
        <v>0</v>
      </c>
      <c r="H124" s="2">
        <v>4</v>
      </c>
      <c r="I124" s="2">
        <v>1</v>
      </c>
      <c r="J124" s="2">
        <v>0.16</v>
      </c>
    </row>
    <row r="125" spans="1:10" x14ac:dyDescent="0.3">
      <c r="A125" s="2">
        <v>124</v>
      </c>
      <c r="B125" s="3">
        <v>40549</v>
      </c>
      <c r="C125" s="2">
        <v>1</v>
      </c>
      <c r="D125" s="2">
        <v>0</v>
      </c>
      <c r="E125" s="2">
        <v>1</v>
      </c>
      <c r="F125" s="2">
        <v>9</v>
      </c>
      <c r="G125" s="2" t="b">
        <v>0</v>
      </c>
      <c r="H125" s="2">
        <v>4</v>
      </c>
      <c r="I125" s="2">
        <v>2</v>
      </c>
      <c r="J125" s="2">
        <v>0.18</v>
      </c>
    </row>
    <row r="126" spans="1:10" x14ac:dyDescent="0.3">
      <c r="A126" s="2">
        <v>125</v>
      </c>
      <c r="B126" s="3">
        <v>40549</v>
      </c>
      <c r="C126" s="2">
        <v>1</v>
      </c>
      <c r="D126" s="2">
        <v>0</v>
      </c>
      <c r="E126" s="2">
        <v>1</v>
      </c>
      <c r="F126" s="2">
        <v>10</v>
      </c>
      <c r="G126" s="2" t="b">
        <v>0</v>
      </c>
      <c r="H126" s="2">
        <v>4</v>
      </c>
      <c r="I126" s="2">
        <v>1</v>
      </c>
      <c r="J126" s="2">
        <v>0.2</v>
      </c>
    </row>
    <row r="127" spans="1:10" x14ac:dyDescent="0.3">
      <c r="A127" s="2">
        <v>126</v>
      </c>
      <c r="B127" s="3">
        <v>40549</v>
      </c>
      <c r="C127" s="2">
        <v>1</v>
      </c>
      <c r="D127" s="2">
        <v>0</v>
      </c>
      <c r="E127" s="2">
        <v>1</v>
      </c>
      <c r="F127" s="2">
        <v>11</v>
      </c>
      <c r="G127" s="2" t="b">
        <v>0</v>
      </c>
      <c r="H127" s="2">
        <v>4</v>
      </c>
      <c r="I127" s="2">
        <v>1</v>
      </c>
      <c r="J127" s="2">
        <v>0.22</v>
      </c>
    </row>
    <row r="128" spans="1:10" x14ac:dyDescent="0.3">
      <c r="A128" s="2">
        <v>127</v>
      </c>
      <c r="B128" s="3">
        <v>40549</v>
      </c>
      <c r="C128" s="2">
        <v>1</v>
      </c>
      <c r="D128" s="2">
        <v>0</v>
      </c>
      <c r="E128" s="2">
        <v>1</v>
      </c>
      <c r="F128" s="2">
        <v>12</v>
      </c>
      <c r="G128" s="2" t="b">
        <v>0</v>
      </c>
      <c r="H128" s="2">
        <v>4</v>
      </c>
      <c r="I128" s="2">
        <v>1</v>
      </c>
      <c r="J128" s="2">
        <v>0.26</v>
      </c>
    </row>
    <row r="129" spans="1:10" x14ac:dyDescent="0.3">
      <c r="A129" s="2">
        <v>128</v>
      </c>
      <c r="B129" s="3">
        <v>40549</v>
      </c>
      <c r="C129" s="2">
        <v>1</v>
      </c>
      <c r="D129" s="2">
        <v>0</v>
      </c>
      <c r="E129" s="2">
        <v>1</v>
      </c>
      <c r="F129" s="2">
        <v>13</v>
      </c>
      <c r="G129" s="2" t="b">
        <v>0</v>
      </c>
      <c r="H129" s="2">
        <v>4</v>
      </c>
      <c r="I129" s="2">
        <v>1</v>
      </c>
      <c r="J129" s="2">
        <v>0.26</v>
      </c>
    </row>
    <row r="130" spans="1:10" x14ac:dyDescent="0.3">
      <c r="A130" s="2">
        <v>129</v>
      </c>
      <c r="B130" s="3">
        <v>40549</v>
      </c>
      <c r="C130" s="2">
        <v>1</v>
      </c>
      <c r="D130" s="2">
        <v>0</v>
      </c>
      <c r="E130" s="2">
        <v>1</v>
      </c>
      <c r="F130" s="2">
        <v>14</v>
      </c>
      <c r="G130" s="2" t="b">
        <v>0</v>
      </c>
      <c r="H130" s="2">
        <v>4</v>
      </c>
      <c r="I130" s="2">
        <v>1</v>
      </c>
      <c r="J130" s="2">
        <v>0.28000000000000003</v>
      </c>
    </row>
    <row r="131" spans="1:10" x14ac:dyDescent="0.3">
      <c r="A131" s="2">
        <v>130</v>
      </c>
      <c r="B131" s="3">
        <v>40549</v>
      </c>
      <c r="C131" s="2">
        <v>1</v>
      </c>
      <c r="D131" s="2">
        <v>0</v>
      </c>
      <c r="E131" s="2">
        <v>1</v>
      </c>
      <c r="F131" s="2">
        <v>15</v>
      </c>
      <c r="G131" s="2" t="b">
        <v>0</v>
      </c>
      <c r="H131" s="2">
        <v>4</v>
      </c>
      <c r="I131" s="2">
        <v>1</v>
      </c>
      <c r="J131" s="2">
        <v>0.28000000000000003</v>
      </c>
    </row>
    <row r="132" spans="1:10" x14ac:dyDescent="0.3">
      <c r="A132" s="2">
        <v>131</v>
      </c>
      <c r="B132" s="3">
        <v>40549</v>
      </c>
      <c r="C132" s="2">
        <v>1</v>
      </c>
      <c r="D132" s="2">
        <v>0</v>
      </c>
      <c r="E132" s="2">
        <v>1</v>
      </c>
      <c r="F132" s="2">
        <v>16</v>
      </c>
      <c r="G132" s="2" t="b">
        <v>0</v>
      </c>
      <c r="H132" s="2">
        <v>4</v>
      </c>
      <c r="I132" s="2">
        <v>1</v>
      </c>
      <c r="J132" s="2">
        <v>0.26</v>
      </c>
    </row>
    <row r="133" spans="1:10" x14ac:dyDescent="0.3">
      <c r="A133" s="2">
        <v>132</v>
      </c>
      <c r="B133" s="3">
        <v>40549</v>
      </c>
      <c r="C133" s="2">
        <v>1</v>
      </c>
      <c r="D133" s="2">
        <v>0</v>
      </c>
      <c r="E133" s="2">
        <v>1</v>
      </c>
      <c r="F133" s="2">
        <v>17</v>
      </c>
      <c r="G133" s="2" t="b">
        <v>0</v>
      </c>
      <c r="H133" s="2">
        <v>4</v>
      </c>
      <c r="I133" s="2">
        <v>1</v>
      </c>
      <c r="J133" s="2">
        <v>0.22</v>
      </c>
    </row>
    <row r="134" spans="1:10" x14ac:dyDescent="0.3">
      <c r="A134" s="2">
        <v>133</v>
      </c>
      <c r="B134" s="3">
        <v>40549</v>
      </c>
      <c r="C134" s="2">
        <v>1</v>
      </c>
      <c r="D134" s="2">
        <v>0</v>
      </c>
      <c r="E134" s="2">
        <v>1</v>
      </c>
      <c r="F134" s="2">
        <v>18</v>
      </c>
      <c r="G134" s="2" t="b">
        <v>0</v>
      </c>
      <c r="H134" s="2">
        <v>4</v>
      </c>
      <c r="I134" s="2">
        <v>1</v>
      </c>
      <c r="J134" s="2">
        <v>0.22</v>
      </c>
    </row>
    <row r="135" spans="1:10" x14ac:dyDescent="0.3">
      <c r="A135" s="2">
        <v>134</v>
      </c>
      <c r="B135" s="3">
        <v>40549</v>
      </c>
      <c r="C135" s="2">
        <v>1</v>
      </c>
      <c r="D135" s="2">
        <v>0</v>
      </c>
      <c r="E135" s="2">
        <v>1</v>
      </c>
      <c r="F135" s="2">
        <v>19</v>
      </c>
      <c r="G135" s="2" t="b">
        <v>0</v>
      </c>
      <c r="H135" s="2">
        <v>4</v>
      </c>
      <c r="I135" s="2">
        <v>1</v>
      </c>
      <c r="J135" s="2">
        <v>0.22</v>
      </c>
    </row>
    <row r="136" spans="1:10" x14ac:dyDescent="0.3">
      <c r="A136" s="2">
        <v>135</v>
      </c>
      <c r="B136" s="3">
        <v>40549</v>
      </c>
      <c r="C136" s="2">
        <v>1</v>
      </c>
      <c r="D136" s="2">
        <v>0</v>
      </c>
      <c r="E136" s="2">
        <v>1</v>
      </c>
      <c r="F136" s="2">
        <v>20</v>
      </c>
      <c r="G136" s="2" t="b">
        <v>0</v>
      </c>
      <c r="H136" s="2">
        <v>4</v>
      </c>
      <c r="I136" s="2">
        <v>1</v>
      </c>
      <c r="J136" s="2">
        <v>0.2</v>
      </c>
    </row>
    <row r="137" spans="1:10" x14ac:dyDescent="0.3">
      <c r="A137" s="2">
        <v>136</v>
      </c>
      <c r="B137" s="3">
        <v>40549</v>
      </c>
      <c r="C137" s="2">
        <v>1</v>
      </c>
      <c r="D137" s="2">
        <v>0</v>
      </c>
      <c r="E137" s="2">
        <v>1</v>
      </c>
      <c r="F137" s="2">
        <v>21</v>
      </c>
      <c r="G137" s="2" t="b">
        <v>0</v>
      </c>
      <c r="H137" s="2">
        <v>4</v>
      </c>
      <c r="I137" s="2">
        <v>2</v>
      </c>
      <c r="J137" s="2">
        <v>0.22</v>
      </c>
    </row>
    <row r="138" spans="1:10" x14ac:dyDescent="0.3">
      <c r="A138" s="2">
        <v>137</v>
      </c>
      <c r="B138" s="3">
        <v>40549</v>
      </c>
      <c r="C138" s="2">
        <v>1</v>
      </c>
      <c r="D138" s="2">
        <v>0</v>
      </c>
      <c r="E138" s="2">
        <v>1</v>
      </c>
      <c r="F138" s="2">
        <v>22</v>
      </c>
      <c r="G138" s="2" t="b">
        <v>0</v>
      </c>
      <c r="H138" s="2">
        <v>4</v>
      </c>
      <c r="I138" s="2">
        <v>2</v>
      </c>
      <c r="J138" s="2">
        <v>0.22</v>
      </c>
    </row>
    <row r="139" spans="1:10" x14ac:dyDescent="0.3">
      <c r="A139" s="2">
        <v>138</v>
      </c>
      <c r="B139" s="3">
        <v>40549</v>
      </c>
      <c r="C139" s="2">
        <v>1</v>
      </c>
      <c r="D139" s="2">
        <v>0</v>
      </c>
      <c r="E139" s="2">
        <v>1</v>
      </c>
      <c r="F139" s="2">
        <v>23</v>
      </c>
      <c r="G139" s="2" t="b">
        <v>0</v>
      </c>
      <c r="H139" s="2">
        <v>4</v>
      </c>
      <c r="I139" s="2">
        <v>2</v>
      </c>
      <c r="J139" s="2">
        <v>0.2</v>
      </c>
    </row>
    <row r="140" spans="1:10" x14ac:dyDescent="0.3">
      <c r="A140" s="2">
        <v>139</v>
      </c>
      <c r="B140" s="3">
        <v>40550</v>
      </c>
      <c r="C140" s="2">
        <v>1</v>
      </c>
      <c r="D140" s="2">
        <v>0</v>
      </c>
      <c r="E140" s="2">
        <v>1</v>
      </c>
      <c r="F140" s="2">
        <v>0</v>
      </c>
      <c r="G140" s="2" t="b">
        <v>0</v>
      </c>
      <c r="H140" s="2">
        <v>5</v>
      </c>
      <c r="I140" s="2">
        <v>2</v>
      </c>
      <c r="J140" s="2">
        <v>0.2</v>
      </c>
    </row>
    <row r="141" spans="1:10" x14ac:dyDescent="0.3">
      <c r="A141" s="2">
        <v>140</v>
      </c>
      <c r="B141" s="3">
        <v>40550</v>
      </c>
      <c r="C141" s="2">
        <v>1</v>
      </c>
      <c r="D141" s="2">
        <v>0</v>
      </c>
      <c r="E141" s="2">
        <v>1</v>
      </c>
      <c r="F141" s="2">
        <v>1</v>
      </c>
      <c r="G141" s="2" t="b">
        <v>0</v>
      </c>
      <c r="H141" s="2">
        <v>5</v>
      </c>
      <c r="I141" s="2">
        <v>2</v>
      </c>
      <c r="J141" s="2">
        <v>0.2</v>
      </c>
    </row>
    <row r="142" spans="1:10" x14ac:dyDescent="0.3">
      <c r="A142" s="2">
        <v>141</v>
      </c>
      <c r="B142" s="3">
        <v>40550</v>
      </c>
      <c r="C142" s="2">
        <v>1</v>
      </c>
      <c r="D142" s="2">
        <v>0</v>
      </c>
      <c r="E142" s="2">
        <v>1</v>
      </c>
      <c r="F142" s="2">
        <v>2</v>
      </c>
      <c r="G142" s="2" t="b">
        <v>0</v>
      </c>
      <c r="H142" s="2">
        <v>5</v>
      </c>
      <c r="I142" s="2">
        <v>2</v>
      </c>
      <c r="J142" s="2">
        <v>0.2</v>
      </c>
    </row>
    <row r="143" spans="1:10" x14ac:dyDescent="0.3">
      <c r="A143" s="2">
        <v>142</v>
      </c>
      <c r="B143" s="3">
        <v>40550</v>
      </c>
      <c r="C143" s="2">
        <v>1</v>
      </c>
      <c r="D143" s="2">
        <v>0</v>
      </c>
      <c r="E143" s="2">
        <v>1</v>
      </c>
      <c r="F143" s="2">
        <v>4</v>
      </c>
      <c r="G143" s="2" t="b">
        <v>0</v>
      </c>
      <c r="H143" s="2">
        <v>5</v>
      </c>
      <c r="I143" s="2">
        <v>2</v>
      </c>
      <c r="J143" s="2">
        <v>0.2</v>
      </c>
    </row>
    <row r="144" spans="1:10" x14ac:dyDescent="0.3">
      <c r="A144" s="2">
        <v>143</v>
      </c>
      <c r="B144" s="3">
        <v>40550</v>
      </c>
      <c r="C144" s="2">
        <v>1</v>
      </c>
      <c r="D144" s="2">
        <v>0</v>
      </c>
      <c r="E144" s="2">
        <v>1</v>
      </c>
      <c r="F144" s="2">
        <v>5</v>
      </c>
      <c r="G144" s="2" t="b">
        <v>0</v>
      </c>
      <c r="H144" s="2">
        <v>5</v>
      </c>
      <c r="I144" s="2">
        <v>3</v>
      </c>
      <c r="J144" s="2">
        <v>0.22</v>
      </c>
    </row>
    <row r="145" spans="1:10" x14ac:dyDescent="0.3">
      <c r="A145" s="2">
        <v>144</v>
      </c>
      <c r="B145" s="3">
        <v>40550</v>
      </c>
      <c r="C145" s="2">
        <v>1</v>
      </c>
      <c r="D145" s="2">
        <v>0</v>
      </c>
      <c r="E145" s="2">
        <v>1</v>
      </c>
      <c r="F145" s="2">
        <v>6</v>
      </c>
      <c r="G145" s="2" t="b">
        <v>0</v>
      </c>
      <c r="H145" s="2">
        <v>5</v>
      </c>
      <c r="I145" s="2">
        <v>2</v>
      </c>
      <c r="J145" s="2">
        <v>0.2</v>
      </c>
    </row>
    <row r="146" spans="1:10" x14ac:dyDescent="0.3">
      <c r="A146" s="2">
        <v>145</v>
      </c>
      <c r="B146" s="3">
        <v>40550</v>
      </c>
      <c r="C146" s="2">
        <v>1</v>
      </c>
      <c r="D146" s="2">
        <v>0</v>
      </c>
      <c r="E146" s="2">
        <v>1</v>
      </c>
      <c r="F146" s="2">
        <v>7</v>
      </c>
      <c r="G146" s="2" t="b">
        <v>0</v>
      </c>
      <c r="H146" s="2">
        <v>5</v>
      </c>
      <c r="I146" s="2">
        <v>1</v>
      </c>
      <c r="J146" s="2">
        <v>0.2</v>
      </c>
    </row>
    <row r="147" spans="1:10" x14ac:dyDescent="0.3">
      <c r="A147" s="2">
        <v>146</v>
      </c>
      <c r="B147" s="3">
        <v>40550</v>
      </c>
      <c r="C147" s="2">
        <v>1</v>
      </c>
      <c r="D147" s="2">
        <v>0</v>
      </c>
      <c r="E147" s="2">
        <v>1</v>
      </c>
      <c r="F147" s="2">
        <v>8</v>
      </c>
      <c r="G147" s="2" t="b">
        <v>0</v>
      </c>
      <c r="H147" s="2">
        <v>5</v>
      </c>
      <c r="I147" s="2">
        <v>1</v>
      </c>
      <c r="J147" s="2">
        <v>0.2</v>
      </c>
    </row>
    <row r="148" spans="1:10" x14ac:dyDescent="0.3">
      <c r="A148" s="2">
        <v>147</v>
      </c>
      <c r="B148" s="3">
        <v>40550</v>
      </c>
      <c r="C148" s="2">
        <v>1</v>
      </c>
      <c r="D148" s="2">
        <v>0</v>
      </c>
      <c r="E148" s="2">
        <v>1</v>
      </c>
      <c r="F148" s="2">
        <v>9</v>
      </c>
      <c r="G148" s="2" t="b">
        <v>0</v>
      </c>
      <c r="H148" s="2">
        <v>5</v>
      </c>
      <c r="I148" s="2">
        <v>1</v>
      </c>
      <c r="J148" s="2">
        <v>0.2</v>
      </c>
    </row>
    <row r="149" spans="1:10" x14ac:dyDescent="0.3">
      <c r="A149" s="2">
        <v>148</v>
      </c>
      <c r="B149" s="3">
        <v>40550</v>
      </c>
      <c r="C149" s="2">
        <v>1</v>
      </c>
      <c r="D149" s="2">
        <v>0</v>
      </c>
      <c r="E149" s="2">
        <v>1</v>
      </c>
      <c r="F149" s="2">
        <v>10</v>
      </c>
      <c r="G149" s="2" t="b">
        <v>0</v>
      </c>
      <c r="H149" s="2">
        <v>5</v>
      </c>
      <c r="I149" s="2">
        <v>1</v>
      </c>
      <c r="J149" s="2">
        <v>0.22</v>
      </c>
    </row>
    <row r="150" spans="1:10" x14ac:dyDescent="0.3">
      <c r="A150" s="2">
        <v>149</v>
      </c>
      <c r="B150" s="3">
        <v>40550</v>
      </c>
      <c r="C150" s="2">
        <v>1</v>
      </c>
      <c r="D150" s="2">
        <v>0</v>
      </c>
      <c r="E150" s="2">
        <v>1</v>
      </c>
      <c r="F150" s="2">
        <v>11</v>
      </c>
      <c r="G150" s="2" t="b">
        <v>0</v>
      </c>
      <c r="H150" s="2">
        <v>5</v>
      </c>
      <c r="I150" s="2">
        <v>2</v>
      </c>
      <c r="J150" s="2">
        <v>0.2</v>
      </c>
    </row>
    <row r="151" spans="1:10" x14ac:dyDescent="0.3">
      <c r="A151" s="2">
        <v>150</v>
      </c>
      <c r="B151" s="3">
        <v>40550</v>
      </c>
      <c r="C151" s="2">
        <v>1</v>
      </c>
      <c r="D151" s="2">
        <v>0</v>
      </c>
      <c r="E151" s="2">
        <v>1</v>
      </c>
      <c r="F151" s="2">
        <v>12</v>
      </c>
      <c r="G151" s="2" t="b">
        <v>0</v>
      </c>
      <c r="H151" s="2">
        <v>5</v>
      </c>
      <c r="I151" s="2">
        <v>2</v>
      </c>
      <c r="J151" s="2">
        <v>0.2</v>
      </c>
    </row>
    <row r="152" spans="1:10" x14ac:dyDescent="0.3">
      <c r="A152" s="2">
        <v>151</v>
      </c>
      <c r="B152" s="3">
        <v>40550</v>
      </c>
      <c r="C152" s="2">
        <v>1</v>
      </c>
      <c r="D152" s="2">
        <v>0</v>
      </c>
      <c r="E152" s="2">
        <v>1</v>
      </c>
      <c r="F152" s="2">
        <v>13</v>
      </c>
      <c r="G152" s="2" t="b">
        <v>0</v>
      </c>
      <c r="H152" s="2">
        <v>5</v>
      </c>
      <c r="I152" s="2">
        <v>2</v>
      </c>
      <c r="J152" s="2">
        <v>0.2</v>
      </c>
    </row>
    <row r="153" spans="1:10" x14ac:dyDescent="0.3">
      <c r="A153" s="2">
        <v>152</v>
      </c>
      <c r="B153" s="3">
        <v>40550</v>
      </c>
      <c r="C153" s="2">
        <v>1</v>
      </c>
      <c r="D153" s="2">
        <v>0</v>
      </c>
      <c r="E153" s="2">
        <v>1</v>
      </c>
      <c r="F153" s="2">
        <v>14</v>
      </c>
      <c r="G153" s="2" t="b">
        <v>0</v>
      </c>
      <c r="H153" s="2">
        <v>5</v>
      </c>
      <c r="I153" s="2">
        <v>2</v>
      </c>
      <c r="J153" s="2">
        <v>0.2</v>
      </c>
    </row>
    <row r="154" spans="1:10" x14ac:dyDescent="0.3">
      <c r="A154" s="2">
        <v>153</v>
      </c>
      <c r="B154" s="3">
        <v>40550</v>
      </c>
      <c r="C154" s="2">
        <v>1</v>
      </c>
      <c r="D154" s="2">
        <v>0</v>
      </c>
      <c r="E154" s="2">
        <v>1</v>
      </c>
      <c r="F154" s="2">
        <v>15</v>
      </c>
      <c r="G154" s="2" t="b">
        <v>0</v>
      </c>
      <c r="H154" s="2">
        <v>5</v>
      </c>
      <c r="I154" s="2">
        <v>2</v>
      </c>
      <c r="J154" s="2">
        <v>0.2</v>
      </c>
    </row>
    <row r="155" spans="1:10" x14ac:dyDescent="0.3">
      <c r="A155" s="2">
        <v>154</v>
      </c>
      <c r="B155" s="3">
        <v>40550</v>
      </c>
      <c r="C155" s="2">
        <v>1</v>
      </c>
      <c r="D155" s="2">
        <v>0</v>
      </c>
      <c r="E155" s="2">
        <v>1</v>
      </c>
      <c r="F155" s="2">
        <v>16</v>
      </c>
      <c r="G155" s="2" t="b">
        <v>0</v>
      </c>
      <c r="H155" s="2">
        <v>5</v>
      </c>
      <c r="I155" s="2">
        <v>2</v>
      </c>
      <c r="J155" s="2">
        <v>0.2</v>
      </c>
    </row>
    <row r="156" spans="1:10" x14ac:dyDescent="0.3">
      <c r="A156" s="2">
        <v>155</v>
      </c>
      <c r="B156" s="3">
        <v>40550</v>
      </c>
      <c r="C156" s="2">
        <v>1</v>
      </c>
      <c r="D156" s="2">
        <v>0</v>
      </c>
      <c r="E156" s="2">
        <v>1</v>
      </c>
      <c r="F156" s="2">
        <v>17</v>
      </c>
      <c r="G156" s="2" t="b">
        <v>0</v>
      </c>
      <c r="H156" s="2">
        <v>5</v>
      </c>
      <c r="I156" s="2">
        <v>2</v>
      </c>
      <c r="J156" s="2">
        <v>0.2</v>
      </c>
    </row>
    <row r="157" spans="1:10" x14ac:dyDescent="0.3">
      <c r="A157" s="2">
        <v>156</v>
      </c>
      <c r="B157" s="3">
        <v>40550</v>
      </c>
      <c r="C157" s="2">
        <v>1</v>
      </c>
      <c r="D157" s="2">
        <v>0</v>
      </c>
      <c r="E157" s="2">
        <v>1</v>
      </c>
      <c r="F157" s="2">
        <v>18</v>
      </c>
      <c r="G157" s="2" t="b">
        <v>0</v>
      </c>
      <c r="H157" s="2">
        <v>5</v>
      </c>
      <c r="I157" s="2">
        <v>1</v>
      </c>
      <c r="J157" s="2">
        <v>0.2</v>
      </c>
    </row>
    <row r="158" spans="1:10" x14ac:dyDescent="0.3">
      <c r="A158" s="2">
        <v>157</v>
      </c>
      <c r="B158" s="3">
        <v>40550</v>
      </c>
      <c r="C158" s="2">
        <v>1</v>
      </c>
      <c r="D158" s="2">
        <v>0</v>
      </c>
      <c r="E158" s="2">
        <v>1</v>
      </c>
      <c r="F158" s="2">
        <v>19</v>
      </c>
      <c r="G158" s="2" t="b">
        <v>0</v>
      </c>
      <c r="H158" s="2">
        <v>5</v>
      </c>
      <c r="I158" s="2">
        <v>1</v>
      </c>
      <c r="J158" s="2">
        <v>0.16</v>
      </c>
    </row>
    <row r="159" spans="1:10" x14ac:dyDescent="0.3">
      <c r="A159" s="2">
        <v>158</v>
      </c>
      <c r="B159" s="3">
        <v>40550</v>
      </c>
      <c r="C159" s="2">
        <v>1</v>
      </c>
      <c r="D159" s="2">
        <v>0</v>
      </c>
      <c r="E159" s="2">
        <v>1</v>
      </c>
      <c r="F159" s="2">
        <v>20</v>
      </c>
      <c r="G159" s="2" t="b">
        <v>0</v>
      </c>
      <c r="H159" s="2">
        <v>5</v>
      </c>
      <c r="I159" s="2">
        <v>1</v>
      </c>
      <c r="J159" s="2">
        <v>0.18</v>
      </c>
    </row>
    <row r="160" spans="1:10" x14ac:dyDescent="0.3">
      <c r="A160" s="2">
        <v>159</v>
      </c>
      <c r="B160" s="3">
        <v>40550</v>
      </c>
      <c r="C160" s="2">
        <v>1</v>
      </c>
      <c r="D160" s="2">
        <v>0</v>
      </c>
      <c r="E160" s="2">
        <v>1</v>
      </c>
      <c r="F160" s="2">
        <v>21</v>
      </c>
      <c r="G160" s="2" t="b">
        <v>0</v>
      </c>
      <c r="H160" s="2">
        <v>5</v>
      </c>
      <c r="I160" s="2">
        <v>1</v>
      </c>
      <c r="J160" s="2">
        <v>0.18</v>
      </c>
    </row>
    <row r="161" spans="1:10" x14ac:dyDescent="0.3">
      <c r="A161" s="2">
        <v>160</v>
      </c>
      <c r="B161" s="3">
        <v>40550</v>
      </c>
      <c r="C161" s="2">
        <v>1</v>
      </c>
      <c r="D161" s="2">
        <v>0</v>
      </c>
      <c r="E161" s="2">
        <v>1</v>
      </c>
      <c r="F161" s="2">
        <v>22</v>
      </c>
      <c r="G161" s="2" t="b">
        <v>0</v>
      </c>
      <c r="H161" s="2">
        <v>5</v>
      </c>
      <c r="I161" s="2">
        <v>2</v>
      </c>
      <c r="J161" s="2">
        <v>0.18</v>
      </c>
    </row>
    <row r="162" spans="1:10" x14ac:dyDescent="0.3">
      <c r="A162" s="2">
        <v>161</v>
      </c>
      <c r="B162" s="3">
        <v>40550</v>
      </c>
      <c r="C162" s="2">
        <v>1</v>
      </c>
      <c r="D162" s="2">
        <v>0</v>
      </c>
      <c r="E162" s="2">
        <v>1</v>
      </c>
      <c r="F162" s="2">
        <v>23</v>
      </c>
      <c r="G162" s="2" t="b">
        <v>0</v>
      </c>
      <c r="H162" s="2">
        <v>5</v>
      </c>
      <c r="I162" s="2">
        <v>2</v>
      </c>
      <c r="J162" s="2">
        <v>0.18</v>
      </c>
    </row>
    <row r="163" spans="1:10" x14ac:dyDescent="0.3">
      <c r="A163" s="2">
        <v>162</v>
      </c>
      <c r="B163" s="3">
        <v>40551</v>
      </c>
      <c r="C163" s="2">
        <v>1</v>
      </c>
      <c r="D163" s="2">
        <v>0</v>
      </c>
      <c r="E163" s="2">
        <v>1</v>
      </c>
      <c r="F163" s="2">
        <v>0</v>
      </c>
      <c r="G163" s="2" t="b">
        <v>0</v>
      </c>
      <c r="H163" s="2">
        <v>6</v>
      </c>
      <c r="I163" s="2">
        <v>2</v>
      </c>
      <c r="J163" s="2">
        <v>0.18</v>
      </c>
    </row>
    <row r="164" spans="1:10" x14ac:dyDescent="0.3">
      <c r="A164" s="2">
        <v>163</v>
      </c>
      <c r="B164" s="3">
        <v>40551</v>
      </c>
      <c r="C164" s="2">
        <v>1</v>
      </c>
      <c r="D164" s="2">
        <v>0</v>
      </c>
      <c r="E164" s="2">
        <v>1</v>
      </c>
      <c r="F164" s="2">
        <v>1</v>
      </c>
      <c r="G164" s="2" t="b">
        <v>0</v>
      </c>
      <c r="H164" s="2">
        <v>6</v>
      </c>
      <c r="I164" s="2">
        <v>2</v>
      </c>
      <c r="J164" s="2">
        <v>0.18</v>
      </c>
    </row>
    <row r="165" spans="1:10" x14ac:dyDescent="0.3">
      <c r="A165" s="2">
        <v>164</v>
      </c>
      <c r="B165" s="3">
        <v>40551</v>
      </c>
      <c r="C165" s="2">
        <v>1</v>
      </c>
      <c r="D165" s="2">
        <v>0</v>
      </c>
      <c r="E165" s="2">
        <v>1</v>
      </c>
      <c r="F165" s="2">
        <v>2</v>
      </c>
      <c r="G165" s="2" t="b">
        <v>0</v>
      </c>
      <c r="H165" s="2">
        <v>6</v>
      </c>
      <c r="I165" s="2">
        <v>2</v>
      </c>
      <c r="J165" s="2">
        <v>0.18</v>
      </c>
    </row>
    <row r="166" spans="1:10" x14ac:dyDescent="0.3">
      <c r="A166" s="2">
        <v>165</v>
      </c>
      <c r="B166" s="3">
        <v>40551</v>
      </c>
      <c r="C166" s="2">
        <v>1</v>
      </c>
      <c r="D166" s="2">
        <v>0</v>
      </c>
      <c r="E166" s="2">
        <v>1</v>
      </c>
      <c r="F166" s="2">
        <v>3</v>
      </c>
      <c r="G166" s="2" t="b">
        <v>0</v>
      </c>
      <c r="H166" s="2">
        <v>6</v>
      </c>
      <c r="I166" s="2">
        <v>3</v>
      </c>
      <c r="J166" s="2">
        <v>0.18</v>
      </c>
    </row>
    <row r="167" spans="1:10" x14ac:dyDescent="0.3">
      <c r="A167" s="2">
        <v>166</v>
      </c>
      <c r="B167" s="3">
        <v>40551</v>
      </c>
      <c r="C167" s="2">
        <v>1</v>
      </c>
      <c r="D167" s="2">
        <v>0</v>
      </c>
      <c r="E167" s="2">
        <v>1</v>
      </c>
      <c r="F167" s="2">
        <v>4</v>
      </c>
      <c r="G167" s="2" t="b">
        <v>0</v>
      </c>
      <c r="H167" s="2">
        <v>6</v>
      </c>
      <c r="I167" s="2">
        <v>3</v>
      </c>
      <c r="J167" s="2">
        <v>0.18</v>
      </c>
    </row>
    <row r="168" spans="1:10" x14ac:dyDescent="0.3">
      <c r="A168" s="2">
        <v>167</v>
      </c>
      <c r="B168" s="3">
        <v>40551</v>
      </c>
      <c r="C168" s="2">
        <v>1</v>
      </c>
      <c r="D168" s="2">
        <v>0</v>
      </c>
      <c r="E168" s="2">
        <v>1</v>
      </c>
      <c r="F168" s="2">
        <v>5</v>
      </c>
      <c r="G168" s="2" t="b">
        <v>0</v>
      </c>
      <c r="H168" s="2">
        <v>6</v>
      </c>
      <c r="I168" s="2">
        <v>2</v>
      </c>
      <c r="J168" s="2">
        <v>0.16</v>
      </c>
    </row>
    <row r="169" spans="1:10" x14ac:dyDescent="0.3">
      <c r="A169" s="2">
        <v>168</v>
      </c>
      <c r="B169" s="3">
        <v>40551</v>
      </c>
      <c r="C169" s="2">
        <v>1</v>
      </c>
      <c r="D169" s="2">
        <v>0</v>
      </c>
      <c r="E169" s="2">
        <v>1</v>
      </c>
      <c r="F169" s="2">
        <v>6</v>
      </c>
      <c r="G169" s="2" t="b">
        <v>0</v>
      </c>
      <c r="H169" s="2">
        <v>6</v>
      </c>
      <c r="I169" s="2">
        <v>2</v>
      </c>
      <c r="J169" s="2">
        <v>0.16</v>
      </c>
    </row>
    <row r="170" spans="1:10" x14ac:dyDescent="0.3">
      <c r="A170" s="2">
        <v>169</v>
      </c>
      <c r="B170" s="3">
        <v>40551</v>
      </c>
      <c r="C170" s="2">
        <v>1</v>
      </c>
      <c r="D170" s="2">
        <v>0</v>
      </c>
      <c r="E170" s="2">
        <v>1</v>
      </c>
      <c r="F170" s="2">
        <v>7</v>
      </c>
      <c r="G170" s="2" t="b">
        <v>0</v>
      </c>
      <c r="H170" s="2">
        <v>6</v>
      </c>
      <c r="I170" s="2">
        <v>2</v>
      </c>
      <c r="J170" s="2">
        <v>0.16</v>
      </c>
    </row>
    <row r="171" spans="1:10" x14ac:dyDescent="0.3">
      <c r="A171" s="2">
        <v>170</v>
      </c>
      <c r="B171" s="3">
        <v>40551</v>
      </c>
      <c r="C171" s="2">
        <v>1</v>
      </c>
      <c r="D171" s="2">
        <v>0</v>
      </c>
      <c r="E171" s="2">
        <v>1</v>
      </c>
      <c r="F171" s="2">
        <v>8</v>
      </c>
      <c r="G171" s="2" t="b">
        <v>0</v>
      </c>
      <c r="H171" s="2">
        <v>6</v>
      </c>
      <c r="I171" s="2">
        <v>3</v>
      </c>
      <c r="J171" s="2">
        <v>0.16</v>
      </c>
    </row>
    <row r="172" spans="1:10" x14ac:dyDescent="0.3">
      <c r="A172" s="2">
        <v>171</v>
      </c>
      <c r="B172" s="3">
        <v>40551</v>
      </c>
      <c r="C172" s="2">
        <v>1</v>
      </c>
      <c r="D172" s="2">
        <v>0</v>
      </c>
      <c r="E172" s="2">
        <v>1</v>
      </c>
      <c r="F172" s="2">
        <v>9</v>
      </c>
      <c r="G172" s="2" t="b">
        <v>0</v>
      </c>
      <c r="H172" s="2">
        <v>6</v>
      </c>
      <c r="I172" s="2">
        <v>3</v>
      </c>
      <c r="J172" s="2">
        <v>0.16</v>
      </c>
    </row>
    <row r="173" spans="1:10" x14ac:dyDescent="0.3">
      <c r="A173" s="2">
        <v>172</v>
      </c>
      <c r="B173" s="3">
        <v>40551</v>
      </c>
      <c r="C173" s="2">
        <v>1</v>
      </c>
      <c r="D173" s="2">
        <v>0</v>
      </c>
      <c r="E173" s="2">
        <v>1</v>
      </c>
      <c r="F173" s="2">
        <v>10</v>
      </c>
      <c r="G173" s="2" t="b">
        <v>0</v>
      </c>
      <c r="H173" s="2">
        <v>6</v>
      </c>
      <c r="I173" s="2">
        <v>2</v>
      </c>
      <c r="J173" s="2">
        <v>0.18</v>
      </c>
    </row>
    <row r="174" spans="1:10" x14ac:dyDescent="0.3">
      <c r="A174" s="2">
        <v>173</v>
      </c>
      <c r="B174" s="3">
        <v>40551</v>
      </c>
      <c r="C174" s="2">
        <v>1</v>
      </c>
      <c r="D174" s="2">
        <v>0</v>
      </c>
      <c r="E174" s="2">
        <v>1</v>
      </c>
      <c r="F174" s="2">
        <v>11</v>
      </c>
      <c r="G174" s="2" t="b">
        <v>0</v>
      </c>
      <c r="H174" s="2">
        <v>6</v>
      </c>
      <c r="I174" s="2">
        <v>2</v>
      </c>
      <c r="J174" s="2">
        <v>0.2</v>
      </c>
    </row>
    <row r="175" spans="1:10" x14ac:dyDescent="0.3">
      <c r="A175" s="2">
        <v>174</v>
      </c>
      <c r="B175" s="3">
        <v>40551</v>
      </c>
      <c r="C175" s="2">
        <v>1</v>
      </c>
      <c r="D175" s="2">
        <v>0</v>
      </c>
      <c r="E175" s="2">
        <v>1</v>
      </c>
      <c r="F175" s="2">
        <v>12</v>
      </c>
      <c r="G175" s="2" t="b">
        <v>0</v>
      </c>
      <c r="H175" s="2">
        <v>6</v>
      </c>
      <c r="I175" s="2">
        <v>2</v>
      </c>
      <c r="J175" s="2">
        <v>0.2</v>
      </c>
    </row>
    <row r="176" spans="1:10" x14ac:dyDescent="0.3">
      <c r="A176" s="2">
        <v>175</v>
      </c>
      <c r="B176" s="3">
        <v>40551</v>
      </c>
      <c r="C176" s="2">
        <v>1</v>
      </c>
      <c r="D176" s="2">
        <v>0</v>
      </c>
      <c r="E176" s="2">
        <v>1</v>
      </c>
      <c r="F176" s="2">
        <v>13</v>
      </c>
      <c r="G176" s="2" t="b">
        <v>0</v>
      </c>
      <c r="H176" s="2">
        <v>6</v>
      </c>
      <c r="I176" s="2">
        <v>1</v>
      </c>
      <c r="J176" s="2">
        <v>0.2</v>
      </c>
    </row>
    <row r="177" spans="1:10" x14ac:dyDescent="0.3">
      <c r="A177" s="2">
        <v>176</v>
      </c>
      <c r="B177" s="3">
        <v>40551</v>
      </c>
      <c r="C177" s="2">
        <v>1</v>
      </c>
      <c r="D177" s="2">
        <v>0</v>
      </c>
      <c r="E177" s="2">
        <v>1</v>
      </c>
      <c r="F177" s="2">
        <v>14</v>
      </c>
      <c r="G177" s="2" t="b">
        <v>0</v>
      </c>
      <c r="H177" s="2">
        <v>6</v>
      </c>
      <c r="I177" s="2">
        <v>1</v>
      </c>
      <c r="J177" s="2">
        <v>0.2</v>
      </c>
    </row>
    <row r="178" spans="1:10" x14ac:dyDescent="0.3">
      <c r="A178" s="2">
        <v>177</v>
      </c>
      <c r="B178" s="3">
        <v>40551</v>
      </c>
      <c r="C178" s="2">
        <v>1</v>
      </c>
      <c r="D178" s="2">
        <v>0</v>
      </c>
      <c r="E178" s="2">
        <v>1</v>
      </c>
      <c r="F178" s="2">
        <v>15</v>
      </c>
      <c r="G178" s="2" t="b">
        <v>0</v>
      </c>
      <c r="H178" s="2">
        <v>6</v>
      </c>
      <c r="I178" s="2">
        <v>1</v>
      </c>
      <c r="J178" s="2">
        <v>0.2</v>
      </c>
    </row>
    <row r="179" spans="1:10" x14ac:dyDescent="0.3">
      <c r="A179" s="2">
        <v>178</v>
      </c>
      <c r="B179" s="3">
        <v>40551</v>
      </c>
      <c r="C179" s="2">
        <v>1</v>
      </c>
      <c r="D179" s="2">
        <v>0</v>
      </c>
      <c r="E179" s="2">
        <v>1</v>
      </c>
      <c r="F179" s="2">
        <v>16</v>
      </c>
      <c r="G179" s="2" t="b">
        <v>0</v>
      </c>
      <c r="H179" s="2">
        <v>6</v>
      </c>
      <c r="I179" s="2">
        <v>1</v>
      </c>
      <c r="J179" s="2">
        <v>0.18</v>
      </c>
    </row>
    <row r="180" spans="1:10" x14ac:dyDescent="0.3">
      <c r="A180" s="2">
        <v>179</v>
      </c>
      <c r="B180" s="3">
        <v>40551</v>
      </c>
      <c r="C180" s="2">
        <v>1</v>
      </c>
      <c r="D180" s="2">
        <v>0</v>
      </c>
      <c r="E180" s="2">
        <v>1</v>
      </c>
      <c r="F180" s="2">
        <v>17</v>
      </c>
      <c r="G180" s="2" t="b">
        <v>0</v>
      </c>
      <c r="H180" s="2">
        <v>6</v>
      </c>
      <c r="I180" s="2">
        <v>1</v>
      </c>
      <c r="J180" s="2">
        <v>0.16</v>
      </c>
    </row>
    <row r="181" spans="1:10" x14ac:dyDescent="0.3">
      <c r="A181" s="2">
        <v>180</v>
      </c>
      <c r="B181" s="3">
        <v>40551</v>
      </c>
      <c r="C181" s="2">
        <v>1</v>
      </c>
      <c r="D181" s="2">
        <v>0</v>
      </c>
      <c r="E181" s="2">
        <v>1</v>
      </c>
      <c r="F181" s="2">
        <v>18</v>
      </c>
      <c r="G181" s="2" t="b">
        <v>0</v>
      </c>
      <c r="H181" s="2">
        <v>6</v>
      </c>
      <c r="I181" s="2">
        <v>1</v>
      </c>
      <c r="J181" s="2">
        <v>0.14000000000000001</v>
      </c>
    </row>
    <row r="182" spans="1:10" x14ac:dyDescent="0.3">
      <c r="A182" s="2">
        <v>181</v>
      </c>
      <c r="B182" s="3">
        <v>40551</v>
      </c>
      <c r="C182" s="2">
        <v>1</v>
      </c>
      <c r="D182" s="2">
        <v>0</v>
      </c>
      <c r="E182" s="2">
        <v>1</v>
      </c>
      <c r="F182" s="2">
        <v>19</v>
      </c>
      <c r="G182" s="2" t="b">
        <v>0</v>
      </c>
      <c r="H182" s="2">
        <v>6</v>
      </c>
      <c r="I182" s="2">
        <v>1</v>
      </c>
      <c r="J182" s="2">
        <v>0.14000000000000001</v>
      </c>
    </row>
    <row r="183" spans="1:10" x14ac:dyDescent="0.3">
      <c r="A183" s="2">
        <v>182</v>
      </c>
      <c r="B183" s="3">
        <v>40551</v>
      </c>
      <c r="C183" s="2">
        <v>1</v>
      </c>
      <c r="D183" s="2">
        <v>0</v>
      </c>
      <c r="E183" s="2">
        <v>1</v>
      </c>
      <c r="F183" s="2">
        <v>20</v>
      </c>
      <c r="G183" s="2" t="b">
        <v>0</v>
      </c>
      <c r="H183" s="2">
        <v>6</v>
      </c>
      <c r="I183" s="2">
        <v>1</v>
      </c>
      <c r="J183" s="2">
        <v>0.12</v>
      </c>
    </row>
    <row r="184" spans="1:10" x14ac:dyDescent="0.3">
      <c r="A184" s="2">
        <v>183</v>
      </c>
      <c r="B184" s="3">
        <v>40551</v>
      </c>
      <c r="C184" s="2">
        <v>1</v>
      </c>
      <c r="D184" s="2">
        <v>0</v>
      </c>
      <c r="E184" s="2">
        <v>1</v>
      </c>
      <c r="F184" s="2">
        <v>21</v>
      </c>
      <c r="G184" s="2" t="b">
        <v>0</v>
      </c>
      <c r="H184" s="2">
        <v>6</v>
      </c>
      <c r="I184" s="2">
        <v>1</v>
      </c>
      <c r="J184" s="2">
        <v>0.12</v>
      </c>
    </row>
    <row r="185" spans="1:10" x14ac:dyDescent="0.3">
      <c r="A185" s="2">
        <v>184</v>
      </c>
      <c r="B185" s="3">
        <v>40551</v>
      </c>
      <c r="C185" s="2">
        <v>1</v>
      </c>
      <c r="D185" s="2">
        <v>0</v>
      </c>
      <c r="E185" s="2">
        <v>1</v>
      </c>
      <c r="F185" s="2">
        <v>22</v>
      </c>
      <c r="G185" s="2" t="b">
        <v>0</v>
      </c>
      <c r="H185" s="2">
        <v>6</v>
      </c>
      <c r="I185" s="2">
        <v>1</v>
      </c>
      <c r="J185" s="2">
        <v>0.12</v>
      </c>
    </row>
    <row r="186" spans="1:10" x14ac:dyDescent="0.3">
      <c r="A186" s="2">
        <v>185</v>
      </c>
      <c r="B186" s="3">
        <v>40551</v>
      </c>
      <c r="C186" s="2">
        <v>1</v>
      </c>
      <c r="D186" s="2">
        <v>0</v>
      </c>
      <c r="E186" s="2">
        <v>1</v>
      </c>
      <c r="F186" s="2">
        <v>23</v>
      </c>
      <c r="G186" s="2" t="b">
        <v>0</v>
      </c>
      <c r="H186" s="2">
        <v>6</v>
      </c>
      <c r="I186" s="2">
        <v>1</v>
      </c>
      <c r="J186" s="2">
        <v>0.1</v>
      </c>
    </row>
    <row r="187" spans="1:10" x14ac:dyDescent="0.3">
      <c r="A187" s="2">
        <v>186</v>
      </c>
      <c r="B187" s="3">
        <v>40552</v>
      </c>
      <c r="C187" s="2">
        <v>1</v>
      </c>
      <c r="D187" s="2">
        <v>0</v>
      </c>
      <c r="E187" s="2">
        <v>1</v>
      </c>
      <c r="F187" s="2">
        <v>0</v>
      </c>
      <c r="G187" s="2" t="b">
        <v>0</v>
      </c>
      <c r="H187" s="2">
        <v>0</v>
      </c>
      <c r="I187" s="2">
        <v>1</v>
      </c>
      <c r="J187" s="2">
        <v>0.1</v>
      </c>
    </row>
    <row r="188" spans="1:10" x14ac:dyDescent="0.3">
      <c r="A188" s="2">
        <v>187</v>
      </c>
      <c r="B188" s="3">
        <v>40552</v>
      </c>
      <c r="C188" s="2">
        <v>1</v>
      </c>
      <c r="D188" s="2">
        <v>0</v>
      </c>
      <c r="E188" s="2">
        <v>1</v>
      </c>
      <c r="F188" s="2">
        <v>1</v>
      </c>
      <c r="G188" s="2" t="b">
        <v>0</v>
      </c>
      <c r="H188" s="2">
        <v>0</v>
      </c>
      <c r="I188" s="2">
        <v>1</v>
      </c>
      <c r="J188" s="2">
        <v>0.1</v>
      </c>
    </row>
    <row r="189" spans="1:10" x14ac:dyDescent="0.3">
      <c r="A189" s="2">
        <v>188</v>
      </c>
      <c r="B189" s="3">
        <v>40552</v>
      </c>
      <c r="C189" s="2">
        <v>1</v>
      </c>
      <c r="D189" s="2">
        <v>0</v>
      </c>
      <c r="E189" s="2">
        <v>1</v>
      </c>
      <c r="F189" s="2">
        <v>2</v>
      </c>
      <c r="G189" s="2" t="b">
        <v>0</v>
      </c>
      <c r="H189" s="2">
        <v>0</v>
      </c>
      <c r="I189" s="2">
        <v>1</v>
      </c>
      <c r="J189" s="2">
        <v>0.1</v>
      </c>
    </row>
    <row r="190" spans="1:10" x14ac:dyDescent="0.3">
      <c r="A190" s="2">
        <v>189</v>
      </c>
      <c r="B190" s="3">
        <v>40552</v>
      </c>
      <c r="C190" s="2">
        <v>1</v>
      </c>
      <c r="D190" s="2">
        <v>0</v>
      </c>
      <c r="E190" s="2">
        <v>1</v>
      </c>
      <c r="F190" s="2">
        <v>3</v>
      </c>
      <c r="G190" s="2" t="b">
        <v>0</v>
      </c>
      <c r="H190" s="2">
        <v>0</v>
      </c>
      <c r="I190" s="2">
        <v>1</v>
      </c>
      <c r="J190" s="2">
        <v>0.1</v>
      </c>
    </row>
    <row r="191" spans="1:10" x14ac:dyDescent="0.3">
      <c r="A191" s="2">
        <v>190</v>
      </c>
      <c r="B191" s="3">
        <v>40552</v>
      </c>
      <c r="C191" s="2">
        <v>1</v>
      </c>
      <c r="D191" s="2">
        <v>0</v>
      </c>
      <c r="E191" s="2">
        <v>1</v>
      </c>
      <c r="F191" s="2">
        <v>4</v>
      </c>
      <c r="G191" s="2" t="b">
        <v>0</v>
      </c>
      <c r="H191" s="2">
        <v>0</v>
      </c>
      <c r="I191" s="2">
        <v>1</v>
      </c>
      <c r="J191" s="2">
        <v>0.08</v>
      </c>
    </row>
    <row r="192" spans="1:10" x14ac:dyDescent="0.3">
      <c r="A192" s="2">
        <v>191</v>
      </c>
      <c r="B192" s="3">
        <v>40552</v>
      </c>
      <c r="C192" s="2">
        <v>1</v>
      </c>
      <c r="D192" s="2">
        <v>0</v>
      </c>
      <c r="E192" s="2">
        <v>1</v>
      </c>
      <c r="F192" s="2">
        <v>5</v>
      </c>
      <c r="G192" s="2" t="b">
        <v>0</v>
      </c>
      <c r="H192" s="2">
        <v>0</v>
      </c>
      <c r="I192" s="2">
        <v>1</v>
      </c>
      <c r="J192" s="2">
        <v>0.08</v>
      </c>
    </row>
    <row r="193" spans="1:10" x14ac:dyDescent="0.3">
      <c r="A193" s="2">
        <v>192</v>
      </c>
      <c r="B193" s="3">
        <v>40552</v>
      </c>
      <c r="C193" s="2">
        <v>1</v>
      </c>
      <c r="D193" s="2">
        <v>0</v>
      </c>
      <c r="E193" s="2">
        <v>1</v>
      </c>
      <c r="F193" s="2">
        <v>6</v>
      </c>
      <c r="G193" s="2" t="b">
        <v>0</v>
      </c>
      <c r="H193" s="2">
        <v>0</v>
      </c>
      <c r="I193" s="2">
        <v>1</v>
      </c>
      <c r="J193" s="2">
        <v>0.1</v>
      </c>
    </row>
    <row r="194" spans="1:10" x14ac:dyDescent="0.3">
      <c r="A194" s="2">
        <v>193</v>
      </c>
      <c r="B194" s="3">
        <v>40552</v>
      </c>
      <c r="C194" s="2">
        <v>1</v>
      </c>
      <c r="D194" s="2">
        <v>0</v>
      </c>
      <c r="E194" s="2">
        <v>1</v>
      </c>
      <c r="F194" s="2">
        <v>7</v>
      </c>
      <c r="G194" s="2" t="b">
        <v>0</v>
      </c>
      <c r="H194" s="2">
        <v>0</v>
      </c>
      <c r="I194" s="2">
        <v>1</v>
      </c>
      <c r="J194" s="2">
        <v>0.08</v>
      </c>
    </row>
    <row r="195" spans="1:10" x14ac:dyDescent="0.3">
      <c r="A195" s="2">
        <v>194</v>
      </c>
      <c r="B195" s="3">
        <v>40552</v>
      </c>
      <c r="C195" s="2">
        <v>1</v>
      </c>
      <c r="D195" s="2">
        <v>0</v>
      </c>
      <c r="E195" s="2">
        <v>1</v>
      </c>
      <c r="F195" s="2">
        <v>8</v>
      </c>
      <c r="G195" s="2" t="b">
        <v>0</v>
      </c>
      <c r="H195" s="2">
        <v>0</v>
      </c>
      <c r="I195" s="2">
        <v>1</v>
      </c>
      <c r="J195" s="2">
        <v>0.1</v>
      </c>
    </row>
    <row r="196" spans="1:10" x14ac:dyDescent="0.3">
      <c r="A196" s="2">
        <v>195</v>
      </c>
      <c r="B196" s="3">
        <v>40552</v>
      </c>
      <c r="C196" s="2">
        <v>1</v>
      </c>
      <c r="D196" s="2">
        <v>0</v>
      </c>
      <c r="E196" s="2">
        <v>1</v>
      </c>
      <c r="F196" s="2">
        <v>9</v>
      </c>
      <c r="G196" s="2" t="b">
        <v>0</v>
      </c>
      <c r="H196" s="2">
        <v>0</v>
      </c>
      <c r="I196" s="2">
        <v>1</v>
      </c>
      <c r="J196" s="2">
        <v>0.12</v>
      </c>
    </row>
    <row r="197" spans="1:10" x14ac:dyDescent="0.3">
      <c r="A197" s="2">
        <v>196</v>
      </c>
      <c r="B197" s="3">
        <v>40552</v>
      </c>
      <c r="C197" s="2">
        <v>1</v>
      </c>
      <c r="D197" s="2">
        <v>0</v>
      </c>
      <c r="E197" s="2">
        <v>1</v>
      </c>
      <c r="F197" s="2">
        <v>10</v>
      </c>
      <c r="G197" s="2" t="b">
        <v>0</v>
      </c>
      <c r="H197" s="2">
        <v>0</v>
      </c>
      <c r="I197" s="2">
        <v>1</v>
      </c>
      <c r="J197" s="2">
        <v>0.14000000000000001</v>
      </c>
    </row>
    <row r="198" spans="1:10" x14ac:dyDescent="0.3">
      <c r="A198" s="2">
        <v>197</v>
      </c>
      <c r="B198" s="3">
        <v>40552</v>
      </c>
      <c r="C198" s="2">
        <v>1</v>
      </c>
      <c r="D198" s="2">
        <v>0</v>
      </c>
      <c r="E198" s="2">
        <v>1</v>
      </c>
      <c r="F198" s="2">
        <v>11</v>
      </c>
      <c r="G198" s="2" t="b">
        <v>0</v>
      </c>
      <c r="H198" s="2">
        <v>0</v>
      </c>
      <c r="I198" s="2">
        <v>1</v>
      </c>
      <c r="J198" s="2">
        <v>0.16</v>
      </c>
    </row>
    <row r="199" spans="1:10" x14ac:dyDescent="0.3">
      <c r="A199" s="2">
        <v>198</v>
      </c>
      <c r="B199" s="3">
        <v>40552</v>
      </c>
      <c r="C199" s="2">
        <v>1</v>
      </c>
      <c r="D199" s="2">
        <v>0</v>
      </c>
      <c r="E199" s="2">
        <v>1</v>
      </c>
      <c r="F199" s="2">
        <v>12</v>
      </c>
      <c r="G199" s="2" t="b">
        <v>0</v>
      </c>
      <c r="H199" s="2">
        <v>0</v>
      </c>
      <c r="I199" s="2">
        <v>1</v>
      </c>
      <c r="J199" s="2">
        <v>0.18</v>
      </c>
    </row>
    <row r="200" spans="1:10" x14ac:dyDescent="0.3">
      <c r="A200" s="2">
        <v>199</v>
      </c>
      <c r="B200" s="3">
        <v>40552</v>
      </c>
      <c r="C200" s="2">
        <v>1</v>
      </c>
      <c r="D200" s="2">
        <v>0</v>
      </c>
      <c r="E200" s="2">
        <v>1</v>
      </c>
      <c r="F200" s="2">
        <v>13</v>
      </c>
      <c r="G200" s="2" t="b">
        <v>0</v>
      </c>
      <c r="H200" s="2">
        <v>0</v>
      </c>
      <c r="I200" s="2">
        <v>1</v>
      </c>
      <c r="J200" s="2">
        <v>0.2</v>
      </c>
    </row>
    <row r="201" spans="1:10" x14ac:dyDescent="0.3">
      <c r="A201" s="2">
        <v>200</v>
      </c>
      <c r="B201" s="3">
        <v>40552</v>
      </c>
      <c r="C201" s="2">
        <v>1</v>
      </c>
      <c r="D201" s="2">
        <v>0</v>
      </c>
      <c r="E201" s="2">
        <v>1</v>
      </c>
      <c r="F201" s="2">
        <v>14</v>
      </c>
      <c r="G201" s="2" t="b">
        <v>0</v>
      </c>
      <c r="H201" s="2">
        <v>0</v>
      </c>
      <c r="I201" s="2">
        <v>1</v>
      </c>
      <c r="J201" s="2">
        <v>0.22</v>
      </c>
    </row>
    <row r="202" spans="1:10" x14ac:dyDescent="0.3">
      <c r="A202" s="2">
        <v>201</v>
      </c>
      <c r="B202" s="3">
        <v>40552</v>
      </c>
      <c r="C202" s="2">
        <v>1</v>
      </c>
      <c r="D202" s="2">
        <v>0</v>
      </c>
      <c r="E202" s="2">
        <v>1</v>
      </c>
      <c r="F202" s="2">
        <v>15</v>
      </c>
      <c r="G202" s="2" t="b">
        <v>0</v>
      </c>
      <c r="H202" s="2">
        <v>0</v>
      </c>
      <c r="I202" s="2">
        <v>1</v>
      </c>
      <c r="J202" s="2">
        <v>0.22</v>
      </c>
    </row>
    <row r="203" spans="1:10" x14ac:dyDescent="0.3">
      <c r="A203" s="2">
        <v>202</v>
      </c>
      <c r="B203" s="3">
        <v>40552</v>
      </c>
      <c r="C203" s="2">
        <v>1</v>
      </c>
      <c r="D203" s="2">
        <v>0</v>
      </c>
      <c r="E203" s="2">
        <v>1</v>
      </c>
      <c r="F203" s="2">
        <v>16</v>
      </c>
      <c r="G203" s="2" t="b">
        <v>0</v>
      </c>
      <c r="H203" s="2">
        <v>0</v>
      </c>
      <c r="I203" s="2">
        <v>1</v>
      </c>
      <c r="J203" s="2">
        <v>0.2</v>
      </c>
    </row>
    <row r="204" spans="1:10" x14ac:dyDescent="0.3">
      <c r="A204" s="2">
        <v>203</v>
      </c>
      <c r="B204" s="3">
        <v>40552</v>
      </c>
      <c r="C204" s="2">
        <v>1</v>
      </c>
      <c r="D204" s="2">
        <v>0</v>
      </c>
      <c r="E204" s="2">
        <v>1</v>
      </c>
      <c r="F204" s="2">
        <v>17</v>
      </c>
      <c r="G204" s="2" t="b">
        <v>0</v>
      </c>
      <c r="H204" s="2">
        <v>0</v>
      </c>
      <c r="I204" s="2">
        <v>1</v>
      </c>
      <c r="J204" s="2">
        <v>0.18</v>
      </c>
    </row>
    <row r="205" spans="1:10" x14ac:dyDescent="0.3">
      <c r="A205" s="2">
        <v>204</v>
      </c>
      <c r="B205" s="3">
        <v>40552</v>
      </c>
      <c r="C205" s="2">
        <v>1</v>
      </c>
      <c r="D205" s="2">
        <v>0</v>
      </c>
      <c r="E205" s="2">
        <v>1</v>
      </c>
      <c r="F205" s="2">
        <v>18</v>
      </c>
      <c r="G205" s="2" t="b">
        <v>0</v>
      </c>
      <c r="H205" s="2">
        <v>0</v>
      </c>
      <c r="I205" s="2">
        <v>1</v>
      </c>
      <c r="J205" s="2">
        <v>0.16</v>
      </c>
    </row>
    <row r="206" spans="1:10" x14ac:dyDescent="0.3">
      <c r="A206" s="2">
        <v>205</v>
      </c>
      <c r="B206" s="3">
        <v>40552</v>
      </c>
      <c r="C206" s="2">
        <v>1</v>
      </c>
      <c r="D206" s="2">
        <v>0</v>
      </c>
      <c r="E206" s="2">
        <v>1</v>
      </c>
      <c r="F206" s="2">
        <v>19</v>
      </c>
      <c r="G206" s="2" t="b">
        <v>0</v>
      </c>
      <c r="H206" s="2">
        <v>0</v>
      </c>
      <c r="I206" s="2">
        <v>1</v>
      </c>
      <c r="J206" s="2">
        <v>0.16</v>
      </c>
    </row>
    <row r="207" spans="1:10" x14ac:dyDescent="0.3">
      <c r="A207" s="2">
        <v>206</v>
      </c>
      <c r="B207" s="3">
        <v>40552</v>
      </c>
      <c r="C207" s="2">
        <v>1</v>
      </c>
      <c r="D207" s="2">
        <v>0</v>
      </c>
      <c r="E207" s="2">
        <v>1</v>
      </c>
      <c r="F207" s="2">
        <v>20</v>
      </c>
      <c r="G207" s="2" t="b">
        <v>0</v>
      </c>
      <c r="H207" s="2">
        <v>0</v>
      </c>
      <c r="I207" s="2">
        <v>1</v>
      </c>
      <c r="J207" s="2">
        <v>0.14000000000000001</v>
      </c>
    </row>
    <row r="208" spans="1:10" x14ac:dyDescent="0.3">
      <c r="A208" s="2">
        <v>207</v>
      </c>
      <c r="B208" s="3">
        <v>40552</v>
      </c>
      <c r="C208" s="2">
        <v>1</v>
      </c>
      <c r="D208" s="2">
        <v>0</v>
      </c>
      <c r="E208" s="2">
        <v>1</v>
      </c>
      <c r="F208" s="2">
        <v>21</v>
      </c>
      <c r="G208" s="2" t="b">
        <v>0</v>
      </c>
      <c r="H208" s="2">
        <v>0</v>
      </c>
      <c r="I208" s="2">
        <v>1</v>
      </c>
      <c r="J208" s="2">
        <v>0.14000000000000001</v>
      </c>
    </row>
    <row r="209" spans="1:10" x14ac:dyDescent="0.3">
      <c r="A209" s="2">
        <v>208</v>
      </c>
      <c r="B209" s="3">
        <v>40552</v>
      </c>
      <c r="C209" s="2">
        <v>1</v>
      </c>
      <c r="D209" s="2">
        <v>0</v>
      </c>
      <c r="E209" s="2">
        <v>1</v>
      </c>
      <c r="F209" s="2">
        <v>22</v>
      </c>
      <c r="G209" s="2" t="b">
        <v>0</v>
      </c>
      <c r="H209" s="2">
        <v>0</v>
      </c>
      <c r="I209" s="2">
        <v>1</v>
      </c>
      <c r="J209" s="2">
        <v>0.14000000000000001</v>
      </c>
    </row>
    <row r="210" spans="1:10" x14ac:dyDescent="0.3">
      <c r="A210" s="2">
        <v>209</v>
      </c>
      <c r="B210" s="3">
        <v>40552</v>
      </c>
      <c r="C210" s="2">
        <v>1</v>
      </c>
      <c r="D210" s="2">
        <v>0</v>
      </c>
      <c r="E210" s="2">
        <v>1</v>
      </c>
      <c r="F210" s="2">
        <v>23</v>
      </c>
      <c r="G210" s="2" t="b">
        <v>0</v>
      </c>
      <c r="H210" s="2">
        <v>0</v>
      </c>
      <c r="I210" s="2">
        <v>1</v>
      </c>
      <c r="J210" s="2">
        <v>0.12</v>
      </c>
    </row>
    <row r="211" spans="1:10" x14ac:dyDescent="0.3">
      <c r="A211" s="2">
        <v>210</v>
      </c>
      <c r="B211" s="3">
        <v>40553</v>
      </c>
      <c r="C211" s="2">
        <v>1</v>
      </c>
      <c r="D211" s="2">
        <v>0</v>
      </c>
      <c r="E211" s="2">
        <v>1</v>
      </c>
      <c r="F211" s="2">
        <v>0</v>
      </c>
      <c r="G211" s="2" t="b">
        <v>0</v>
      </c>
      <c r="H211" s="2">
        <v>1</v>
      </c>
      <c r="I211" s="2">
        <v>1</v>
      </c>
      <c r="J211" s="2">
        <v>0.12</v>
      </c>
    </row>
    <row r="212" spans="1:10" x14ac:dyDescent="0.3">
      <c r="A212" s="2">
        <v>211</v>
      </c>
      <c r="B212" s="3">
        <v>40553</v>
      </c>
      <c r="C212" s="2">
        <v>1</v>
      </c>
      <c r="D212" s="2">
        <v>0</v>
      </c>
      <c r="E212" s="2">
        <v>1</v>
      </c>
      <c r="F212" s="2">
        <v>1</v>
      </c>
      <c r="G212" s="2" t="b">
        <v>0</v>
      </c>
      <c r="H212" s="2">
        <v>1</v>
      </c>
      <c r="I212" s="2">
        <v>1</v>
      </c>
      <c r="J212" s="2">
        <v>0.12</v>
      </c>
    </row>
    <row r="213" spans="1:10" x14ac:dyDescent="0.3">
      <c r="A213" s="2">
        <v>212</v>
      </c>
      <c r="B213" s="3">
        <v>40553</v>
      </c>
      <c r="C213" s="2">
        <v>1</v>
      </c>
      <c r="D213" s="2">
        <v>0</v>
      </c>
      <c r="E213" s="2">
        <v>1</v>
      </c>
      <c r="F213" s="2">
        <v>2</v>
      </c>
      <c r="G213" s="2" t="b">
        <v>0</v>
      </c>
      <c r="H213" s="2">
        <v>1</v>
      </c>
      <c r="I213" s="2">
        <v>1</v>
      </c>
      <c r="J213" s="2">
        <v>0.12</v>
      </c>
    </row>
    <row r="214" spans="1:10" x14ac:dyDescent="0.3">
      <c r="A214" s="2">
        <v>213</v>
      </c>
      <c r="B214" s="3">
        <v>40553</v>
      </c>
      <c r="C214" s="2">
        <v>1</v>
      </c>
      <c r="D214" s="2">
        <v>0</v>
      </c>
      <c r="E214" s="2">
        <v>1</v>
      </c>
      <c r="F214" s="2">
        <v>3</v>
      </c>
      <c r="G214" s="2" t="b">
        <v>0</v>
      </c>
      <c r="H214" s="2">
        <v>1</v>
      </c>
      <c r="I214" s="2">
        <v>1</v>
      </c>
      <c r="J214" s="2">
        <v>0.12</v>
      </c>
    </row>
    <row r="215" spans="1:10" x14ac:dyDescent="0.3">
      <c r="A215" s="2">
        <v>214</v>
      </c>
      <c r="B215" s="3">
        <v>40553</v>
      </c>
      <c r="C215" s="2">
        <v>1</v>
      </c>
      <c r="D215" s="2">
        <v>0</v>
      </c>
      <c r="E215" s="2">
        <v>1</v>
      </c>
      <c r="F215" s="2">
        <v>4</v>
      </c>
      <c r="G215" s="2" t="b">
        <v>0</v>
      </c>
      <c r="H215" s="2">
        <v>1</v>
      </c>
      <c r="I215" s="2">
        <v>1</v>
      </c>
      <c r="J215" s="2">
        <v>0.1</v>
      </c>
    </row>
    <row r="216" spans="1:10" x14ac:dyDescent="0.3">
      <c r="A216" s="2">
        <v>215</v>
      </c>
      <c r="B216" s="3">
        <v>40553</v>
      </c>
      <c r="C216" s="2">
        <v>1</v>
      </c>
      <c r="D216" s="2">
        <v>0</v>
      </c>
      <c r="E216" s="2">
        <v>1</v>
      </c>
      <c r="F216" s="2">
        <v>5</v>
      </c>
      <c r="G216" s="2" t="b">
        <v>0</v>
      </c>
      <c r="H216" s="2">
        <v>1</v>
      </c>
      <c r="I216" s="2">
        <v>1</v>
      </c>
      <c r="J216" s="2">
        <v>0.1</v>
      </c>
    </row>
    <row r="217" spans="1:10" x14ac:dyDescent="0.3">
      <c r="A217" s="2">
        <v>216</v>
      </c>
      <c r="B217" s="3">
        <v>40553</v>
      </c>
      <c r="C217" s="2">
        <v>1</v>
      </c>
      <c r="D217" s="2">
        <v>0</v>
      </c>
      <c r="E217" s="2">
        <v>1</v>
      </c>
      <c r="F217" s="2">
        <v>6</v>
      </c>
      <c r="G217" s="2" t="b">
        <v>0</v>
      </c>
      <c r="H217" s="2">
        <v>1</v>
      </c>
      <c r="I217" s="2">
        <v>1</v>
      </c>
      <c r="J217" s="2">
        <v>0.12</v>
      </c>
    </row>
    <row r="218" spans="1:10" x14ac:dyDescent="0.3">
      <c r="A218" s="2">
        <v>217</v>
      </c>
      <c r="B218" s="3">
        <v>40553</v>
      </c>
      <c r="C218" s="2">
        <v>1</v>
      </c>
      <c r="D218" s="2">
        <v>0</v>
      </c>
      <c r="E218" s="2">
        <v>1</v>
      </c>
      <c r="F218" s="2">
        <v>7</v>
      </c>
      <c r="G218" s="2" t="b">
        <v>0</v>
      </c>
      <c r="H218" s="2">
        <v>1</v>
      </c>
      <c r="I218" s="2">
        <v>1</v>
      </c>
      <c r="J218" s="2">
        <v>0.12</v>
      </c>
    </row>
    <row r="219" spans="1:10" x14ac:dyDescent="0.3">
      <c r="A219" s="2">
        <v>218</v>
      </c>
      <c r="B219" s="3">
        <v>40553</v>
      </c>
      <c r="C219" s="2">
        <v>1</v>
      </c>
      <c r="D219" s="2">
        <v>0</v>
      </c>
      <c r="E219" s="2">
        <v>1</v>
      </c>
      <c r="F219" s="2">
        <v>8</v>
      </c>
      <c r="G219" s="2" t="b">
        <v>0</v>
      </c>
      <c r="H219" s="2">
        <v>1</v>
      </c>
      <c r="I219" s="2">
        <v>2</v>
      </c>
      <c r="J219" s="2">
        <v>0.12</v>
      </c>
    </row>
    <row r="220" spans="1:10" x14ac:dyDescent="0.3">
      <c r="A220" s="2">
        <v>219</v>
      </c>
      <c r="B220" s="3">
        <v>40553</v>
      </c>
      <c r="C220" s="2">
        <v>1</v>
      </c>
      <c r="D220" s="2">
        <v>0</v>
      </c>
      <c r="E220" s="2">
        <v>1</v>
      </c>
      <c r="F220" s="2">
        <v>9</v>
      </c>
      <c r="G220" s="2" t="b">
        <v>0</v>
      </c>
      <c r="H220" s="2">
        <v>1</v>
      </c>
      <c r="I220" s="2">
        <v>2</v>
      </c>
      <c r="J220" s="2">
        <v>0.14000000000000001</v>
      </c>
    </row>
    <row r="221" spans="1:10" x14ac:dyDescent="0.3">
      <c r="A221" s="2">
        <v>220</v>
      </c>
      <c r="B221" s="3">
        <v>40553</v>
      </c>
      <c r="C221" s="2">
        <v>1</v>
      </c>
      <c r="D221" s="2">
        <v>0</v>
      </c>
      <c r="E221" s="2">
        <v>1</v>
      </c>
      <c r="F221" s="2">
        <v>10</v>
      </c>
      <c r="G221" s="2" t="b">
        <v>0</v>
      </c>
      <c r="H221" s="2">
        <v>1</v>
      </c>
      <c r="I221" s="2">
        <v>2</v>
      </c>
      <c r="J221" s="2">
        <v>0.14000000000000001</v>
      </c>
    </row>
    <row r="222" spans="1:10" x14ac:dyDescent="0.3">
      <c r="A222" s="2">
        <v>221</v>
      </c>
      <c r="B222" s="3">
        <v>40553</v>
      </c>
      <c r="C222" s="2">
        <v>1</v>
      </c>
      <c r="D222" s="2">
        <v>0</v>
      </c>
      <c r="E222" s="2">
        <v>1</v>
      </c>
      <c r="F222" s="2">
        <v>11</v>
      </c>
      <c r="G222" s="2" t="b">
        <v>0</v>
      </c>
      <c r="H222" s="2">
        <v>1</v>
      </c>
      <c r="I222" s="2">
        <v>2</v>
      </c>
      <c r="J222" s="2">
        <v>0.16</v>
      </c>
    </row>
    <row r="223" spans="1:10" x14ac:dyDescent="0.3">
      <c r="A223" s="2">
        <v>222</v>
      </c>
      <c r="B223" s="3">
        <v>40553</v>
      </c>
      <c r="C223" s="2">
        <v>1</v>
      </c>
      <c r="D223" s="2">
        <v>0</v>
      </c>
      <c r="E223" s="2">
        <v>1</v>
      </c>
      <c r="F223" s="2">
        <v>12</v>
      </c>
      <c r="G223" s="2" t="b">
        <v>0</v>
      </c>
      <c r="H223" s="2">
        <v>1</v>
      </c>
      <c r="I223" s="2">
        <v>2</v>
      </c>
      <c r="J223" s="2">
        <v>0.2</v>
      </c>
    </row>
    <row r="224" spans="1:10" x14ac:dyDescent="0.3">
      <c r="A224" s="2">
        <v>223</v>
      </c>
      <c r="B224" s="3">
        <v>40553</v>
      </c>
      <c r="C224" s="2">
        <v>1</v>
      </c>
      <c r="D224" s="2">
        <v>0</v>
      </c>
      <c r="E224" s="2">
        <v>1</v>
      </c>
      <c r="F224" s="2">
        <v>13</v>
      </c>
      <c r="G224" s="2" t="b">
        <v>0</v>
      </c>
      <c r="H224" s="2">
        <v>1</v>
      </c>
      <c r="I224" s="2">
        <v>2</v>
      </c>
      <c r="J224" s="2">
        <v>0.2</v>
      </c>
    </row>
    <row r="225" spans="1:10" x14ac:dyDescent="0.3">
      <c r="A225" s="2">
        <v>224</v>
      </c>
      <c r="B225" s="3">
        <v>40553</v>
      </c>
      <c r="C225" s="2">
        <v>1</v>
      </c>
      <c r="D225" s="2">
        <v>0</v>
      </c>
      <c r="E225" s="2">
        <v>1</v>
      </c>
      <c r="F225" s="2">
        <v>14</v>
      </c>
      <c r="G225" s="2" t="b">
        <v>0</v>
      </c>
      <c r="H225" s="2">
        <v>1</v>
      </c>
      <c r="I225" s="2">
        <v>2</v>
      </c>
      <c r="J225" s="2">
        <v>0.2</v>
      </c>
    </row>
    <row r="226" spans="1:10" x14ac:dyDescent="0.3">
      <c r="A226" s="2">
        <v>225</v>
      </c>
      <c r="B226" s="3">
        <v>40553</v>
      </c>
      <c r="C226" s="2">
        <v>1</v>
      </c>
      <c r="D226" s="2">
        <v>0</v>
      </c>
      <c r="E226" s="2">
        <v>1</v>
      </c>
      <c r="F226" s="2">
        <v>15</v>
      </c>
      <c r="G226" s="2" t="b">
        <v>0</v>
      </c>
      <c r="H226" s="2">
        <v>1</v>
      </c>
      <c r="I226" s="2">
        <v>2</v>
      </c>
      <c r="J226" s="2">
        <v>0.2</v>
      </c>
    </row>
    <row r="227" spans="1:10" x14ac:dyDescent="0.3">
      <c r="A227" s="2">
        <v>226</v>
      </c>
      <c r="B227" s="3">
        <v>40553</v>
      </c>
      <c r="C227" s="2">
        <v>1</v>
      </c>
      <c r="D227" s="2">
        <v>0</v>
      </c>
      <c r="E227" s="2">
        <v>1</v>
      </c>
      <c r="F227" s="2">
        <v>16</v>
      </c>
      <c r="G227" s="2" t="b">
        <v>0</v>
      </c>
      <c r="H227" s="2">
        <v>1</v>
      </c>
      <c r="I227" s="2">
        <v>1</v>
      </c>
      <c r="J227" s="2">
        <v>0.2</v>
      </c>
    </row>
    <row r="228" spans="1:10" x14ac:dyDescent="0.3">
      <c r="A228" s="2">
        <v>227</v>
      </c>
      <c r="B228" s="3">
        <v>40553</v>
      </c>
      <c r="C228" s="2">
        <v>1</v>
      </c>
      <c r="D228" s="2">
        <v>0</v>
      </c>
      <c r="E228" s="2">
        <v>1</v>
      </c>
      <c r="F228" s="2">
        <v>17</v>
      </c>
      <c r="G228" s="2" t="b">
        <v>0</v>
      </c>
      <c r="H228" s="2">
        <v>1</v>
      </c>
      <c r="I228" s="2">
        <v>1</v>
      </c>
      <c r="J228" s="2">
        <v>0.2</v>
      </c>
    </row>
    <row r="229" spans="1:10" x14ac:dyDescent="0.3">
      <c r="A229" s="2">
        <v>228</v>
      </c>
      <c r="B229" s="3">
        <v>40553</v>
      </c>
      <c r="C229" s="2">
        <v>1</v>
      </c>
      <c r="D229" s="2">
        <v>0</v>
      </c>
      <c r="E229" s="2">
        <v>1</v>
      </c>
      <c r="F229" s="2">
        <v>18</v>
      </c>
      <c r="G229" s="2" t="b">
        <v>0</v>
      </c>
      <c r="H229" s="2">
        <v>1</v>
      </c>
      <c r="I229" s="2">
        <v>1</v>
      </c>
      <c r="J229" s="2">
        <v>0.2</v>
      </c>
    </row>
    <row r="230" spans="1:10" x14ac:dyDescent="0.3">
      <c r="A230" s="2">
        <v>229</v>
      </c>
      <c r="B230" s="3">
        <v>40553</v>
      </c>
      <c r="C230" s="2">
        <v>1</v>
      </c>
      <c r="D230" s="2">
        <v>0</v>
      </c>
      <c r="E230" s="2">
        <v>1</v>
      </c>
      <c r="F230" s="2">
        <v>19</v>
      </c>
      <c r="G230" s="2" t="b">
        <v>0</v>
      </c>
      <c r="H230" s="2">
        <v>1</v>
      </c>
      <c r="I230" s="2">
        <v>1</v>
      </c>
      <c r="J230" s="2">
        <v>0.16</v>
      </c>
    </row>
    <row r="231" spans="1:10" x14ac:dyDescent="0.3">
      <c r="A231" s="2">
        <v>230</v>
      </c>
      <c r="B231" s="3">
        <v>40553</v>
      </c>
      <c r="C231" s="2">
        <v>1</v>
      </c>
      <c r="D231" s="2">
        <v>0</v>
      </c>
      <c r="E231" s="2">
        <v>1</v>
      </c>
      <c r="F231" s="2">
        <v>20</v>
      </c>
      <c r="G231" s="2" t="b">
        <v>0</v>
      </c>
      <c r="H231" s="2">
        <v>1</v>
      </c>
      <c r="I231" s="2">
        <v>1</v>
      </c>
      <c r="J231" s="2">
        <v>0.16</v>
      </c>
    </row>
    <row r="232" spans="1:10" x14ac:dyDescent="0.3">
      <c r="A232" s="2">
        <v>231</v>
      </c>
      <c r="B232" s="3">
        <v>40553</v>
      </c>
      <c r="C232" s="2">
        <v>1</v>
      </c>
      <c r="D232" s="2">
        <v>0</v>
      </c>
      <c r="E232" s="2">
        <v>1</v>
      </c>
      <c r="F232" s="2">
        <v>21</v>
      </c>
      <c r="G232" s="2" t="b">
        <v>0</v>
      </c>
      <c r="H232" s="2">
        <v>1</v>
      </c>
      <c r="I232" s="2">
        <v>1</v>
      </c>
      <c r="J232" s="2">
        <v>0.14000000000000001</v>
      </c>
    </row>
    <row r="233" spans="1:10" x14ac:dyDescent="0.3">
      <c r="A233" s="2">
        <v>232</v>
      </c>
      <c r="B233" s="3">
        <v>40553</v>
      </c>
      <c r="C233" s="2">
        <v>1</v>
      </c>
      <c r="D233" s="2">
        <v>0</v>
      </c>
      <c r="E233" s="2">
        <v>1</v>
      </c>
      <c r="F233" s="2">
        <v>22</v>
      </c>
      <c r="G233" s="2" t="b">
        <v>0</v>
      </c>
      <c r="H233" s="2">
        <v>1</v>
      </c>
      <c r="I233" s="2">
        <v>1</v>
      </c>
      <c r="J233" s="2">
        <v>0.14000000000000001</v>
      </c>
    </row>
    <row r="234" spans="1:10" x14ac:dyDescent="0.3">
      <c r="A234" s="2">
        <v>233</v>
      </c>
      <c r="B234" s="3">
        <v>40553</v>
      </c>
      <c r="C234" s="2">
        <v>1</v>
      </c>
      <c r="D234" s="2">
        <v>0</v>
      </c>
      <c r="E234" s="2">
        <v>1</v>
      </c>
      <c r="F234" s="2">
        <v>23</v>
      </c>
      <c r="G234" s="2" t="b">
        <v>0</v>
      </c>
      <c r="H234" s="2">
        <v>1</v>
      </c>
      <c r="I234" s="2">
        <v>1</v>
      </c>
      <c r="J234" s="2">
        <v>0.14000000000000001</v>
      </c>
    </row>
    <row r="235" spans="1:10" x14ac:dyDescent="0.3">
      <c r="A235" s="2">
        <v>234</v>
      </c>
      <c r="B235" s="3">
        <v>40554</v>
      </c>
      <c r="C235" s="2">
        <v>1</v>
      </c>
      <c r="D235" s="2">
        <v>0</v>
      </c>
      <c r="E235" s="2">
        <v>1</v>
      </c>
      <c r="F235" s="2">
        <v>0</v>
      </c>
      <c r="G235" s="2" t="b">
        <v>0</v>
      </c>
      <c r="H235" s="2">
        <v>2</v>
      </c>
      <c r="I235" s="2">
        <v>1</v>
      </c>
      <c r="J235" s="2">
        <v>0.14000000000000001</v>
      </c>
    </row>
    <row r="236" spans="1:10" x14ac:dyDescent="0.3">
      <c r="A236" s="2">
        <v>235</v>
      </c>
      <c r="B236" s="3">
        <v>40554</v>
      </c>
      <c r="C236" s="2">
        <v>1</v>
      </c>
      <c r="D236" s="2">
        <v>0</v>
      </c>
      <c r="E236" s="2">
        <v>1</v>
      </c>
      <c r="F236" s="2">
        <v>1</v>
      </c>
      <c r="G236" s="2" t="b">
        <v>0</v>
      </c>
      <c r="H236" s="2">
        <v>2</v>
      </c>
      <c r="I236" s="2">
        <v>1</v>
      </c>
      <c r="J236" s="2">
        <v>0.14000000000000001</v>
      </c>
    </row>
    <row r="237" spans="1:10" x14ac:dyDescent="0.3">
      <c r="A237" s="2">
        <v>236</v>
      </c>
      <c r="B237" s="3">
        <v>40554</v>
      </c>
      <c r="C237" s="2">
        <v>1</v>
      </c>
      <c r="D237" s="2">
        <v>0</v>
      </c>
      <c r="E237" s="2">
        <v>1</v>
      </c>
      <c r="F237" s="2">
        <v>2</v>
      </c>
      <c r="G237" s="2" t="b">
        <v>0</v>
      </c>
      <c r="H237" s="2">
        <v>2</v>
      </c>
      <c r="I237" s="2">
        <v>2</v>
      </c>
      <c r="J237" s="2">
        <v>0.16</v>
      </c>
    </row>
    <row r="238" spans="1:10" x14ac:dyDescent="0.3">
      <c r="A238" s="2">
        <v>237</v>
      </c>
      <c r="B238" s="3">
        <v>40554</v>
      </c>
      <c r="C238" s="2">
        <v>1</v>
      </c>
      <c r="D238" s="2">
        <v>0</v>
      </c>
      <c r="E238" s="2">
        <v>1</v>
      </c>
      <c r="F238" s="2">
        <v>5</v>
      </c>
      <c r="G238" s="2" t="b">
        <v>0</v>
      </c>
      <c r="H238" s="2">
        <v>2</v>
      </c>
      <c r="I238" s="2">
        <v>2</v>
      </c>
      <c r="J238" s="2">
        <v>0.16</v>
      </c>
    </row>
    <row r="239" spans="1:10" x14ac:dyDescent="0.3">
      <c r="A239" s="2">
        <v>238</v>
      </c>
      <c r="B239" s="3">
        <v>40554</v>
      </c>
      <c r="C239" s="2">
        <v>1</v>
      </c>
      <c r="D239" s="2">
        <v>0</v>
      </c>
      <c r="E239" s="2">
        <v>1</v>
      </c>
      <c r="F239" s="2">
        <v>6</v>
      </c>
      <c r="G239" s="2" t="b">
        <v>0</v>
      </c>
      <c r="H239" s="2">
        <v>2</v>
      </c>
      <c r="I239" s="2">
        <v>2</v>
      </c>
      <c r="J239" s="2">
        <v>0.16</v>
      </c>
    </row>
    <row r="240" spans="1:10" x14ac:dyDescent="0.3">
      <c r="A240" s="2">
        <v>239</v>
      </c>
      <c r="B240" s="3">
        <v>40554</v>
      </c>
      <c r="C240" s="2">
        <v>1</v>
      </c>
      <c r="D240" s="2">
        <v>0</v>
      </c>
      <c r="E240" s="2">
        <v>1</v>
      </c>
      <c r="F240" s="2">
        <v>7</v>
      </c>
      <c r="G240" s="2" t="b">
        <v>0</v>
      </c>
      <c r="H240" s="2">
        <v>2</v>
      </c>
      <c r="I240" s="2">
        <v>2</v>
      </c>
      <c r="J240" s="2">
        <v>0.16</v>
      </c>
    </row>
    <row r="241" spans="1:10" x14ac:dyDescent="0.3">
      <c r="A241" s="2">
        <v>240</v>
      </c>
      <c r="B241" s="3">
        <v>40554</v>
      </c>
      <c r="C241" s="2">
        <v>1</v>
      </c>
      <c r="D241" s="2">
        <v>0</v>
      </c>
      <c r="E241" s="2">
        <v>1</v>
      </c>
      <c r="F241" s="2">
        <v>8</v>
      </c>
      <c r="G241" s="2" t="b">
        <v>0</v>
      </c>
      <c r="H241" s="2">
        <v>2</v>
      </c>
      <c r="I241" s="2">
        <v>2</v>
      </c>
      <c r="J241" s="2">
        <v>0.18</v>
      </c>
    </row>
    <row r="242" spans="1:10" x14ac:dyDescent="0.3">
      <c r="A242" s="2">
        <v>241</v>
      </c>
      <c r="B242" s="3">
        <v>40554</v>
      </c>
      <c r="C242" s="2">
        <v>1</v>
      </c>
      <c r="D242" s="2">
        <v>0</v>
      </c>
      <c r="E242" s="2">
        <v>1</v>
      </c>
      <c r="F242" s="2">
        <v>9</v>
      </c>
      <c r="G242" s="2" t="b">
        <v>0</v>
      </c>
      <c r="H242" s="2">
        <v>2</v>
      </c>
      <c r="I242" s="2">
        <v>2</v>
      </c>
      <c r="J242" s="2">
        <v>0.18</v>
      </c>
    </row>
    <row r="243" spans="1:10" x14ac:dyDescent="0.3">
      <c r="A243" s="2">
        <v>242</v>
      </c>
      <c r="B243" s="3">
        <v>40554</v>
      </c>
      <c r="C243" s="2">
        <v>1</v>
      </c>
      <c r="D243" s="2">
        <v>0</v>
      </c>
      <c r="E243" s="2">
        <v>1</v>
      </c>
      <c r="F243" s="2">
        <v>10</v>
      </c>
      <c r="G243" s="2" t="b">
        <v>0</v>
      </c>
      <c r="H243" s="2">
        <v>2</v>
      </c>
      <c r="I243" s="2">
        <v>2</v>
      </c>
      <c r="J243" s="2">
        <v>0.2</v>
      </c>
    </row>
    <row r="244" spans="1:10" x14ac:dyDescent="0.3">
      <c r="A244" s="2">
        <v>243</v>
      </c>
      <c r="B244" s="3">
        <v>40554</v>
      </c>
      <c r="C244" s="2">
        <v>1</v>
      </c>
      <c r="D244" s="2">
        <v>0</v>
      </c>
      <c r="E244" s="2">
        <v>1</v>
      </c>
      <c r="F244" s="2">
        <v>11</v>
      </c>
      <c r="G244" s="2" t="b">
        <v>0</v>
      </c>
      <c r="H244" s="2">
        <v>2</v>
      </c>
      <c r="I244" s="2">
        <v>2</v>
      </c>
      <c r="J244" s="2">
        <v>0.2</v>
      </c>
    </row>
    <row r="245" spans="1:10" x14ac:dyDescent="0.3">
      <c r="A245" s="2">
        <v>244</v>
      </c>
      <c r="B245" s="3">
        <v>40554</v>
      </c>
      <c r="C245" s="2">
        <v>1</v>
      </c>
      <c r="D245" s="2">
        <v>0</v>
      </c>
      <c r="E245" s="2">
        <v>1</v>
      </c>
      <c r="F245" s="2">
        <v>12</v>
      </c>
      <c r="G245" s="2" t="b">
        <v>0</v>
      </c>
      <c r="H245" s="2">
        <v>2</v>
      </c>
      <c r="I245" s="2">
        <v>2</v>
      </c>
      <c r="J245" s="2">
        <v>0.2</v>
      </c>
    </row>
    <row r="246" spans="1:10" x14ac:dyDescent="0.3">
      <c r="A246" s="2">
        <v>245</v>
      </c>
      <c r="B246" s="3">
        <v>40554</v>
      </c>
      <c r="C246" s="2">
        <v>1</v>
      </c>
      <c r="D246" s="2">
        <v>0</v>
      </c>
      <c r="E246" s="2">
        <v>1</v>
      </c>
      <c r="F246" s="2">
        <v>13</v>
      </c>
      <c r="G246" s="2" t="b">
        <v>0</v>
      </c>
      <c r="H246" s="2">
        <v>2</v>
      </c>
      <c r="I246" s="2">
        <v>2</v>
      </c>
      <c r="J246" s="2">
        <v>0.2</v>
      </c>
    </row>
    <row r="247" spans="1:10" x14ac:dyDescent="0.3">
      <c r="A247" s="2">
        <v>246</v>
      </c>
      <c r="B247" s="3">
        <v>40554</v>
      </c>
      <c r="C247" s="2">
        <v>1</v>
      </c>
      <c r="D247" s="2">
        <v>0</v>
      </c>
      <c r="E247" s="2">
        <v>1</v>
      </c>
      <c r="F247" s="2">
        <v>14</v>
      </c>
      <c r="G247" s="2" t="b">
        <v>0</v>
      </c>
      <c r="H247" s="2">
        <v>2</v>
      </c>
      <c r="I247" s="2">
        <v>2</v>
      </c>
      <c r="J247" s="2">
        <v>0.2</v>
      </c>
    </row>
    <row r="248" spans="1:10" x14ac:dyDescent="0.3">
      <c r="A248" s="2">
        <v>247</v>
      </c>
      <c r="B248" s="3">
        <v>40554</v>
      </c>
      <c r="C248" s="2">
        <v>1</v>
      </c>
      <c r="D248" s="2">
        <v>0</v>
      </c>
      <c r="E248" s="2">
        <v>1</v>
      </c>
      <c r="F248" s="2">
        <v>15</v>
      </c>
      <c r="G248" s="2" t="b">
        <v>0</v>
      </c>
      <c r="H248" s="2">
        <v>2</v>
      </c>
      <c r="I248" s="2">
        <v>2</v>
      </c>
      <c r="J248" s="2">
        <v>0.16</v>
      </c>
    </row>
    <row r="249" spans="1:10" x14ac:dyDescent="0.3">
      <c r="A249" s="2">
        <v>248</v>
      </c>
      <c r="B249" s="3">
        <v>40554</v>
      </c>
      <c r="C249" s="2">
        <v>1</v>
      </c>
      <c r="D249" s="2">
        <v>0</v>
      </c>
      <c r="E249" s="2">
        <v>1</v>
      </c>
      <c r="F249" s="2">
        <v>16</v>
      </c>
      <c r="G249" s="2" t="b">
        <v>0</v>
      </c>
      <c r="H249" s="2">
        <v>2</v>
      </c>
      <c r="I249" s="2">
        <v>2</v>
      </c>
      <c r="J249" s="2">
        <v>0.16</v>
      </c>
    </row>
    <row r="250" spans="1:10" x14ac:dyDescent="0.3">
      <c r="A250" s="2">
        <v>249</v>
      </c>
      <c r="B250" s="3">
        <v>40554</v>
      </c>
      <c r="C250" s="2">
        <v>1</v>
      </c>
      <c r="D250" s="2">
        <v>0</v>
      </c>
      <c r="E250" s="2">
        <v>1</v>
      </c>
      <c r="F250" s="2">
        <v>17</v>
      </c>
      <c r="G250" s="2" t="b">
        <v>0</v>
      </c>
      <c r="H250" s="2">
        <v>2</v>
      </c>
      <c r="I250" s="2">
        <v>2</v>
      </c>
      <c r="J250" s="2">
        <v>0.16</v>
      </c>
    </row>
    <row r="251" spans="1:10" x14ac:dyDescent="0.3">
      <c r="A251" s="2">
        <v>250</v>
      </c>
      <c r="B251" s="3">
        <v>40554</v>
      </c>
      <c r="C251" s="2">
        <v>1</v>
      </c>
      <c r="D251" s="2">
        <v>0</v>
      </c>
      <c r="E251" s="2">
        <v>1</v>
      </c>
      <c r="F251" s="2">
        <v>18</v>
      </c>
      <c r="G251" s="2" t="b">
        <v>0</v>
      </c>
      <c r="H251" s="2">
        <v>2</v>
      </c>
      <c r="I251" s="2">
        <v>3</v>
      </c>
      <c r="J251" s="2">
        <v>0.16</v>
      </c>
    </row>
    <row r="252" spans="1:10" x14ac:dyDescent="0.3">
      <c r="A252" s="2">
        <v>251</v>
      </c>
      <c r="B252" s="3">
        <v>40554</v>
      </c>
      <c r="C252" s="2">
        <v>1</v>
      </c>
      <c r="D252" s="2">
        <v>0</v>
      </c>
      <c r="E252" s="2">
        <v>1</v>
      </c>
      <c r="F252" s="2">
        <v>19</v>
      </c>
      <c r="G252" s="2" t="b">
        <v>0</v>
      </c>
      <c r="H252" s="2">
        <v>2</v>
      </c>
      <c r="I252" s="2">
        <v>3</v>
      </c>
      <c r="J252" s="2">
        <v>0.16</v>
      </c>
    </row>
    <row r="253" spans="1:10" x14ac:dyDescent="0.3">
      <c r="A253" s="2">
        <v>252</v>
      </c>
      <c r="B253" s="3">
        <v>40554</v>
      </c>
      <c r="C253" s="2">
        <v>1</v>
      </c>
      <c r="D253" s="2">
        <v>0</v>
      </c>
      <c r="E253" s="2">
        <v>1</v>
      </c>
      <c r="F253" s="2">
        <v>20</v>
      </c>
      <c r="G253" s="2" t="b">
        <v>0</v>
      </c>
      <c r="H253" s="2">
        <v>2</v>
      </c>
      <c r="I253" s="2">
        <v>3</v>
      </c>
      <c r="J253" s="2">
        <v>0.16</v>
      </c>
    </row>
    <row r="254" spans="1:10" x14ac:dyDescent="0.3">
      <c r="A254" s="2">
        <v>253</v>
      </c>
      <c r="B254" s="3">
        <v>40554</v>
      </c>
      <c r="C254" s="2">
        <v>1</v>
      </c>
      <c r="D254" s="2">
        <v>0</v>
      </c>
      <c r="E254" s="2">
        <v>1</v>
      </c>
      <c r="F254" s="2">
        <v>21</v>
      </c>
      <c r="G254" s="2" t="b">
        <v>0</v>
      </c>
      <c r="H254" s="2">
        <v>2</v>
      </c>
      <c r="I254" s="2">
        <v>3</v>
      </c>
      <c r="J254" s="2">
        <v>0.16</v>
      </c>
    </row>
    <row r="255" spans="1:10" x14ac:dyDescent="0.3">
      <c r="A255" s="2">
        <v>254</v>
      </c>
      <c r="B255" s="3">
        <v>40554</v>
      </c>
      <c r="C255" s="2">
        <v>1</v>
      </c>
      <c r="D255" s="2">
        <v>0</v>
      </c>
      <c r="E255" s="2">
        <v>1</v>
      </c>
      <c r="F255" s="2">
        <v>22</v>
      </c>
      <c r="G255" s="2" t="b">
        <v>0</v>
      </c>
      <c r="H255" s="2">
        <v>2</v>
      </c>
      <c r="I255" s="2">
        <v>3</v>
      </c>
      <c r="J255" s="2">
        <v>0.16</v>
      </c>
    </row>
    <row r="256" spans="1:10" x14ac:dyDescent="0.3">
      <c r="A256" s="2">
        <v>255</v>
      </c>
      <c r="B256" s="3">
        <v>40554</v>
      </c>
      <c r="C256" s="2">
        <v>1</v>
      </c>
      <c r="D256" s="2">
        <v>0</v>
      </c>
      <c r="E256" s="2">
        <v>1</v>
      </c>
      <c r="F256" s="2">
        <v>23</v>
      </c>
      <c r="G256" s="2" t="b">
        <v>0</v>
      </c>
      <c r="H256" s="2">
        <v>2</v>
      </c>
      <c r="I256" s="2">
        <v>3</v>
      </c>
      <c r="J256" s="2">
        <v>0.16</v>
      </c>
    </row>
    <row r="257" spans="1:10" x14ac:dyDescent="0.3">
      <c r="A257" s="2">
        <v>256</v>
      </c>
      <c r="B257" s="3">
        <v>40555</v>
      </c>
      <c r="C257" s="2">
        <v>1</v>
      </c>
      <c r="D257" s="2">
        <v>0</v>
      </c>
      <c r="E257" s="2">
        <v>1</v>
      </c>
      <c r="F257" s="2">
        <v>0</v>
      </c>
      <c r="G257" s="2" t="b">
        <v>0</v>
      </c>
      <c r="H257" s="2">
        <v>3</v>
      </c>
      <c r="I257" s="2">
        <v>2</v>
      </c>
      <c r="J257" s="2">
        <v>0.16</v>
      </c>
    </row>
    <row r="258" spans="1:10" x14ac:dyDescent="0.3">
      <c r="A258" s="2">
        <v>257</v>
      </c>
      <c r="B258" s="3">
        <v>40555</v>
      </c>
      <c r="C258" s="2">
        <v>1</v>
      </c>
      <c r="D258" s="2">
        <v>0</v>
      </c>
      <c r="E258" s="2">
        <v>1</v>
      </c>
      <c r="F258" s="2">
        <v>1</v>
      </c>
      <c r="G258" s="2" t="b">
        <v>0</v>
      </c>
      <c r="H258" s="2">
        <v>3</v>
      </c>
      <c r="I258" s="2">
        <v>2</v>
      </c>
      <c r="J258" s="2">
        <v>0.16</v>
      </c>
    </row>
    <row r="259" spans="1:10" x14ac:dyDescent="0.3">
      <c r="A259" s="2">
        <v>258</v>
      </c>
      <c r="B259" s="3">
        <v>40555</v>
      </c>
      <c r="C259" s="2">
        <v>1</v>
      </c>
      <c r="D259" s="2">
        <v>0</v>
      </c>
      <c r="E259" s="2">
        <v>1</v>
      </c>
      <c r="F259" s="2">
        <v>2</v>
      </c>
      <c r="G259" s="2" t="b">
        <v>0</v>
      </c>
      <c r="H259" s="2">
        <v>3</v>
      </c>
      <c r="I259" s="2">
        <v>1</v>
      </c>
      <c r="J259" s="2">
        <v>0.14000000000000001</v>
      </c>
    </row>
    <row r="260" spans="1:10" x14ac:dyDescent="0.3">
      <c r="A260" s="2">
        <v>259</v>
      </c>
      <c r="B260" s="3">
        <v>40555</v>
      </c>
      <c r="C260" s="2">
        <v>1</v>
      </c>
      <c r="D260" s="2">
        <v>0</v>
      </c>
      <c r="E260" s="2">
        <v>1</v>
      </c>
      <c r="F260" s="2">
        <v>5</v>
      </c>
      <c r="G260" s="2" t="b">
        <v>0</v>
      </c>
      <c r="H260" s="2">
        <v>3</v>
      </c>
      <c r="I260" s="2">
        <v>1</v>
      </c>
      <c r="J260" s="2">
        <v>0.14000000000000001</v>
      </c>
    </row>
    <row r="261" spans="1:10" x14ac:dyDescent="0.3">
      <c r="A261" s="2">
        <v>260</v>
      </c>
      <c r="B261" s="3">
        <v>40555</v>
      </c>
      <c r="C261" s="2">
        <v>1</v>
      </c>
      <c r="D261" s="2">
        <v>0</v>
      </c>
      <c r="E261" s="2">
        <v>1</v>
      </c>
      <c r="F261" s="2">
        <v>6</v>
      </c>
      <c r="G261" s="2" t="b">
        <v>0</v>
      </c>
      <c r="H261" s="2">
        <v>3</v>
      </c>
      <c r="I261" s="2">
        <v>1</v>
      </c>
      <c r="J261" s="2">
        <v>0.12</v>
      </c>
    </row>
    <row r="262" spans="1:10" x14ac:dyDescent="0.3">
      <c r="A262" s="2">
        <v>261</v>
      </c>
      <c r="B262" s="3">
        <v>40555</v>
      </c>
      <c r="C262" s="2">
        <v>1</v>
      </c>
      <c r="D262" s="2">
        <v>0</v>
      </c>
      <c r="E262" s="2">
        <v>1</v>
      </c>
      <c r="F262" s="2">
        <v>7</v>
      </c>
      <c r="G262" s="2" t="b">
        <v>0</v>
      </c>
      <c r="H262" s="2">
        <v>3</v>
      </c>
      <c r="I262" s="2">
        <v>1</v>
      </c>
      <c r="J262" s="2">
        <v>0.14000000000000001</v>
      </c>
    </row>
    <row r="263" spans="1:10" x14ac:dyDescent="0.3">
      <c r="A263" s="2">
        <v>262</v>
      </c>
      <c r="B263" s="3">
        <v>40555</v>
      </c>
      <c r="C263" s="2">
        <v>1</v>
      </c>
      <c r="D263" s="2">
        <v>0</v>
      </c>
      <c r="E263" s="2">
        <v>1</v>
      </c>
      <c r="F263" s="2">
        <v>8</v>
      </c>
      <c r="G263" s="2" t="b">
        <v>0</v>
      </c>
      <c r="H263" s="2">
        <v>3</v>
      </c>
      <c r="I263" s="2">
        <v>1</v>
      </c>
      <c r="J263" s="2">
        <v>0.16</v>
      </c>
    </row>
    <row r="264" spans="1:10" x14ac:dyDescent="0.3">
      <c r="A264" s="2">
        <v>263</v>
      </c>
      <c r="B264" s="3">
        <v>40555</v>
      </c>
      <c r="C264" s="2">
        <v>1</v>
      </c>
      <c r="D264" s="2">
        <v>0</v>
      </c>
      <c r="E264" s="2">
        <v>1</v>
      </c>
      <c r="F264" s="2">
        <v>9</v>
      </c>
      <c r="G264" s="2" t="b">
        <v>0</v>
      </c>
      <c r="H264" s="2">
        <v>3</v>
      </c>
      <c r="I264" s="2">
        <v>1</v>
      </c>
      <c r="J264" s="2">
        <v>0.16</v>
      </c>
    </row>
    <row r="265" spans="1:10" x14ac:dyDescent="0.3">
      <c r="A265" s="2">
        <v>264</v>
      </c>
      <c r="B265" s="3">
        <v>40555</v>
      </c>
      <c r="C265" s="2">
        <v>1</v>
      </c>
      <c r="D265" s="2">
        <v>0</v>
      </c>
      <c r="E265" s="2">
        <v>1</v>
      </c>
      <c r="F265" s="2">
        <v>10</v>
      </c>
      <c r="G265" s="2" t="b">
        <v>0</v>
      </c>
      <c r="H265" s="2">
        <v>3</v>
      </c>
      <c r="I265" s="2">
        <v>1</v>
      </c>
      <c r="J265" s="2">
        <v>0.18</v>
      </c>
    </row>
    <row r="266" spans="1:10" x14ac:dyDescent="0.3">
      <c r="A266" s="2">
        <v>265</v>
      </c>
      <c r="B266" s="3">
        <v>40555</v>
      </c>
      <c r="C266" s="2">
        <v>1</v>
      </c>
      <c r="D266" s="2">
        <v>0</v>
      </c>
      <c r="E266" s="2">
        <v>1</v>
      </c>
      <c r="F266" s="2">
        <v>11</v>
      </c>
      <c r="G266" s="2" t="b">
        <v>0</v>
      </c>
      <c r="H266" s="2">
        <v>3</v>
      </c>
      <c r="I266" s="2">
        <v>1</v>
      </c>
      <c r="J266" s="2">
        <v>0.2</v>
      </c>
    </row>
    <row r="267" spans="1:10" x14ac:dyDescent="0.3">
      <c r="A267" s="2">
        <v>266</v>
      </c>
      <c r="B267" s="3">
        <v>40555</v>
      </c>
      <c r="C267" s="2">
        <v>1</v>
      </c>
      <c r="D267" s="2">
        <v>0</v>
      </c>
      <c r="E267" s="2">
        <v>1</v>
      </c>
      <c r="F267" s="2">
        <v>12</v>
      </c>
      <c r="G267" s="2" t="b">
        <v>0</v>
      </c>
      <c r="H267" s="2">
        <v>3</v>
      </c>
      <c r="I267" s="2">
        <v>1</v>
      </c>
      <c r="J267" s="2">
        <v>0.2</v>
      </c>
    </row>
    <row r="268" spans="1:10" x14ac:dyDescent="0.3">
      <c r="A268" s="2">
        <v>267</v>
      </c>
      <c r="B268" s="3">
        <v>40555</v>
      </c>
      <c r="C268" s="2">
        <v>1</v>
      </c>
      <c r="D268" s="2">
        <v>0</v>
      </c>
      <c r="E268" s="2">
        <v>1</v>
      </c>
      <c r="F268" s="2">
        <v>13</v>
      </c>
      <c r="G268" s="2" t="b">
        <v>0</v>
      </c>
      <c r="H268" s="2">
        <v>3</v>
      </c>
      <c r="I268" s="2">
        <v>1</v>
      </c>
      <c r="J268" s="2">
        <v>0.22</v>
      </c>
    </row>
    <row r="269" spans="1:10" x14ac:dyDescent="0.3">
      <c r="A269" s="2">
        <v>268</v>
      </c>
      <c r="B269" s="3">
        <v>40555</v>
      </c>
      <c r="C269" s="2">
        <v>1</v>
      </c>
      <c r="D269" s="2">
        <v>0</v>
      </c>
      <c r="E269" s="2">
        <v>1</v>
      </c>
      <c r="F269" s="2">
        <v>14</v>
      </c>
      <c r="G269" s="2" t="b">
        <v>0</v>
      </c>
      <c r="H269" s="2">
        <v>3</v>
      </c>
      <c r="I269" s="2">
        <v>1</v>
      </c>
      <c r="J269" s="2">
        <v>0.2</v>
      </c>
    </row>
    <row r="270" spans="1:10" x14ac:dyDescent="0.3">
      <c r="A270" s="2">
        <v>269</v>
      </c>
      <c r="B270" s="3">
        <v>40555</v>
      </c>
      <c r="C270" s="2">
        <v>1</v>
      </c>
      <c r="D270" s="2">
        <v>0</v>
      </c>
      <c r="E270" s="2">
        <v>1</v>
      </c>
      <c r="F270" s="2">
        <v>15</v>
      </c>
      <c r="G270" s="2" t="b">
        <v>0</v>
      </c>
      <c r="H270" s="2">
        <v>3</v>
      </c>
      <c r="I270" s="2">
        <v>1</v>
      </c>
      <c r="J270" s="2">
        <v>0.2</v>
      </c>
    </row>
    <row r="271" spans="1:10" x14ac:dyDescent="0.3">
      <c r="A271" s="2">
        <v>270</v>
      </c>
      <c r="B271" s="3">
        <v>40555</v>
      </c>
      <c r="C271" s="2">
        <v>1</v>
      </c>
      <c r="D271" s="2">
        <v>0</v>
      </c>
      <c r="E271" s="2">
        <v>1</v>
      </c>
      <c r="F271" s="2">
        <v>16</v>
      </c>
      <c r="G271" s="2" t="b">
        <v>0</v>
      </c>
      <c r="H271" s="2">
        <v>3</v>
      </c>
      <c r="I271" s="2">
        <v>1</v>
      </c>
      <c r="J271" s="2">
        <v>0.22</v>
      </c>
    </row>
    <row r="272" spans="1:10" x14ac:dyDescent="0.3">
      <c r="A272" s="2">
        <v>271</v>
      </c>
      <c r="B272" s="3">
        <v>40555</v>
      </c>
      <c r="C272" s="2">
        <v>1</v>
      </c>
      <c r="D272" s="2">
        <v>0</v>
      </c>
      <c r="E272" s="2">
        <v>1</v>
      </c>
      <c r="F272" s="2">
        <v>17</v>
      </c>
      <c r="G272" s="2" t="b">
        <v>0</v>
      </c>
      <c r="H272" s="2">
        <v>3</v>
      </c>
      <c r="I272" s="2">
        <v>1</v>
      </c>
      <c r="J272" s="2">
        <v>0.2</v>
      </c>
    </row>
    <row r="273" spans="1:10" x14ac:dyDescent="0.3">
      <c r="A273" s="2">
        <v>272</v>
      </c>
      <c r="B273" s="3">
        <v>40555</v>
      </c>
      <c r="C273" s="2">
        <v>1</v>
      </c>
      <c r="D273" s="2">
        <v>0</v>
      </c>
      <c r="E273" s="2">
        <v>1</v>
      </c>
      <c r="F273" s="2">
        <v>18</v>
      </c>
      <c r="G273" s="2" t="b">
        <v>0</v>
      </c>
      <c r="H273" s="2">
        <v>3</v>
      </c>
      <c r="I273" s="2">
        <v>1</v>
      </c>
      <c r="J273" s="2">
        <v>0.2</v>
      </c>
    </row>
    <row r="274" spans="1:10" x14ac:dyDescent="0.3">
      <c r="A274" s="2">
        <v>273</v>
      </c>
      <c r="B274" s="3">
        <v>40555</v>
      </c>
      <c r="C274" s="2">
        <v>1</v>
      </c>
      <c r="D274" s="2">
        <v>0</v>
      </c>
      <c r="E274" s="2">
        <v>1</v>
      </c>
      <c r="F274" s="2">
        <v>19</v>
      </c>
      <c r="G274" s="2" t="b">
        <v>0</v>
      </c>
      <c r="H274" s="2">
        <v>3</v>
      </c>
      <c r="I274" s="2">
        <v>1</v>
      </c>
      <c r="J274" s="2">
        <v>0.18</v>
      </c>
    </row>
    <row r="275" spans="1:10" x14ac:dyDescent="0.3">
      <c r="A275" s="2">
        <v>274</v>
      </c>
      <c r="B275" s="3">
        <v>40555</v>
      </c>
      <c r="C275" s="2">
        <v>1</v>
      </c>
      <c r="D275" s="2">
        <v>0</v>
      </c>
      <c r="E275" s="2">
        <v>1</v>
      </c>
      <c r="F275" s="2">
        <v>20</v>
      </c>
      <c r="G275" s="2" t="b">
        <v>0</v>
      </c>
      <c r="H275" s="2">
        <v>3</v>
      </c>
      <c r="I275" s="2">
        <v>1</v>
      </c>
      <c r="J275" s="2">
        <v>0.16</v>
      </c>
    </row>
    <row r="276" spans="1:10" x14ac:dyDescent="0.3">
      <c r="A276" s="2">
        <v>275</v>
      </c>
      <c r="B276" s="3">
        <v>40555</v>
      </c>
      <c r="C276" s="2">
        <v>1</v>
      </c>
      <c r="D276" s="2">
        <v>0</v>
      </c>
      <c r="E276" s="2">
        <v>1</v>
      </c>
      <c r="F276" s="2">
        <v>21</v>
      </c>
      <c r="G276" s="2" t="b">
        <v>0</v>
      </c>
      <c r="H276" s="2">
        <v>3</v>
      </c>
      <c r="I276" s="2">
        <v>1</v>
      </c>
      <c r="J276" s="2">
        <v>0.16</v>
      </c>
    </row>
    <row r="277" spans="1:10" x14ac:dyDescent="0.3">
      <c r="A277" s="2">
        <v>276</v>
      </c>
      <c r="B277" s="3">
        <v>40555</v>
      </c>
      <c r="C277" s="2">
        <v>1</v>
      </c>
      <c r="D277" s="2">
        <v>0</v>
      </c>
      <c r="E277" s="2">
        <v>1</v>
      </c>
      <c r="F277" s="2">
        <v>22</v>
      </c>
      <c r="G277" s="2" t="b">
        <v>0</v>
      </c>
      <c r="H277" s="2">
        <v>3</v>
      </c>
      <c r="I277" s="2">
        <v>1</v>
      </c>
      <c r="J277" s="2">
        <v>0.16</v>
      </c>
    </row>
    <row r="278" spans="1:10" x14ac:dyDescent="0.3">
      <c r="A278" s="2">
        <v>277</v>
      </c>
      <c r="B278" s="3">
        <v>40555</v>
      </c>
      <c r="C278" s="2">
        <v>1</v>
      </c>
      <c r="D278" s="2">
        <v>0</v>
      </c>
      <c r="E278" s="2">
        <v>1</v>
      </c>
      <c r="F278" s="2">
        <v>23</v>
      </c>
      <c r="G278" s="2" t="b">
        <v>0</v>
      </c>
      <c r="H278" s="2">
        <v>3</v>
      </c>
      <c r="I278" s="2">
        <v>1</v>
      </c>
      <c r="J278" s="2">
        <v>0.14000000000000001</v>
      </c>
    </row>
    <row r="279" spans="1:10" x14ac:dyDescent="0.3">
      <c r="A279" s="2">
        <v>278</v>
      </c>
      <c r="B279" s="3">
        <v>40556</v>
      </c>
      <c r="C279" s="2">
        <v>1</v>
      </c>
      <c r="D279" s="2">
        <v>0</v>
      </c>
      <c r="E279" s="2">
        <v>1</v>
      </c>
      <c r="F279" s="2">
        <v>0</v>
      </c>
      <c r="G279" s="2" t="b">
        <v>0</v>
      </c>
      <c r="H279" s="2">
        <v>4</v>
      </c>
      <c r="I279" s="2">
        <v>1</v>
      </c>
      <c r="J279" s="2">
        <v>0.14000000000000001</v>
      </c>
    </row>
    <row r="280" spans="1:10" x14ac:dyDescent="0.3">
      <c r="A280" s="2">
        <v>279</v>
      </c>
      <c r="B280" s="3">
        <v>40556</v>
      </c>
      <c r="C280" s="2">
        <v>1</v>
      </c>
      <c r="D280" s="2">
        <v>0</v>
      </c>
      <c r="E280" s="2">
        <v>1</v>
      </c>
      <c r="F280" s="2">
        <v>1</v>
      </c>
      <c r="G280" s="2" t="b">
        <v>0</v>
      </c>
      <c r="H280" s="2">
        <v>4</v>
      </c>
      <c r="I280" s="2">
        <v>1</v>
      </c>
      <c r="J280" s="2">
        <v>0.14000000000000001</v>
      </c>
    </row>
    <row r="281" spans="1:10" x14ac:dyDescent="0.3">
      <c r="A281" s="2">
        <v>280</v>
      </c>
      <c r="B281" s="3">
        <v>40556</v>
      </c>
      <c r="C281" s="2">
        <v>1</v>
      </c>
      <c r="D281" s="2">
        <v>0</v>
      </c>
      <c r="E281" s="2">
        <v>1</v>
      </c>
      <c r="F281" s="2">
        <v>2</v>
      </c>
      <c r="G281" s="2" t="b">
        <v>0</v>
      </c>
      <c r="H281" s="2">
        <v>4</v>
      </c>
      <c r="I281" s="2">
        <v>1</v>
      </c>
      <c r="J281" s="2">
        <v>0.14000000000000001</v>
      </c>
    </row>
    <row r="282" spans="1:10" x14ac:dyDescent="0.3">
      <c r="A282" s="2">
        <v>281</v>
      </c>
      <c r="B282" s="3">
        <v>40556</v>
      </c>
      <c r="C282" s="2">
        <v>1</v>
      </c>
      <c r="D282" s="2">
        <v>0</v>
      </c>
      <c r="E282" s="2">
        <v>1</v>
      </c>
      <c r="F282" s="2">
        <v>3</v>
      </c>
      <c r="G282" s="2" t="b">
        <v>0</v>
      </c>
      <c r="H282" s="2">
        <v>4</v>
      </c>
      <c r="I282" s="2">
        <v>1</v>
      </c>
      <c r="J282" s="2">
        <v>0.14000000000000001</v>
      </c>
    </row>
    <row r="283" spans="1:10" x14ac:dyDescent="0.3">
      <c r="A283" s="2">
        <v>282</v>
      </c>
      <c r="B283" s="3">
        <v>40556</v>
      </c>
      <c r="C283" s="2">
        <v>1</v>
      </c>
      <c r="D283" s="2">
        <v>0</v>
      </c>
      <c r="E283" s="2">
        <v>1</v>
      </c>
      <c r="F283" s="2">
        <v>4</v>
      </c>
      <c r="G283" s="2" t="b">
        <v>0</v>
      </c>
      <c r="H283" s="2">
        <v>4</v>
      </c>
      <c r="I283" s="2">
        <v>1</v>
      </c>
      <c r="J283" s="2">
        <v>0.14000000000000001</v>
      </c>
    </row>
    <row r="284" spans="1:10" x14ac:dyDescent="0.3">
      <c r="A284" s="2">
        <v>283</v>
      </c>
      <c r="B284" s="3">
        <v>40556</v>
      </c>
      <c r="C284" s="2">
        <v>1</v>
      </c>
      <c r="D284" s="2">
        <v>0</v>
      </c>
      <c r="E284" s="2">
        <v>1</v>
      </c>
      <c r="F284" s="2">
        <v>5</v>
      </c>
      <c r="G284" s="2" t="b">
        <v>0</v>
      </c>
      <c r="H284" s="2">
        <v>4</v>
      </c>
      <c r="I284" s="2">
        <v>1</v>
      </c>
      <c r="J284" s="2">
        <v>0.14000000000000001</v>
      </c>
    </row>
    <row r="285" spans="1:10" x14ac:dyDescent="0.3">
      <c r="A285" s="2">
        <v>284</v>
      </c>
      <c r="B285" s="3">
        <v>40556</v>
      </c>
      <c r="C285" s="2">
        <v>1</v>
      </c>
      <c r="D285" s="2">
        <v>0</v>
      </c>
      <c r="E285" s="2">
        <v>1</v>
      </c>
      <c r="F285" s="2">
        <v>6</v>
      </c>
      <c r="G285" s="2" t="b">
        <v>0</v>
      </c>
      <c r="H285" s="2">
        <v>4</v>
      </c>
      <c r="I285" s="2">
        <v>1</v>
      </c>
      <c r="J285" s="2">
        <v>0.12</v>
      </c>
    </row>
    <row r="286" spans="1:10" x14ac:dyDescent="0.3">
      <c r="A286" s="2">
        <v>285</v>
      </c>
      <c r="B286" s="3">
        <v>40556</v>
      </c>
      <c r="C286" s="2">
        <v>1</v>
      </c>
      <c r="D286" s="2">
        <v>0</v>
      </c>
      <c r="E286" s="2">
        <v>1</v>
      </c>
      <c r="F286" s="2">
        <v>7</v>
      </c>
      <c r="G286" s="2" t="b">
        <v>0</v>
      </c>
      <c r="H286" s="2">
        <v>4</v>
      </c>
      <c r="I286" s="2">
        <v>1</v>
      </c>
      <c r="J286" s="2">
        <v>0.12</v>
      </c>
    </row>
    <row r="287" spans="1:10" x14ac:dyDescent="0.3">
      <c r="A287" s="2">
        <v>286</v>
      </c>
      <c r="B287" s="3">
        <v>40556</v>
      </c>
      <c r="C287" s="2">
        <v>1</v>
      </c>
      <c r="D287" s="2">
        <v>0</v>
      </c>
      <c r="E287" s="2">
        <v>1</v>
      </c>
      <c r="F287" s="2">
        <v>8</v>
      </c>
      <c r="G287" s="2" t="b">
        <v>0</v>
      </c>
      <c r="H287" s="2">
        <v>4</v>
      </c>
      <c r="I287" s="2">
        <v>1</v>
      </c>
      <c r="J287" s="2">
        <v>0.14000000000000001</v>
      </c>
    </row>
    <row r="288" spans="1:10" x14ac:dyDescent="0.3">
      <c r="A288" s="2">
        <v>287</v>
      </c>
      <c r="B288" s="3">
        <v>40556</v>
      </c>
      <c r="C288" s="2">
        <v>1</v>
      </c>
      <c r="D288" s="2">
        <v>0</v>
      </c>
      <c r="E288" s="2">
        <v>1</v>
      </c>
      <c r="F288" s="2">
        <v>9</v>
      </c>
      <c r="G288" s="2" t="b">
        <v>0</v>
      </c>
      <c r="H288" s="2">
        <v>4</v>
      </c>
      <c r="I288" s="2">
        <v>1</v>
      </c>
      <c r="J288" s="2">
        <v>0.14000000000000001</v>
      </c>
    </row>
    <row r="289" spans="1:10" x14ac:dyDescent="0.3">
      <c r="A289" s="2">
        <v>288</v>
      </c>
      <c r="B289" s="3">
        <v>40556</v>
      </c>
      <c r="C289" s="2">
        <v>1</v>
      </c>
      <c r="D289" s="2">
        <v>0</v>
      </c>
      <c r="E289" s="2">
        <v>1</v>
      </c>
      <c r="F289" s="2">
        <v>10</v>
      </c>
      <c r="G289" s="2" t="b">
        <v>0</v>
      </c>
      <c r="H289" s="2">
        <v>4</v>
      </c>
      <c r="I289" s="2">
        <v>2</v>
      </c>
      <c r="J289" s="2">
        <v>0.16</v>
      </c>
    </row>
    <row r="290" spans="1:10" x14ac:dyDescent="0.3">
      <c r="A290" s="2">
        <v>289</v>
      </c>
      <c r="B290" s="3">
        <v>40556</v>
      </c>
      <c r="C290" s="2">
        <v>1</v>
      </c>
      <c r="D290" s="2">
        <v>0</v>
      </c>
      <c r="E290" s="2">
        <v>1</v>
      </c>
      <c r="F290" s="2">
        <v>11</v>
      </c>
      <c r="G290" s="2" t="b">
        <v>0</v>
      </c>
      <c r="H290" s="2">
        <v>4</v>
      </c>
      <c r="I290" s="2">
        <v>2</v>
      </c>
      <c r="J290" s="2">
        <v>0.2</v>
      </c>
    </row>
    <row r="291" spans="1:10" x14ac:dyDescent="0.3">
      <c r="A291" s="2">
        <v>290</v>
      </c>
      <c r="B291" s="3">
        <v>40556</v>
      </c>
      <c r="C291" s="2">
        <v>1</v>
      </c>
      <c r="D291" s="2">
        <v>0</v>
      </c>
      <c r="E291" s="2">
        <v>1</v>
      </c>
      <c r="F291" s="2">
        <v>12</v>
      </c>
      <c r="G291" s="2" t="b">
        <v>0</v>
      </c>
      <c r="H291" s="2">
        <v>4</v>
      </c>
      <c r="I291" s="2">
        <v>1</v>
      </c>
      <c r="J291" s="2">
        <v>0.2</v>
      </c>
    </row>
    <row r="292" spans="1:10" x14ac:dyDescent="0.3">
      <c r="A292" s="2">
        <v>291</v>
      </c>
      <c r="B292" s="3">
        <v>40556</v>
      </c>
      <c r="C292" s="2">
        <v>1</v>
      </c>
      <c r="D292" s="2">
        <v>0</v>
      </c>
      <c r="E292" s="2">
        <v>1</v>
      </c>
      <c r="F292" s="2">
        <v>13</v>
      </c>
      <c r="G292" s="2" t="b">
        <v>0</v>
      </c>
      <c r="H292" s="2">
        <v>4</v>
      </c>
      <c r="I292" s="2">
        <v>1</v>
      </c>
      <c r="J292" s="2">
        <v>0.22</v>
      </c>
    </row>
    <row r="293" spans="1:10" x14ac:dyDescent="0.3">
      <c r="A293" s="2">
        <v>292</v>
      </c>
      <c r="B293" s="3">
        <v>40556</v>
      </c>
      <c r="C293" s="2">
        <v>1</v>
      </c>
      <c r="D293" s="2">
        <v>0</v>
      </c>
      <c r="E293" s="2">
        <v>1</v>
      </c>
      <c r="F293" s="2">
        <v>14</v>
      </c>
      <c r="G293" s="2" t="b">
        <v>0</v>
      </c>
      <c r="H293" s="2">
        <v>4</v>
      </c>
      <c r="I293" s="2">
        <v>1</v>
      </c>
      <c r="J293" s="2">
        <v>0.22</v>
      </c>
    </row>
    <row r="294" spans="1:10" x14ac:dyDescent="0.3">
      <c r="A294" s="2">
        <v>293</v>
      </c>
      <c r="B294" s="3">
        <v>40556</v>
      </c>
      <c r="C294" s="2">
        <v>1</v>
      </c>
      <c r="D294" s="2">
        <v>0</v>
      </c>
      <c r="E294" s="2">
        <v>1</v>
      </c>
      <c r="F294" s="2">
        <v>15</v>
      </c>
      <c r="G294" s="2" t="b">
        <v>0</v>
      </c>
      <c r="H294" s="2">
        <v>4</v>
      </c>
      <c r="I294" s="2">
        <v>1</v>
      </c>
      <c r="J294" s="2">
        <v>0.24</v>
      </c>
    </row>
    <row r="295" spans="1:10" x14ac:dyDescent="0.3">
      <c r="A295" s="2">
        <v>294</v>
      </c>
      <c r="B295" s="3">
        <v>40556</v>
      </c>
      <c r="C295" s="2">
        <v>1</v>
      </c>
      <c r="D295" s="2">
        <v>0</v>
      </c>
      <c r="E295" s="2">
        <v>1</v>
      </c>
      <c r="F295" s="2">
        <v>16</v>
      </c>
      <c r="G295" s="2" t="b">
        <v>0</v>
      </c>
      <c r="H295" s="2">
        <v>4</v>
      </c>
      <c r="I295" s="2">
        <v>1</v>
      </c>
      <c r="J295" s="2">
        <v>0.24</v>
      </c>
    </row>
    <row r="296" spans="1:10" x14ac:dyDescent="0.3">
      <c r="A296" s="2">
        <v>295</v>
      </c>
      <c r="B296" s="3">
        <v>40556</v>
      </c>
      <c r="C296" s="2">
        <v>1</v>
      </c>
      <c r="D296" s="2">
        <v>0</v>
      </c>
      <c r="E296" s="2">
        <v>1</v>
      </c>
      <c r="F296" s="2">
        <v>17</v>
      </c>
      <c r="G296" s="2" t="b">
        <v>0</v>
      </c>
      <c r="H296" s="2">
        <v>4</v>
      </c>
      <c r="I296" s="2">
        <v>1</v>
      </c>
      <c r="J296" s="2">
        <v>0.2</v>
      </c>
    </row>
    <row r="297" spans="1:10" x14ac:dyDescent="0.3">
      <c r="A297" s="2">
        <v>296</v>
      </c>
      <c r="B297" s="3">
        <v>40556</v>
      </c>
      <c r="C297" s="2">
        <v>1</v>
      </c>
      <c r="D297" s="2">
        <v>0</v>
      </c>
      <c r="E297" s="2">
        <v>1</v>
      </c>
      <c r="F297" s="2">
        <v>18</v>
      </c>
      <c r="G297" s="2" t="b">
        <v>0</v>
      </c>
      <c r="H297" s="2">
        <v>4</v>
      </c>
      <c r="I297" s="2">
        <v>1</v>
      </c>
      <c r="J297" s="2">
        <v>0.2</v>
      </c>
    </row>
    <row r="298" spans="1:10" x14ac:dyDescent="0.3">
      <c r="A298" s="2">
        <v>297</v>
      </c>
      <c r="B298" s="3">
        <v>40556</v>
      </c>
      <c r="C298" s="2">
        <v>1</v>
      </c>
      <c r="D298" s="2">
        <v>0</v>
      </c>
      <c r="E298" s="2">
        <v>1</v>
      </c>
      <c r="F298" s="2">
        <v>19</v>
      </c>
      <c r="G298" s="2" t="b">
        <v>0</v>
      </c>
      <c r="H298" s="2">
        <v>4</v>
      </c>
      <c r="I298" s="2">
        <v>1</v>
      </c>
      <c r="J298" s="2">
        <v>0.16</v>
      </c>
    </row>
    <row r="299" spans="1:10" x14ac:dyDescent="0.3">
      <c r="A299" s="2">
        <v>298</v>
      </c>
      <c r="B299" s="3">
        <v>40556</v>
      </c>
      <c r="C299" s="2">
        <v>1</v>
      </c>
      <c r="D299" s="2">
        <v>0</v>
      </c>
      <c r="E299" s="2">
        <v>1</v>
      </c>
      <c r="F299" s="2">
        <v>20</v>
      </c>
      <c r="G299" s="2" t="b">
        <v>0</v>
      </c>
      <c r="H299" s="2">
        <v>4</v>
      </c>
      <c r="I299" s="2">
        <v>1</v>
      </c>
      <c r="J299" s="2">
        <v>0.16</v>
      </c>
    </row>
    <row r="300" spans="1:10" x14ac:dyDescent="0.3">
      <c r="A300" s="2">
        <v>299</v>
      </c>
      <c r="B300" s="3">
        <v>40556</v>
      </c>
      <c r="C300" s="2">
        <v>1</v>
      </c>
      <c r="D300" s="2">
        <v>0</v>
      </c>
      <c r="E300" s="2">
        <v>1</v>
      </c>
      <c r="F300" s="2">
        <v>21</v>
      </c>
      <c r="G300" s="2" t="b">
        <v>0</v>
      </c>
      <c r="H300" s="2">
        <v>4</v>
      </c>
      <c r="I300" s="2">
        <v>1</v>
      </c>
      <c r="J300" s="2">
        <v>0.14000000000000001</v>
      </c>
    </row>
    <row r="301" spans="1:10" x14ac:dyDescent="0.3">
      <c r="A301" s="2">
        <v>300</v>
      </c>
      <c r="B301" s="3">
        <v>40556</v>
      </c>
      <c r="C301" s="2">
        <v>1</v>
      </c>
      <c r="D301" s="2">
        <v>0</v>
      </c>
      <c r="E301" s="2">
        <v>1</v>
      </c>
      <c r="F301" s="2">
        <v>22</v>
      </c>
      <c r="G301" s="2" t="b">
        <v>0</v>
      </c>
      <c r="H301" s="2">
        <v>4</v>
      </c>
      <c r="I301" s="2">
        <v>1</v>
      </c>
      <c r="J301" s="2">
        <v>0.14000000000000001</v>
      </c>
    </row>
    <row r="302" spans="1:10" x14ac:dyDescent="0.3">
      <c r="A302" s="2">
        <v>301</v>
      </c>
      <c r="B302" s="3">
        <v>40556</v>
      </c>
      <c r="C302" s="2">
        <v>1</v>
      </c>
      <c r="D302" s="2">
        <v>0</v>
      </c>
      <c r="E302" s="2">
        <v>1</v>
      </c>
      <c r="F302" s="2">
        <v>23</v>
      </c>
      <c r="G302" s="2" t="b">
        <v>0</v>
      </c>
      <c r="H302" s="2">
        <v>4</v>
      </c>
      <c r="I302" s="2">
        <v>1</v>
      </c>
      <c r="J302" s="2">
        <v>0.12</v>
      </c>
    </row>
    <row r="303" spans="1:10" x14ac:dyDescent="0.3">
      <c r="A303" s="2">
        <v>302</v>
      </c>
      <c r="B303" s="3">
        <v>40557</v>
      </c>
      <c r="C303" s="2">
        <v>1</v>
      </c>
      <c r="D303" s="2">
        <v>0</v>
      </c>
      <c r="E303" s="2">
        <v>1</v>
      </c>
      <c r="F303" s="2">
        <v>0</v>
      </c>
      <c r="G303" s="2" t="b">
        <v>0</v>
      </c>
      <c r="H303" s="2">
        <v>5</v>
      </c>
      <c r="I303" s="2">
        <v>1</v>
      </c>
      <c r="J303" s="2">
        <v>0.12</v>
      </c>
    </row>
    <row r="304" spans="1:10" x14ac:dyDescent="0.3">
      <c r="A304" s="2">
        <v>303</v>
      </c>
      <c r="B304" s="3">
        <v>40557</v>
      </c>
      <c r="C304" s="2">
        <v>1</v>
      </c>
      <c r="D304" s="2">
        <v>0</v>
      </c>
      <c r="E304" s="2">
        <v>1</v>
      </c>
      <c r="F304" s="2">
        <v>1</v>
      </c>
      <c r="G304" s="2" t="b">
        <v>0</v>
      </c>
      <c r="H304" s="2">
        <v>5</v>
      </c>
      <c r="I304" s="2">
        <v>1</v>
      </c>
      <c r="J304" s="2">
        <v>0.1</v>
      </c>
    </row>
    <row r="305" spans="1:10" x14ac:dyDescent="0.3">
      <c r="A305" s="2">
        <v>304</v>
      </c>
      <c r="B305" s="3">
        <v>40557</v>
      </c>
      <c r="C305" s="2">
        <v>1</v>
      </c>
      <c r="D305" s="2">
        <v>0</v>
      </c>
      <c r="E305" s="2">
        <v>1</v>
      </c>
      <c r="F305" s="2">
        <v>2</v>
      </c>
      <c r="G305" s="2" t="b">
        <v>0</v>
      </c>
      <c r="H305" s="2">
        <v>5</v>
      </c>
      <c r="I305" s="2">
        <v>1</v>
      </c>
      <c r="J305" s="2">
        <v>0.1</v>
      </c>
    </row>
    <row r="306" spans="1:10" x14ac:dyDescent="0.3">
      <c r="A306" s="2">
        <v>305</v>
      </c>
      <c r="B306" s="3">
        <v>40557</v>
      </c>
      <c r="C306" s="2">
        <v>1</v>
      </c>
      <c r="D306" s="2">
        <v>0</v>
      </c>
      <c r="E306" s="2">
        <v>1</v>
      </c>
      <c r="F306" s="2">
        <v>3</v>
      </c>
      <c r="G306" s="2" t="b">
        <v>0</v>
      </c>
      <c r="H306" s="2">
        <v>5</v>
      </c>
      <c r="I306" s="2">
        <v>1</v>
      </c>
      <c r="J306" s="2">
        <v>0.1</v>
      </c>
    </row>
    <row r="307" spans="1:10" x14ac:dyDescent="0.3">
      <c r="A307" s="2">
        <v>306</v>
      </c>
      <c r="B307" s="3">
        <v>40557</v>
      </c>
      <c r="C307" s="2">
        <v>1</v>
      </c>
      <c r="D307" s="2">
        <v>0</v>
      </c>
      <c r="E307" s="2">
        <v>1</v>
      </c>
      <c r="F307" s="2">
        <v>5</v>
      </c>
      <c r="G307" s="2" t="b">
        <v>0</v>
      </c>
      <c r="H307" s="2">
        <v>5</v>
      </c>
      <c r="I307" s="2">
        <v>1</v>
      </c>
      <c r="J307" s="2">
        <v>0.1</v>
      </c>
    </row>
    <row r="308" spans="1:10" x14ac:dyDescent="0.3">
      <c r="A308" s="2">
        <v>307</v>
      </c>
      <c r="B308" s="3">
        <v>40557</v>
      </c>
      <c r="C308" s="2">
        <v>1</v>
      </c>
      <c r="D308" s="2">
        <v>0</v>
      </c>
      <c r="E308" s="2">
        <v>1</v>
      </c>
      <c r="F308" s="2">
        <v>6</v>
      </c>
      <c r="G308" s="2" t="b">
        <v>0</v>
      </c>
      <c r="H308" s="2">
        <v>5</v>
      </c>
      <c r="I308" s="2">
        <v>1</v>
      </c>
      <c r="J308" s="2">
        <v>0.1</v>
      </c>
    </row>
    <row r="309" spans="1:10" x14ac:dyDescent="0.3">
      <c r="A309" s="2">
        <v>308</v>
      </c>
      <c r="B309" s="3">
        <v>40557</v>
      </c>
      <c r="C309" s="2">
        <v>1</v>
      </c>
      <c r="D309" s="2">
        <v>0</v>
      </c>
      <c r="E309" s="2">
        <v>1</v>
      </c>
      <c r="F309" s="2">
        <v>7</v>
      </c>
      <c r="G309" s="2" t="b">
        <v>0</v>
      </c>
      <c r="H309" s="2">
        <v>5</v>
      </c>
      <c r="I309" s="2">
        <v>1</v>
      </c>
      <c r="J309" s="2">
        <v>0.1</v>
      </c>
    </row>
    <row r="310" spans="1:10" x14ac:dyDescent="0.3">
      <c r="A310" s="2">
        <v>309</v>
      </c>
      <c r="B310" s="3">
        <v>40557</v>
      </c>
      <c r="C310" s="2">
        <v>1</v>
      </c>
      <c r="D310" s="2">
        <v>0</v>
      </c>
      <c r="E310" s="2">
        <v>1</v>
      </c>
      <c r="F310" s="2">
        <v>8</v>
      </c>
      <c r="G310" s="2" t="b">
        <v>0</v>
      </c>
      <c r="H310" s="2">
        <v>5</v>
      </c>
      <c r="I310" s="2">
        <v>1</v>
      </c>
      <c r="J310" s="2">
        <v>0.12</v>
      </c>
    </row>
    <row r="311" spans="1:10" x14ac:dyDescent="0.3">
      <c r="A311" s="2">
        <v>310</v>
      </c>
      <c r="B311" s="3">
        <v>40557</v>
      </c>
      <c r="C311" s="2">
        <v>1</v>
      </c>
      <c r="D311" s="2">
        <v>0</v>
      </c>
      <c r="E311" s="2">
        <v>1</v>
      </c>
      <c r="F311" s="2">
        <v>9</v>
      </c>
      <c r="G311" s="2" t="b">
        <v>0</v>
      </c>
      <c r="H311" s="2">
        <v>5</v>
      </c>
      <c r="I311" s="2">
        <v>1</v>
      </c>
      <c r="J311" s="2">
        <v>0.14000000000000001</v>
      </c>
    </row>
    <row r="312" spans="1:10" x14ac:dyDescent="0.3">
      <c r="A312" s="2">
        <v>311</v>
      </c>
      <c r="B312" s="3">
        <v>40557</v>
      </c>
      <c r="C312" s="2">
        <v>1</v>
      </c>
      <c r="D312" s="2">
        <v>0</v>
      </c>
      <c r="E312" s="2">
        <v>1</v>
      </c>
      <c r="F312" s="2">
        <v>10</v>
      </c>
      <c r="G312" s="2" t="b">
        <v>0</v>
      </c>
      <c r="H312" s="2">
        <v>5</v>
      </c>
      <c r="I312" s="2">
        <v>1</v>
      </c>
      <c r="J312" s="2">
        <v>0.18</v>
      </c>
    </row>
    <row r="313" spans="1:10" x14ac:dyDescent="0.3">
      <c r="A313" s="2">
        <v>312</v>
      </c>
      <c r="B313" s="3">
        <v>40557</v>
      </c>
      <c r="C313" s="2">
        <v>1</v>
      </c>
      <c r="D313" s="2">
        <v>0</v>
      </c>
      <c r="E313" s="2">
        <v>1</v>
      </c>
      <c r="F313" s="2">
        <v>11</v>
      </c>
      <c r="G313" s="2" t="b">
        <v>0</v>
      </c>
      <c r="H313" s="2">
        <v>5</v>
      </c>
      <c r="I313" s="2">
        <v>1</v>
      </c>
      <c r="J313" s="2">
        <v>0.18</v>
      </c>
    </row>
    <row r="314" spans="1:10" x14ac:dyDescent="0.3">
      <c r="A314" s="2">
        <v>313</v>
      </c>
      <c r="B314" s="3">
        <v>40557</v>
      </c>
      <c r="C314" s="2">
        <v>1</v>
      </c>
      <c r="D314" s="2">
        <v>0</v>
      </c>
      <c r="E314" s="2">
        <v>1</v>
      </c>
      <c r="F314" s="2">
        <v>12</v>
      </c>
      <c r="G314" s="2" t="b">
        <v>0</v>
      </c>
      <c r="H314" s="2">
        <v>5</v>
      </c>
      <c r="I314" s="2">
        <v>1</v>
      </c>
      <c r="J314" s="2">
        <v>0.2</v>
      </c>
    </row>
    <row r="315" spans="1:10" x14ac:dyDescent="0.3">
      <c r="A315" s="2">
        <v>314</v>
      </c>
      <c r="B315" s="3">
        <v>40557</v>
      </c>
      <c r="C315" s="2">
        <v>1</v>
      </c>
      <c r="D315" s="2">
        <v>0</v>
      </c>
      <c r="E315" s="2">
        <v>1</v>
      </c>
      <c r="F315" s="2">
        <v>13</v>
      </c>
      <c r="G315" s="2" t="b">
        <v>0</v>
      </c>
      <c r="H315" s="2">
        <v>5</v>
      </c>
      <c r="I315" s="2">
        <v>1</v>
      </c>
      <c r="J315" s="2">
        <v>0.22</v>
      </c>
    </row>
    <row r="316" spans="1:10" x14ac:dyDescent="0.3">
      <c r="A316" s="2">
        <v>315</v>
      </c>
      <c r="B316" s="3">
        <v>40557</v>
      </c>
      <c r="C316" s="2">
        <v>1</v>
      </c>
      <c r="D316" s="2">
        <v>0</v>
      </c>
      <c r="E316" s="2">
        <v>1</v>
      </c>
      <c r="F316" s="2">
        <v>14</v>
      </c>
      <c r="G316" s="2" t="b">
        <v>0</v>
      </c>
      <c r="H316" s="2">
        <v>5</v>
      </c>
      <c r="I316" s="2">
        <v>1</v>
      </c>
      <c r="J316" s="2">
        <v>0.22</v>
      </c>
    </row>
    <row r="317" spans="1:10" x14ac:dyDescent="0.3">
      <c r="A317" s="2">
        <v>316</v>
      </c>
      <c r="B317" s="3">
        <v>40557</v>
      </c>
      <c r="C317" s="2">
        <v>1</v>
      </c>
      <c r="D317" s="2">
        <v>0</v>
      </c>
      <c r="E317" s="2">
        <v>1</v>
      </c>
      <c r="F317" s="2">
        <v>15</v>
      </c>
      <c r="G317" s="2" t="b">
        <v>0</v>
      </c>
      <c r="H317" s="2">
        <v>5</v>
      </c>
      <c r="I317" s="2">
        <v>1</v>
      </c>
      <c r="J317" s="2">
        <v>0.24</v>
      </c>
    </row>
    <row r="318" spans="1:10" x14ac:dyDescent="0.3">
      <c r="A318" s="2">
        <v>317</v>
      </c>
      <c r="B318" s="3">
        <v>40557</v>
      </c>
      <c r="C318" s="2">
        <v>1</v>
      </c>
      <c r="D318" s="2">
        <v>0</v>
      </c>
      <c r="E318" s="2">
        <v>1</v>
      </c>
      <c r="F318" s="2">
        <v>16</v>
      </c>
      <c r="G318" s="2" t="b">
        <v>0</v>
      </c>
      <c r="H318" s="2">
        <v>5</v>
      </c>
      <c r="I318" s="2">
        <v>1</v>
      </c>
      <c r="J318" s="2">
        <v>0.22</v>
      </c>
    </row>
    <row r="319" spans="1:10" x14ac:dyDescent="0.3">
      <c r="A319" s="2">
        <v>318</v>
      </c>
      <c r="B319" s="3">
        <v>40557</v>
      </c>
      <c r="C319" s="2">
        <v>1</v>
      </c>
      <c r="D319" s="2">
        <v>0</v>
      </c>
      <c r="E319" s="2">
        <v>1</v>
      </c>
      <c r="F319" s="2">
        <v>17</v>
      </c>
      <c r="G319" s="2" t="b">
        <v>0</v>
      </c>
      <c r="H319" s="2">
        <v>5</v>
      </c>
      <c r="I319" s="2">
        <v>1</v>
      </c>
      <c r="J319" s="2">
        <v>0.22</v>
      </c>
    </row>
    <row r="320" spans="1:10" x14ac:dyDescent="0.3">
      <c r="A320" s="2">
        <v>319</v>
      </c>
      <c r="B320" s="3">
        <v>40557</v>
      </c>
      <c r="C320" s="2">
        <v>1</v>
      </c>
      <c r="D320" s="2">
        <v>0</v>
      </c>
      <c r="E320" s="2">
        <v>1</v>
      </c>
      <c r="F320" s="2">
        <v>18</v>
      </c>
      <c r="G320" s="2" t="b">
        <v>0</v>
      </c>
      <c r="H320" s="2">
        <v>5</v>
      </c>
      <c r="I320" s="2">
        <v>1</v>
      </c>
      <c r="J320" s="2">
        <v>0.2</v>
      </c>
    </row>
    <row r="321" spans="1:10" x14ac:dyDescent="0.3">
      <c r="A321" s="2">
        <v>320</v>
      </c>
      <c r="B321" s="3">
        <v>40557</v>
      </c>
      <c r="C321" s="2">
        <v>1</v>
      </c>
      <c r="D321" s="2">
        <v>0</v>
      </c>
      <c r="E321" s="2">
        <v>1</v>
      </c>
      <c r="F321" s="2">
        <v>19</v>
      </c>
      <c r="G321" s="2" t="b">
        <v>0</v>
      </c>
      <c r="H321" s="2">
        <v>5</v>
      </c>
      <c r="I321" s="2">
        <v>1</v>
      </c>
      <c r="J321" s="2">
        <v>0.16</v>
      </c>
    </row>
    <row r="322" spans="1:10" x14ac:dyDescent="0.3">
      <c r="A322" s="2">
        <v>321</v>
      </c>
      <c r="B322" s="3">
        <v>40557</v>
      </c>
      <c r="C322" s="2">
        <v>1</v>
      </c>
      <c r="D322" s="2">
        <v>0</v>
      </c>
      <c r="E322" s="2">
        <v>1</v>
      </c>
      <c r="F322" s="2">
        <v>20</v>
      </c>
      <c r="G322" s="2" t="b">
        <v>0</v>
      </c>
      <c r="H322" s="2">
        <v>5</v>
      </c>
      <c r="I322" s="2">
        <v>1</v>
      </c>
      <c r="J322" s="2">
        <v>0.18</v>
      </c>
    </row>
    <row r="323" spans="1:10" x14ac:dyDescent="0.3">
      <c r="A323" s="2">
        <v>322</v>
      </c>
      <c r="B323" s="3">
        <v>40557</v>
      </c>
      <c r="C323" s="2">
        <v>1</v>
      </c>
      <c r="D323" s="2">
        <v>0</v>
      </c>
      <c r="E323" s="2">
        <v>1</v>
      </c>
      <c r="F323" s="2">
        <v>21</v>
      </c>
      <c r="G323" s="2" t="b">
        <v>0</v>
      </c>
      <c r="H323" s="2">
        <v>5</v>
      </c>
      <c r="I323" s="2">
        <v>1</v>
      </c>
      <c r="J323" s="2">
        <v>0.16</v>
      </c>
    </row>
    <row r="324" spans="1:10" x14ac:dyDescent="0.3">
      <c r="A324" s="2">
        <v>323</v>
      </c>
      <c r="B324" s="3">
        <v>40557</v>
      </c>
      <c r="C324" s="2">
        <v>1</v>
      </c>
      <c r="D324" s="2">
        <v>0</v>
      </c>
      <c r="E324" s="2">
        <v>1</v>
      </c>
      <c r="F324" s="2">
        <v>22</v>
      </c>
      <c r="G324" s="2" t="b">
        <v>0</v>
      </c>
      <c r="H324" s="2">
        <v>5</v>
      </c>
      <c r="I324" s="2">
        <v>2</v>
      </c>
      <c r="J324" s="2">
        <v>0.16</v>
      </c>
    </row>
    <row r="325" spans="1:10" x14ac:dyDescent="0.3">
      <c r="A325" s="2">
        <v>324</v>
      </c>
      <c r="B325" s="3">
        <v>40557</v>
      </c>
      <c r="C325" s="2">
        <v>1</v>
      </c>
      <c r="D325" s="2">
        <v>0</v>
      </c>
      <c r="E325" s="2">
        <v>1</v>
      </c>
      <c r="F325" s="2">
        <v>23</v>
      </c>
      <c r="G325" s="2" t="b">
        <v>0</v>
      </c>
      <c r="H325" s="2">
        <v>5</v>
      </c>
      <c r="I325" s="2">
        <v>2</v>
      </c>
      <c r="J325" s="2">
        <v>0.18</v>
      </c>
    </row>
    <row r="326" spans="1:10" x14ac:dyDescent="0.3">
      <c r="A326" s="2">
        <v>325</v>
      </c>
      <c r="B326" s="3">
        <v>40558</v>
      </c>
      <c r="C326" s="2">
        <v>1</v>
      </c>
      <c r="D326" s="2">
        <v>0</v>
      </c>
      <c r="E326" s="2">
        <v>1</v>
      </c>
      <c r="F326" s="2">
        <v>0</v>
      </c>
      <c r="G326" s="2" t="b">
        <v>0</v>
      </c>
      <c r="H326" s="2">
        <v>6</v>
      </c>
      <c r="I326" s="2">
        <v>1</v>
      </c>
      <c r="J326" s="2">
        <v>0.18</v>
      </c>
    </row>
    <row r="327" spans="1:10" x14ac:dyDescent="0.3">
      <c r="A327" s="2">
        <v>326</v>
      </c>
      <c r="B327" s="3">
        <v>40558</v>
      </c>
      <c r="C327" s="2">
        <v>1</v>
      </c>
      <c r="D327" s="2">
        <v>0</v>
      </c>
      <c r="E327" s="2">
        <v>1</v>
      </c>
      <c r="F327" s="2">
        <v>1</v>
      </c>
      <c r="G327" s="2" t="b">
        <v>0</v>
      </c>
      <c r="H327" s="2">
        <v>6</v>
      </c>
      <c r="I327" s="2">
        <v>2</v>
      </c>
      <c r="J327" s="2">
        <v>0.16</v>
      </c>
    </row>
    <row r="328" spans="1:10" x14ac:dyDescent="0.3">
      <c r="A328" s="2">
        <v>327</v>
      </c>
      <c r="B328" s="3">
        <v>40558</v>
      </c>
      <c r="C328" s="2">
        <v>1</v>
      </c>
      <c r="D328" s="2">
        <v>0</v>
      </c>
      <c r="E328" s="2">
        <v>1</v>
      </c>
      <c r="F328" s="2">
        <v>2</v>
      </c>
      <c r="G328" s="2" t="b">
        <v>0</v>
      </c>
      <c r="H328" s="2">
        <v>6</v>
      </c>
      <c r="I328" s="2">
        <v>2</v>
      </c>
      <c r="J328" s="2">
        <v>0.16</v>
      </c>
    </row>
    <row r="329" spans="1:10" x14ac:dyDescent="0.3">
      <c r="A329" s="2">
        <v>328</v>
      </c>
      <c r="B329" s="3">
        <v>40558</v>
      </c>
      <c r="C329" s="2">
        <v>1</v>
      </c>
      <c r="D329" s="2">
        <v>0</v>
      </c>
      <c r="E329" s="2">
        <v>1</v>
      </c>
      <c r="F329" s="2">
        <v>3</v>
      </c>
      <c r="G329" s="2" t="b">
        <v>0</v>
      </c>
      <c r="H329" s="2">
        <v>6</v>
      </c>
      <c r="I329" s="2">
        <v>2</v>
      </c>
      <c r="J329" s="2">
        <v>0.16</v>
      </c>
    </row>
    <row r="330" spans="1:10" x14ac:dyDescent="0.3">
      <c r="A330" s="2">
        <v>329</v>
      </c>
      <c r="B330" s="3">
        <v>40558</v>
      </c>
      <c r="C330" s="2">
        <v>1</v>
      </c>
      <c r="D330" s="2">
        <v>0</v>
      </c>
      <c r="E330" s="2">
        <v>1</v>
      </c>
      <c r="F330" s="2">
        <v>4</v>
      </c>
      <c r="G330" s="2" t="b">
        <v>0</v>
      </c>
      <c r="H330" s="2">
        <v>6</v>
      </c>
      <c r="I330" s="2">
        <v>2</v>
      </c>
      <c r="J330" s="2">
        <v>0.16</v>
      </c>
    </row>
    <row r="331" spans="1:10" x14ac:dyDescent="0.3">
      <c r="A331" s="2">
        <v>330</v>
      </c>
      <c r="B331" s="3">
        <v>40558</v>
      </c>
      <c r="C331" s="2">
        <v>1</v>
      </c>
      <c r="D331" s="2">
        <v>0</v>
      </c>
      <c r="E331" s="2">
        <v>1</v>
      </c>
      <c r="F331" s="2">
        <v>5</v>
      </c>
      <c r="G331" s="2" t="b">
        <v>0</v>
      </c>
      <c r="H331" s="2">
        <v>6</v>
      </c>
      <c r="I331" s="2">
        <v>1</v>
      </c>
      <c r="J331" s="2">
        <v>0.16</v>
      </c>
    </row>
    <row r="332" spans="1:10" x14ac:dyDescent="0.3">
      <c r="A332" s="2">
        <v>331</v>
      </c>
      <c r="B332" s="3">
        <v>40558</v>
      </c>
      <c r="C332" s="2">
        <v>1</v>
      </c>
      <c r="D332" s="2">
        <v>0</v>
      </c>
      <c r="E332" s="2">
        <v>1</v>
      </c>
      <c r="F332" s="2">
        <v>6</v>
      </c>
      <c r="G332" s="2" t="b">
        <v>0</v>
      </c>
      <c r="H332" s="2">
        <v>6</v>
      </c>
      <c r="I332" s="2">
        <v>1</v>
      </c>
      <c r="J332" s="2">
        <v>0.14000000000000001</v>
      </c>
    </row>
    <row r="333" spans="1:10" x14ac:dyDescent="0.3">
      <c r="A333" s="2">
        <v>332</v>
      </c>
      <c r="B333" s="3">
        <v>40558</v>
      </c>
      <c r="C333" s="2">
        <v>1</v>
      </c>
      <c r="D333" s="2">
        <v>0</v>
      </c>
      <c r="E333" s="2">
        <v>1</v>
      </c>
      <c r="F333" s="2">
        <v>7</v>
      </c>
      <c r="G333" s="2" t="b">
        <v>0</v>
      </c>
      <c r="H333" s="2">
        <v>6</v>
      </c>
      <c r="I333" s="2">
        <v>1</v>
      </c>
      <c r="J333" s="2">
        <v>0.14000000000000001</v>
      </c>
    </row>
    <row r="334" spans="1:10" x14ac:dyDescent="0.3">
      <c r="A334" s="2">
        <v>333</v>
      </c>
      <c r="B334" s="3">
        <v>40558</v>
      </c>
      <c r="C334" s="2">
        <v>1</v>
      </c>
      <c r="D334" s="2">
        <v>0</v>
      </c>
      <c r="E334" s="2">
        <v>1</v>
      </c>
      <c r="F334" s="2">
        <v>8</v>
      </c>
      <c r="G334" s="2" t="b">
        <v>0</v>
      </c>
      <c r="H334" s="2">
        <v>6</v>
      </c>
      <c r="I334" s="2">
        <v>1</v>
      </c>
      <c r="J334" s="2">
        <v>0.14000000000000001</v>
      </c>
    </row>
    <row r="335" spans="1:10" x14ac:dyDescent="0.3">
      <c r="A335" s="2">
        <v>334</v>
      </c>
      <c r="B335" s="3">
        <v>40558</v>
      </c>
      <c r="C335" s="2">
        <v>1</v>
      </c>
      <c r="D335" s="2">
        <v>0</v>
      </c>
      <c r="E335" s="2">
        <v>1</v>
      </c>
      <c r="F335" s="2">
        <v>9</v>
      </c>
      <c r="G335" s="2" t="b">
        <v>0</v>
      </c>
      <c r="H335" s="2">
        <v>6</v>
      </c>
      <c r="I335" s="2">
        <v>1</v>
      </c>
      <c r="J335" s="2">
        <v>0.16</v>
      </c>
    </row>
    <row r="336" spans="1:10" x14ac:dyDescent="0.3">
      <c r="A336" s="2">
        <v>335</v>
      </c>
      <c r="B336" s="3">
        <v>40558</v>
      </c>
      <c r="C336" s="2">
        <v>1</v>
      </c>
      <c r="D336" s="2">
        <v>0</v>
      </c>
      <c r="E336" s="2">
        <v>1</v>
      </c>
      <c r="F336" s="2">
        <v>10</v>
      </c>
      <c r="G336" s="2" t="b">
        <v>0</v>
      </c>
      <c r="H336" s="2">
        <v>6</v>
      </c>
      <c r="I336" s="2">
        <v>1</v>
      </c>
      <c r="J336" s="2">
        <v>0.18</v>
      </c>
    </row>
    <row r="337" spans="1:10" x14ac:dyDescent="0.3">
      <c r="A337" s="2">
        <v>336</v>
      </c>
      <c r="B337" s="3">
        <v>40558</v>
      </c>
      <c r="C337" s="2">
        <v>1</v>
      </c>
      <c r="D337" s="2">
        <v>0</v>
      </c>
      <c r="E337" s="2">
        <v>1</v>
      </c>
      <c r="F337" s="2">
        <v>11</v>
      </c>
      <c r="G337" s="2" t="b">
        <v>0</v>
      </c>
      <c r="H337" s="2">
        <v>6</v>
      </c>
      <c r="I337" s="2">
        <v>1</v>
      </c>
      <c r="J337" s="2">
        <v>0.2</v>
      </c>
    </row>
    <row r="338" spans="1:10" x14ac:dyDescent="0.3">
      <c r="A338" s="2">
        <v>337</v>
      </c>
      <c r="B338" s="3">
        <v>40558</v>
      </c>
      <c r="C338" s="2">
        <v>1</v>
      </c>
      <c r="D338" s="2">
        <v>0</v>
      </c>
      <c r="E338" s="2">
        <v>1</v>
      </c>
      <c r="F338" s="2">
        <v>12</v>
      </c>
      <c r="G338" s="2" t="b">
        <v>0</v>
      </c>
      <c r="H338" s="2">
        <v>6</v>
      </c>
      <c r="I338" s="2">
        <v>1</v>
      </c>
      <c r="J338" s="2">
        <v>0.24</v>
      </c>
    </row>
    <row r="339" spans="1:10" x14ac:dyDescent="0.3">
      <c r="A339" s="2">
        <v>338</v>
      </c>
      <c r="B339" s="3">
        <v>40558</v>
      </c>
      <c r="C339" s="2">
        <v>1</v>
      </c>
      <c r="D339" s="2">
        <v>0</v>
      </c>
      <c r="E339" s="2">
        <v>1</v>
      </c>
      <c r="F339" s="2">
        <v>13</v>
      </c>
      <c r="G339" s="2" t="b">
        <v>0</v>
      </c>
      <c r="H339" s="2">
        <v>6</v>
      </c>
      <c r="I339" s="2">
        <v>1</v>
      </c>
      <c r="J339" s="2">
        <v>0.28000000000000003</v>
      </c>
    </row>
    <row r="340" spans="1:10" x14ac:dyDescent="0.3">
      <c r="A340" s="2">
        <v>339</v>
      </c>
      <c r="B340" s="3">
        <v>40558</v>
      </c>
      <c r="C340" s="2">
        <v>1</v>
      </c>
      <c r="D340" s="2">
        <v>0</v>
      </c>
      <c r="E340" s="2">
        <v>1</v>
      </c>
      <c r="F340" s="2">
        <v>14</v>
      </c>
      <c r="G340" s="2" t="b">
        <v>0</v>
      </c>
      <c r="H340" s="2">
        <v>6</v>
      </c>
      <c r="I340" s="2">
        <v>1</v>
      </c>
      <c r="J340" s="2">
        <v>0.3</v>
      </c>
    </row>
    <row r="341" spans="1:10" x14ac:dyDescent="0.3">
      <c r="A341" s="2">
        <v>340</v>
      </c>
      <c r="B341" s="3">
        <v>40558</v>
      </c>
      <c r="C341" s="2">
        <v>1</v>
      </c>
      <c r="D341" s="2">
        <v>0</v>
      </c>
      <c r="E341" s="2">
        <v>1</v>
      </c>
      <c r="F341" s="2">
        <v>15</v>
      </c>
      <c r="G341" s="2" t="b">
        <v>0</v>
      </c>
      <c r="H341" s="2">
        <v>6</v>
      </c>
      <c r="I341" s="2">
        <v>2</v>
      </c>
      <c r="J341" s="2">
        <v>0.32</v>
      </c>
    </row>
    <row r="342" spans="1:10" x14ac:dyDescent="0.3">
      <c r="A342" s="2">
        <v>341</v>
      </c>
      <c r="B342" s="3">
        <v>40558</v>
      </c>
      <c r="C342" s="2">
        <v>1</v>
      </c>
      <c r="D342" s="2">
        <v>0</v>
      </c>
      <c r="E342" s="2">
        <v>1</v>
      </c>
      <c r="F342" s="2">
        <v>16</v>
      </c>
      <c r="G342" s="2" t="b">
        <v>0</v>
      </c>
      <c r="H342" s="2">
        <v>6</v>
      </c>
      <c r="I342" s="2">
        <v>2</v>
      </c>
      <c r="J342" s="2">
        <v>0.34</v>
      </c>
    </row>
    <row r="343" spans="1:10" x14ac:dyDescent="0.3">
      <c r="A343" s="2">
        <v>342</v>
      </c>
      <c r="B343" s="3">
        <v>40558</v>
      </c>
      <c r="C343" s="2">
        <v>1</v>
      </c>
      <c r="D343" s="2">
        <v>0</v>
      </c>
      <c r="E343" s="2">
        <v>1</v>
      </c>
      <c r="F343" s="2">
        <v>17</v>
      </c>
      <c r="G343" s="2" t="b">
        <v>0</v>
      </c>
      <c r="H343" s="2">
        <v>6</v>
      </c>
      <c r="I343" s="2">
        <v>2</v>
      </c>
      <c r="J343" s="2">
        <v>0.32</v>
      </c>
    </row>
    <row r="344" spans="1:10" x14ac:dyDescent="0.3">
      <c r="A344" s="2">
        <v>343</v>
      </c>
      <c r="B344" s="3">
        <v>40558</v>
      </c>
      <c r="C344" s="2">
        <v>1</v>
      </c>
      <c r="D344" s="2">
        <v>0</v>
      </c>
      <c r="E344" s="2">
        <v>1</v>
      </c>
      <c r="F344" s="2">
        <v>18</v>
      </c>
      <c r="G344" s="2" t="b">
        <v>0</v>
      </c>
      <c r="H344" s="2">
        <v>6</v>
      </c>
      <c r="I344" s="2">
        <v>2</v>
      </c>
      <c r="J344" s="2">
        <v>0.3</v>
      </c>
    </row>
    <row r="345" spans="1:10" x14ac:dyDescent="0.3">
      <c r="A345" s="2">
        <v>344</v>
      </c>
      <c r="B345" s="3">
        <v>40558</v>
      </c>
      <c r="C345" s="2">
        <v>1</v>
      </c>
      <c r="D345" s="2">
        <v>0</v>
      </c>
      <c r="E345" s="2">
        <v>1</v>
      </c>
      <c r="F345" s="2">
        <v>19</v>
      </c>
      <c r="G345" s="2" t="b">
        <v>0</v>
      </c>
      <c r="H345" s="2">
        <v>6</v>
      </c>
      <c r="I345" s="2">
        <v>2</v>
      </c>
      <c r="J345" s="2">
        <v>0.32</v>
      </c>
    </row>
    <row r="346" spans="1:10" x14ac:dyDescent="0.3">
      <c r="A346" s="2">
        <v>345</v>
      </c>
      <c r="B346" s="3">
        <v>40558</v>
      </c>
      <c r="C346" s="2">
        <v>1</v>
      </c>
      <c r="D346" s="2">
        <v>0</v>
      </c>
      <c r="E346" s="2">
        <v>1</v>
      </c>
      <c r="F346" s="2">
        <v>20</v>
      </c>
      <c r="G346" s="2" t="b">
        <v>0</v>
      </c>
      <c r="H346" s="2">
        <v>6</v>
      </c>
      <c r="I346" s="2">
        <v>2</v>
      </c>
      <c r="J346" s="2">
        <v>0.32</v>
      </c>
    </row>
    <row r="347" spans="1:10" x14ac:dyDescent="0.3">
      <c r="A347" s="2">
        <v>346</v>
      </c>
      <c r="B347" s="3">
        <v>40558</v>
      </c>
      <c r="C347" s="2">
        <v>1</v>
      </c>
      <c r="D347" s="2">
        <v>0</v>
      </c>
      <c r="E347" s="2">
        <v>1</v>
      </c>
      <c r="F347" s="2">
        <v>21</v>
      </c>
      <c r="G347" s="2" t="b">
        <v>0</v>
      </c>
      <c r="H347" s="2">
        <v>6</v>
      </c>
      <c r="I347" s="2">
        <v>2</v>
      </c>
      <c r="J347" s="2">
        <v>0.32</v>
      </c>
    </row>
    <row r="348" spans="1:10" x14ac:dyDescent="0.3">
      <c r="A348" s="2">
        <v>347</v>
      </c>
      <c r="B348" s="3">
        <v>40558</v>
      </c>
      <c r="C348" s="2">
        <v>1</v>
      </c>
      <c r="D348" s="2">
        <v>0</v>
      </c>
      <c r="E348" s="2">
        <v>1</v>
      </c>
      <c r="F348" s="2">
        <v>22</v>
      </c>
      <c r="G348" s="2" t="b">
        <v>0</v>
      </c>
      <c r="H348" s="2">
        <v>6</v>
      </c>
      <c r="I348" s="2">
        <v>2</v>
      </c>
      <c r="J348" s="2">
        <v>0.3</v>
      </c>
    </row>
    <row r="349" spans="1:10" x14ac:dyDescent="0.3">
      <c r="A349" s="2">
        <v>348</v>
      </c>
      <c r="B349" s="3">
        <v>40558</v>
      </c>
      <c r="C349" s="2">
        <v>1</v>
      </c>
      <c r="D349" s="2">
        <v>0</v>
      </c>
      <c r="E349" s="2">
        <v>1</v>
      </c>
      <c r="F349" s="2">
        <v>23</v>
      </c>
      <c r="G349" s="2" t="b">
        <v>0</v>
      </c>
      <c r="H349" s="2">
        <v>6</v>
      </c>
      <c r="I349" s="2">
        <v>1</v>
      </c>
      <c r="J349" s="2">
        <v>0.3</v>
      </c>
    </row>
    <row r="350" spans="1:10" x14ac:dyDescent="0.3">
      <c r="A350" s="2">
        <v>349</v>
      </c>
      <c r="B350" s="3">
        <v>40559</v>
      </c>
      <c r="C350" s="2">
        <v>1</v>
      </c>
      <c r="D350" s="2">
        <v>0</v>
      </c>
      <c r="E350" s="2">
        <v>1</v>
      </c>
      <c r="F350" s="2">
        <v>0</v>
      </c>
      <c r="G350" s="2" t="b">
        <v>0</v>
      </c>
      <c r="H350" s="2">
        <v>0</v>
      </c>
      <c r="I350" s="2">
        <v>1</v>
      </c>
      <c r="J350" s="2">
        <v>0.26</v>
      </c>
    </row>
    <row r="351" spans="1:10" x14ac:dyDescent="0.3">
      <c r="A351" s="2">
        <v>350</v>
      </c>
      <c r="B351" s="3">
        <v>40559</v>
      </c>
      <c r="C351" s="2">
        <v>1</v>
      </c>
      <c r="D351" s="2">
        <v>0</v>
      </c>
      <c r="E351" s="2">
        <v>1</v>
      </c>
      <c r="F351" s="2">
        <v>1</v>
      </c>
      <c r="G351" s="2" t="b">
        <v>0</v>
      </c>
      <c r="H351" s="2">
        <v>0</v>
      </c>
      <c r="I351" s="2">
        <v>1</v>
      </c>
      <c r="J351" s="2">
        <v>0.26</v>
      </c>
    </row>
    <row r="352" spans="1:10" x14ac:dyDescent="0.3">
      <c r="A352" s="2">
        <v>351</v>
      </c>
      <c r="B352" s="3">
        <v>40559</v>
      </c>
      <c r="C352" s="2">
        <v>1</v>
      </c>
      <c r="D352" s="2">
        <v>0</v>
      </c>
      <c r="E352" s="2">
        <v>1</v>
      </c>
      <c r="F352" s="2">
        <v>2</v>
      </c>
      <c r="G352" s="2" t="b">
        <v>0</v>
      </c>
      <c r="H352" s="2">
        <v>0</v>
      </c>
      <c r="I352" s="2">
        <v>1</v>
      </c>
      <c r="J352" s="2">
        <v>0.26</v>
      </c>
    </row>
    <row r="353" spans="1:10" x14ac:dyDescent="0.3">
      <c r="A353" s="2">
        <v>352</v>
      </c>
      <c r="B353" s="3">
        <v>40559</v>
      </c>
      <c r="C353" s="2">
        <v>1</v>
      </c>
      <c r="D353" s="2">
        <v>0</v>
      </c>
      <c r="E353" s="2">
        <v>1</v>
      </c>
      <c r="F353" s="2">
        <v>3</v>
      </c>
      <c r="G353" s="2" t="b">
        <v>0</v>
      </c>
      <c r="H353" s="2">
        <v>0</v>
      </c>
      <c r="I353" s="2">
        <v>1</v>
      </c>
      <c r="J353" s="2">
        <v>0.22</v>
      </c>
    </row>
    <row r="354" spans="1:10" x14ac:dyDescent="0.3">
      <c r="A354" s="2">
        <v>353</v>
      </c>
      <c r="B354" s="3">
        <v>40559</v>
      </c>
      <c r="C354" s="2">
        <v>1</v>
      </c>
      <c r="D354" s="2">
        <v>0</v>
      </c>
      <c r="E354" s="2">
        <v>1</v>
      </c>
      <c r="F354" s="2">
        <v>4</v>
      </c>
      <c r="G354" s="2" t="b">
        <v>0</v>
      </c>
      <c r="H354" s="2">
        <v>0</v>
      </c>
      <c r="I354" s="2">
        <v>1</v>
      </c>
      <c r="J354" s="2">
        <v>0.26</v>
      </c>
    </row>
    <row r="355" spans="1:10" x14ac:dyDescent="0.3">
      <c r="A355" s="2">
        <v>354</v>
      </c>
      <c r="B355" s="3">
        <v>40559</v>
      </c>
      <c r="C355" s="2">
        <v>1</v>
      </c>
      <c r="D355" s="2">
        <v>0</v>
      </c>
      <c r="E355" s="2">
        <v>1</v>
      </c>
      <c r="F355" s="2">
        <v>5</v>
      </c>
      <c r="G355" s="2" t="b">
        <v>0</v>
      </c>
      <c r="H355" s="2">
        <v>0</v>
      </c>
      <c r="I355" s="2">
        <v>2</v>
      </c>
      <c r="J355" s="2">
        <v>0.26</v>
      </c>
    </row>
    <row r="356" spans="1:10" x14ac:dyDescent="0.3">
      <c r="A356" s="2">
        <v>355</v>
      </c>
      <c r="B356" s="3">
        <v>40559</v>
      </c>
      <c r="C356" s="2">
        <v>1</v>
      </c>
      <c r="D356" s="2">
        <v>0</v>
      </c>
      <c r="E356" s="2">
        <v>1</v>
      </c>
      <c r="F356" s="2">
        <v>6</v>
      </c>
      <c r="G356" s="2" t="b">
        <v>0</v>
      </c>
      <c r="H356" s="2">
        <v>0</v>
      </c>
      <c r="I356" s="2">
        <v>2</v>
      </c>
      <c r="J356" s="2">
        <v>0.26</v>
      </c>
    </row>
    <row r="357" spans="1:10" x14ac:dyDescent="0.3">
      <c r="A357" s="2">
        <v>356</v>
      </c>
      <c r="B357" s="3">
        <v>40559</v>
      </c>
      <c r="C357" s="2">
        <v>1</v>
      </c>
      <c r="D357" s="2">
        <v>0</v>
      </c>
      <c r="E357" s="2">
        <v>1</v>
      </c>
      <c r="F357" s="2">
        <v>7</v>
      </c>
      <c r="G357" s="2" t="b">
        <v>0</v>
      </c>
      <c r="H357" s="2">
        <v>0</v>
      </c>
      <c r="I357" s="2">
        <v>2</v>
      </c>
      <c r="J357" s="2">
        <v>0.24</v>
      </c>
    </row>
    <row r="358" spans="1:10" x14ac:dyDescent="0.3">
      <c r="A358" s="2">
        <v>357</v>
      </c>
      <c r="B358" s="3">
        <v>40559</v>
      </c>
      <c r="C358" s="2">
        <v>1</v>
      </c>
      <c r="D358" s="2">
        <v>0</v>
      </c>
      <c r="E358" s="2">
        <v>1</v>
      </c>
      <c r="F358" s="2">
        <v>8</v>
      </c>
      <c r="G358" s="2" t="b">
        <v>0</v>
      </c>
      <c r="H358" s="2">
        <v>0</v>
      </c>
      <c r="I358" s="2">
        <v>1</v>
      </c>
      <c r="J358" s="2">
        <v>0.22</v>
      </c>
    </row>
    <row r="359" spans="1:10" x14ac:dyDescent="0.3">
      <c r="A359" s="2">
        <v>358</v>
      </c>
      <c r="B359" s="3">
        <v>40559</v>
      </c>
      <c r="C359" s="2">
        <v>1</v>
      </c>
      <c r="D359" s="2">
        <v>0</v>
      </c>
      <c r="E359" s="2">
        <v>1</v>
      </c>
      <c r="F359" s="2">
        <v>9</v>
      </c>
      <c r="G359" s="2" t="b">
        <v>0</v>
      </c>
      <c r="H359" s="2">
        <v>0</v>
      </c>
      <c r="I359" s="2">
        <v>1</v>
      </c>
      <c r="J359" s="2">
        <v>0.22</v>
      </c>
    </row>
    <row r="360" spans="1:10" x14ac:dyDescent="0.3">
      <c r="A360" s="2">
        <v>359</v>
      </c>
      <c r="B360" s="3">
        <v>40559</v>
      </c>
      <c r="C360" s="2">
        <v>1</v>
      </c>
      <c r="D360" s="2">
        <v>0</v>
      </c>
      <c r="E360" s="2">
        <v>1</v>
      </c>
      <c r="F360" s="2">
        <v>10</v>
      </c>
      <c r="G360" s="2" t="b">
        <v>0</v>
      </c>
      <c r="H360" s="2">
        <v>0</v>
      </c>
      <c r="I360" s="2">
        <v>1</v>
      </c>
      <c r="J360" s="2">
        <v>0.22</v>
      </c>
    </row>
    <row r="361" spans="1:10" x14ac:dyDescent="0.3">
      <c r="A361" s="2">
        <v>360</v>
      </c>
      <c r="B361" s="3">
        <v>40559</v>
      </c>
      <c r="C361" s="2">
        <v>1</v>
      </c>
      <c r="D361" s="2">
        <v>0</v>
      </c>
      <c r="E361" s="2">
        <v>1</v>
      </c>
      <c r="F361" s="2">
        <v>11</v>
      </c>
      <c r="G361" s="2" t="b">
        <v>0</v>
      </c>
      <c r="H361" s="2">
        <v>0</v>
      </c>
      <c r="I361" s="2">
        <v>1</v>
      </c>
      <c r="J361" s="2">
        <v>0.24</v>
      </c>
    </row>
    <row r="362" spans="1:10" x14ac:dyDescent="0.3">
      <c r="A362" s="2">
        <v>361</v>
      </c>
      <c r="B362" s="3">
        <v>40559</v>
      </c>
      <c r="C362" s="2">
        <v>1</v>
      </c>
      <c r="D362" s="2">
        <v>0</v>
      </c>
      <c r="E362" s="2">
        <v>1</v>
      </c>
      <c r="F362" s="2">
        <v>12</v>
      </c>
      <c r="G362" s="2" t="b">
        <v>0</v>
      </c>
      <c r="H362" s="2">
        <v>0</v>
      </c>
      <c r="I362" s="2">
        <v>1</v>
      </c>
      <c r="J362" s="2">
        <v>0.24</v>
      </c>
    </row>
    <row r="363" spans="1:10" x14ac:dyDescent="0.3">
      <c r="A363" s="2">
        <v>362</v>
      </c>
      <c r="B363" s="3">
        <v>40559</v>
      </c>
      <c r="C363" s="2">
        <v>1</v>
      </c>
      <c r="D363" s="2">
        <v>0</v>
      </c>
      <c r="E363" s="2">
        <v>1</v>
      </c>
      <c r="F363" s="2">
        <v>13</v>
      </c>
      <c r="G363" s="2" t="b">
        <v>0</v>
      </c>
      <c r="H363" s="2">
        <v>0</v>
      </c>
      <c r="I363" s="2">
        <v>1</v>
      </c>
      <c r="J363" s="2">
        <v>0.26</v>
      </c>
    </row>
    <row r="364" spans="1:10" x14ac:dyDescent="0.3">
      <c r="A364" s="2">
        <v>363</v>
      </c>
      <c r="B364" s="3">
        <v>40559</v>
      </c>
      <c r="C364" s="2">
        <v>1</v>
      </c>
      <c r="D364" s="2">
        <v>0</v>
      </c>
      <c r="E364" s="2">
        <v>1</v>
      </c>
      <c r="F364" s="2">
        <v>14</v>
      </c>
      <c r="G364" s="2" t="b">
        <v>0</v>
      </c>
      <c r="H364" s="2">
        <v>0</v>
      </c>
      <c r="I364" s="2">
        <v>1</v>
      </c>
      <c r="J364" s="2">
        <v>0.28000000000000003</v>
      </c>
    </row>
    <row r="365" spans="1:10" x14ac:dyDescent="0.3">
      <c r="A365" s="2">
        <v>364</v>
      </c>
      <c r="B365" s="3">
        <v>40559</v>
      </c>
      <c r="C365" s="2">
        <v>1</v>
      </c>
      <c r="D365" s="2">
        <v>0</v>
      </c>
      <c r="E365" s="2">
        <v>1</v>
      </c>
      <c r="F365" s="2">
        <v>15</v>
      </c>
      <c r="G365" s="2" t="b">
        <v>0</v>
      </c>
      <c r="H365" s="2">
        <v>0</v>
      </c>
      <c r="I365" s="2">
        <v>1</v>
      </c>
      <c r="J365" s="2">
        <v>0.26</v>
      </c>
    </row>
    <row r="366" spans="1:10" x14ac:dyDescent="0.3">
      <c r="A366" s="2">
        <v>365</v>
      </c>
      <c r="B366" s="3">
        <v>40559</v>
      </c>
      <c r="C366" s="2">
        <v>1</v>
      </c>
      <c r="D366" s="2">
        <v>0</v>
      </c>
      <c r="E366" s="2">
        <v>1</v>
      </c>
      <c r="F366" s="2">
        <v>16</v>
      </c>
      <c r="G366" s="2" t="b">
        <v>0</v>
      </c>
      <c r="H366" s="2">
        <v>0</v>
      </c>
      <c r="I366" s="2">
        <v>1</v>
      </c>
      <c r="J366" s="2">
        <v>0.24</v>
      </c>
    </row>
    <row r="367" spans="1:10" x14ac:dyDescent="0.3">
      <c r="A367" s="2">
        <v>366</v>
      </c>
      <c r="B367" s="3">
        <v>40559</v>
      </c>
      <c r="C367" s="2">
        <v>1</v>
      </c>
      <c r="D367" s="2">
        <v>0</v>
      </c>
      <c r="E367" s="2">
        <v>1</v>
      </c>
      <c r="F367" s="2">
        <v>17</v>
      </c>
      <c r="G367" s="2" t="b">
        <v>0</v>
      </c>
      <c r="H367" s="2">
        <v>0</v>
      </c>
      <c r="I367" s="2">
        <v>1</v>
      </c>
      <c r="J367" s="2">
        <v>0.22</v>
      </c>
    </row>
    <row r="368" spans="1:10" x14ac:dyDescent="0.3">
      <c r="A368" s="2">
        <v>367</v>
      </c>
      <c r="B368" s="3">
        <v>40559</v>
      </c>
      <c r="C368" s="2">
        <v>1</v>
      </c>
      <c r="D368" s="2">
        <v>0</v>
      </c>
      <c r="E368" s="2">
        <v>1</v>
      </c>
      <c r="F368" s="2">
        <v>18</v>
      </c>
      <c r="G368" s="2" t="b">
        <v>0</v>
      </c>
      <c r="H368" s="2">
        <v>0</v>
      </c>
      <c r="I368" s="2">
        <v>1</v>
      </c>
      <c r="J368" s="2">
        <v>0.2</v>
      </c>
    </row>
    <row r="369" spans="1:10" x14ac:dyDescent="0.3">
      <c r="A369" s="2">
        <v>368</v>
      </c>
      <c r="B369" s="3">
        <v>40559</v>
      </c>
      <c r="C369" s="2">
        <v>1</v>
      </c>
      <c r="D369" s="2">
        <v>0</v>
      </c>
      <c r="E369" s="2">
        <v>1</v>
      </c>
      <c r="F369" s="2">
        <v>19</v>
      </c>
      <c r="G369" s="2" t="b">
        <v>0</v>
      </c>
      <c r="H369" s="2">
        <v>0</v>
      </c>
      <c r="I369" s="2">
        <v>1</v>
      </c>
      <c r="J369" s="2">
        <v>0.18</v>
      </c>
    </row>
    <row r="370" spans="1:10" x14ac:dyDescent="0.3">
      <c r="A370" s="2">
        <v>369</v>
      </c>
      <c r="B370" s="3">
        <v>40559</v>
      </c>
      <c r="C370" s="2">
        <v>1</v>
      </c>
      <c r="D370" s="2">
        <v>0</v>
      </c>
      <c r="E370" s="2">
        <v>1</v>
      </c>
      <c r="F370" s="2">
        <v>20</v>
      </c>
      <c r="G370" s="2" t="b">
        <v>0</v>
      </c>
      <c r="H370" s="2">
        <v>0</v>
      </c>
      <c r="I370" s="2">
        <v>1</v>
      </c>
      <c r="J370" s="2">
        <v>0.18</v>
      </c>
    </row>
    <row r="371" spans="1:10" x14ac:dyDescent="0.3">
      <c r="A371" s="2">
        <v>370</v>
      </c>
      <c r="B371" s="3">
        <v>40559</v>
      </c>
      <c r="C371" s="2">
        <v>1</v>
      </c>
      <c r="D371" s="2">
        <v>0</v>
      </c>
      <c r="E371" s="2">
        <v>1</v>
      </c>
      <c r="F371" s="2">
        <v>21</v>
      </c>
      <c r="G371" s="2" t="b">
        <v>0</v>
      </c>
      <c r="H371" s="2">
        <v>0</v>
      </c>
      <c r="I371" s="2">
        <v>1</v>
      </c>
      <c r="J371" s="2">
        <v>0.18</v>
      </c>
    </row>
    <row r="372" spans="1:10" x14ac:dyDescent="0.3">
      <c r="A372" s="2">
        <v>371</v>
      </c>
      <c r="B372" s="3">
        <v>40559</v>
      </c>
      <c r="C372" s="2">
        <v>1</v>
      </c>
      <c r="D372" s="2">
        <v>0</v>
      </c>
      <c r="E372" s="2">
        <v>1</v>
      </c>
      <c r="F372" s="2">
        <v>22</v>
      </c>
      <c r="G372" s="2" t="b">
        <v>0</v>
      </c>
      <c r="H372" s="2">
        <v>0</v>
      </c>
      <c r="I372" s="2">
        <v>2</v>
      </c>
      <c r="J372" s="2">
        <v>0.2</v>
      </c>
    </row>
    <row r="373" spans="1:10" x14ac:dyDescent="0.3">
      <c r="A373" s="2">
        <v>372</v>
      </c>
      <c r="B373" s="3">
        <v>40559</v>
      </c>
      <c r="C373" s="2">
        <v>1</v>
      </c>
      <c r="D373" s="2">
        <v>0</v>
      </c>
      <c r="E373" s="2">
        <v>1</v>
      </c>
      <c r="F373" s="2">
        <v>23</v>
      </c>
      <c r="G373" s="2" t="b">
        <v>0</v>
      </c>
      <c r="H373" s="2">
        <v>0</v>
      </c>
      <c r="I373" s="2">
        <v>2</v>
      </c>
      <c r="J373" s="2">
        <v>0.2</v>
      </c>
    </row>
    <row r="374" spans="1:10" x14ac:dyDescent="0.3">
      <c r="A374" s="2">
        <v>373</v>
      </c>
      <c r="B374" s="3">
        <v>40560</v>
      </c>
      <c r="C374" s="2">
        <v>1</v>
      </c>
      <c r="D374" s="2">
        <v>0</v>
      </c>
      <c r="E374" s="2">
        <v>1</v>
      </c>
      <c r="F374" s="2">
        <v>0</v>
      </c>
      <c r="G374" s="2" t="b">
        <v>1</v>
      </c>
      <c r="H374" s="2">
        <v>1</v>
      </c>
      <c r="I374" s="2">
        <v>2</v>
      </c>
      <c r="J374" s="2">
        <v>0.2</v>
      </c>
    </row>
    <row r="375" spans="1:10" x14ac:dyDescent="0.3">
      <c r="A375" s="2">
        <v>374</v>
      </c>
      <c r="B375" s="3">
        <v>40560</v>
      </c>
      <c r="C375" s="2">
        <v>1</v>
      </c>
      <c r="D375" s="2">
        <v>0</v>
      </c>
      <c r="E375" s="2">
        <v>1</v>
      </c>
      <c r="F375" s="2">
        <v>1</v>
      </c>
      <c r="G375" s="2" t="b">
        <v>1</v>
      </c>
      <c r="H375" s="2">
        <v>1</v>
      </c>
      <c r="I375" s="2">
        <v>2</v>
      </c>
      <c r="J375" s="2">
        <v>0.2</v>
      </c>
    </row>
    <row r="376" spans="1:10" x14ac:dyDescent="0.3">
      <c r="A376" s="2">
        <v>375</v>
      </c>
      <c r="B376" s="3">
        <v>40560</v>
      </c>
      <c r="C376" s="2">
        <v>1</v>
      </c>
      <c r="D376" s="2">
        <v>0</v>
      </c>
      <c r="E376" s="2">
        <v>1</v>
      </c>
      <c r="F376" s="2">
        <v>2</v>
      </c>
      <c r="G376" s="2" t="b">
        <v>1</v>
      </c>
      <c r="H376" s="2">
        <v>1</v>
      </c>
      <c r="I376" s="2">
        <v>2</v>
      </c>
      <c r="J376" s="2">
        <v>0.18</v>
      </c>
    </row>
    <row r="377" spans="1:10" x14ac:dyDescent="0.3">
      <c r="A377" s="2">
        <v>376</v>
      </c>
      <c r="B377" s="3">
        <v>40560</v>
      </c>
      <c r="C377" s="2">
        <v>1</v>
      </c>
      <c r="D377" s="2">
        <v>0</v>
      </c>
      <c r="E377" s="2">
        <v>1</v>
      </c>
      <c r="F377" s="2">
        <v>3</v>
      </c>
      <c r="G377" s="2" t="b">
        <v>1</v>
      </c>
      <c r="H377" s="2">
        <v>1</v>
      </c>
      <c r="I377" s="2">
        <v>2</v>
      </c>
      <c r="J377" s="2">
        <v>0.18</v>
      </c>
    </row>
    <row r="378" spans="1:10" x14ac:dyDescent="0.3">
      <c r="A378" s="2">
        <v>377</v>
      </c>
      <c r="B378" s="3">
        <v>40560</v>
      </c>
      <c r="C378" s="2">
        <v>1</v>
      </c>
      <c r="D378" s="2">
        <v>0</v>
      </c>
      <c r="E378" s="2">
        <v>1</v>
      </c>
      <c r="F378" s="2">
        <v>4</v>
      </c>
      <c r="G378" s="2" t="b">
        <v>1</v>
      </c>
      <c r="H378" s="2">
        <v>1</v>
      </c>
      <c r="I378" s="2">
        <v>2</v>
      </c>
      <c r="J378" s="2">
        <v>0.18</v>
      </c>
    </row>
    <row r="379" spans="1:10" x14ac:dyDescent="0.3">
      <c r="A379" s="2">
        <v>378</v>
      </c>
      <c r="B379" s="3">
        <v>40560</v>
      </c>
      <c r="C379" s="2">
        <v>1</v>
      </c>
      <c r="D379" s="2">
        <v>0</v>
      </c>
      <c r="E379" s="2">
        <v>1</v>
      </c>
      <c r="F379" s="2">
        <v>5</v>
      </c>
      <c r="G379" s="2" t="b">
        <v>1</v>
      </c>
      <c r="H379" s="2">
        <v>1</v>
      </c>
      <c r="I379" s="2">
        <v>2</v>
      </c>
      <c r="J379" s="2">
        <v>0.18</v>
      </c>
    </row>
    <row r="380" spans="1:10" x14ac:dyDescent="0.3">
      <c r="A380" s="2">
        <v>379</v>
      </c>
      <c r="B380" s="3">
        <v>40560</v>
      </c>
      <c r="C380" s="2">
        <v>1</v>
      </c>
      <c r="D380" s="2">
        <v>0</v>
      </c>
      <c r="E380" s="2">
        <v>1</v>
      </c>
      <c r="F380" s="2">
        <v>6</v>
      </c>
      <c r="G380" s="2" t="b">
        <v>1</v>
      </c>
      <c r="H380" s="2">
        <v>1</v>
      </c>
      <c r="I380" s="2">
        <v>2</v>
      </c>
      <c r="J380" s="2">
        <v>0.18</v>
      </c>
    </row>
    <row r="381" spans="1:10" x14ac:dyDescent="0.3">
      <c r="A381" s="2">
        <v>380</v>
      </c>
      <c r="B381" s="3">
        <v>40560</v>
      </c>
      <c r="C381" s="2">
        <v>1</v>
      </c>
      <c r="D381" s="2">
        <v>0</v>
      </c>
      <c r="E381" s="2">
        <v>1</v>
      </c>
      <c r="F381" s="2">
        <v>7</v>
      </c>
      <c r="G381" s="2" t="b">
        <v>1</v>
      </c>
      <c r="H381" s="2">
        <v>1</v>
      </c>
      <c r="I381" s="2">
        <v>2</v>
      </c>
      <c r="J381" s="2">
        <v>0.16</v>
      </c>
    </row>
    <row r="382" spans="1:10" x14ac:dyDescent="0.3">
      <c r="A382" s="2">
        <v>381</v>
      </c>
      <c r="B382" s="3">
        <v>40560</v>
      </c>
      <c r="C382" s="2">
        <v>1</v>
      </c>
      <c r="D382" s="2">
        <v>0</v>
      </c>
      <c r="E382" s="2">
        <v>1</v>
      </c>
      <c r="F382" s="2">
        <v>8</v>
      </c>
      <c r="G382" s="2" t="b">
        <v>1</v>
      </c>
      <c r="H382" s="2">
        <v>1</v>
      </c>
      <c r="I382" s="2">
        <v>2</v>
      </c>
      <c r="J382" s="2">
        <v>0.16</v>
      </c>
    </row>
    <row r="383" spans="1:10" x14ac:dyDescent="0.3">
      <c r="A383" s="2">
        <v>382</v>
      </c>
      <c r="B383" s="3">
        <v>40560</v>
      </c>
      <c r="C383" s="2">
        <v>1</v>
      </c>
      <c r="D383" s="2">
        <v>0</v>
      </c>
      <c r="E383" s="2">
        <v>1</v>
      </c>
      <c r="F383" s="2">
        <v>9</v>
      </c>
      <c r="G383" s="2" t="b">
        <v>1</v>
      </c>
      <c r="H383" s="2">
        <v>1</v>
      </c>
      <c r="I383" s="2">
        <v>2</v>
      </c>
      <c r="J383" s="2">
        <v>0.16</v>
      </c>
    </row>
    <row r="384" spans="1:10" x14ac:dyDescent="0.3">
      <c r="A384" s="2">
        <v>383</v>
      </c>
      <c r="B384" s="3">
        <v>40560</v>
      </c>
      <c r="C384" s="2">
        <v>1</v>
      </c>
      <c r="D384" s="2">
        <v>0</v>
      </c>
      <c r="E384" s="2">
        <v>1</v>
      </c>
      <c r="F384" s="2">
        <v>10</v>
      </c>
      <c r="G384" s="2" t="b">
        <v>1</v>
      </c>
      <c r="H384" s="2">
        <v>1</v>
      </c>
      <c r="I384" s="2">
        <v>2</v>
      </c>
      <c r="J384" s="2">
        <v>0.16</v>
      </c>
    </row>
    <row r="385" spans="1:10" x14ac:dyDescent="0.3">
      <c r="A385" s="2">
        <v>384</v>
      </c>
      <c r="B385" s="3">
        <v>40560</v>
      </c>
      <c r="C385" s="2">
        <v>1</v>
      </c>
      <c r="D385" s="2">
        <v>0</v>
      </c>
      <c r="E385" s="2">
        <v>1</v>
      </c>
      <c r="F385" s="2">
        <v>11</v>
      </c>
      <c r="G385" s="2" t="b">
        <v>1</v>
      </c>
      <c r="H385" s="2">
        <v>1</v>
      </c>
      <c r="I385" s="2">
        <v>2</v>
      </c>
      <c r="J385" s="2">
        <v>0.16</v>
      </c>
    </row>
    <row r="386" spans="1:10" x14ac:dyDescent="0.3">
      <c r="A386" s="2">
        <v>385</v>
      </c>
      <c r="B386" s="3">
        <v>40560</v>
      </c>
      <c r="C386" s="2">
        <v>1</v>
      </c>
      <c r="D386" s="2">
        <v>0</v>
      </c>
      <c r="E386" s="2">
        <v>1</v>
      </c>
      <c r="F386" s="2">
        <v>12</v>
      </c>
      <c r="G386" s="2" t="b">
        <v>1</v>
      </c>
      <c r="H386" s="2">
        <v>1</v>
      </c>
      <c r="I386" s="2">
        <v>2</v>
      </c>
      <c r="J386" s="2">
        <v>0.18</v>
      </c>
    </row>
    <row r="387" spans="1:10" x14ac:dyDescent="0.3">
      <c r="A387" s="2">
        <v>386</v>
      </c>
      <c r="B387" s="3">
        <v>40560</v>
      </c>
      <c r="C387" s="2">
        <v>1</v>
      </c>
      <c r="D387" s="2">
        <v>0</v>
      </c>
      <c r="E387" s="2">
        <v>1</v>
      </c>
      <c r="F387" s="2">
        <v>13</v>
      </c>
      <c r="G387" s="2" t="b">
        <v>1</v>
      </c>
      <c r="H387" s="2">
        <v>1</v>
      </c>
      <c r="I387" s="2">
        <v>2</v>
      </c>
      <c r="J387" s="2">
        <v>0.18</v>
      </c>
    </row>
    <row r="388" spans="1:10" x14ac:dyDescent="0.3">
      <c r="A388" s="2">
        <v>387</v>
      </c>
      <c r="B388" s="3">
        <v>40560</v>
      </c>
      <c r="C388" s="2">
        <v>1</v>
      </c>
      <c r="D388" s="2">
        <v>0</v>
      </c>
      <c r="E388" s="2">
        <v>1</v>
      </c>
      <c r="F388" s="2">
        <v>14</v>
      </c>
      <c r="G388" s="2" t="b">
        <v>1</v>
      </c>
      <c r="H388" s="2">
        <v>1</v>
      </c>
      <c r="I388" s="2">
        <v>2</v>
      </c>
      <c r="J388" s="2">
        <v>0.18</v>
      </c>
    </row>
    <row r="389" spans="1:10" x14ac:dyDescent="0.3">
      <c r="A389" s="2">
        <v>388</v>
      </c>
      <c r="B389" s="3">
        <v>40560</v>
      </c>
      <c r="C389" s="2">
        <v>1</v>
      </c>
      <c r="D389" s="2">
        <v>0</v>
      </c>
      <c r="E389" s="2">
        <v>1</v>
      </c>
      <c r="F389" s="2">
        <v>15</v>
      </c>
      <c r="G389" s="2" t="b">
        <v>1</v>
      </c>
      <c r="H389" s="2">
        <v>1</v>
      </c>
      <c r="I389" s="2">
        <v>2</v>
      </c>
      <c r="J389" s="2">
        <v>0.2</v>
      </c>
    </row>
    <row r="390" spans="1:10" x14ac:dyDescent="0.3">
      <c r="A390" s="2">
        <v>389</v>
      </c>
      <c r="B390" s="3">
        <v>40560</v>
      </c>
      <c r="C390" s="2">
        <v>1</v>
      </c>
      <c r="D390" s="2">
        <v>0</v>
      </c>
      <c r="E390" s="2">
        <v>1</v>
      </c>
      <c r="F390" s="2">
        <v>16</v>
      </c>
      <c r="G390" s="2" t="b">
        <v>1</v>
      </c>
      <c r="H390" s="2">
        <v>1</v>
      </c>
      <c r="I390" s="2">
        <v>2</v>
      </c>
      <c r="J390" s="2">
        <v>0.2</v>
      </c>
    </row>
    <row r="391" spans="1:10" x14ac:dyDescent="0.3">
      <c r="A391" s="2">
        <v>390</v>
      </c>
      <c r="B391" s="3">
        <v>40560</v>
      </c>
      <c r="C391" s="2">
        <v>1</v>
      </c>
      <c r="D391" s="2">
        <v>0</v>
      </c>
      <c r="E391" s="2">
        <v>1</v>
      </c>
      <c r="F391" s="2">
        <v>17</v>
      </c>
      <c r="G391" s="2" t="b">
        <v>1</v>
      </c>
      <c r="H391" s="2">
        <v>1</v>
      </c>
      <c r="I391" s="2">
        <v>1</v>
      </c>
      <c r="J391" s="2">
        <v>0.2</v>
      </c>
    </row>
    <row r="392" spans="1:10" x14ac:dyDescent="0.3">
      <c r="A392" s="2">
        <v>391</v>
      </c>
      <c r="B392" s="3">
        <v>40560</v>
      </c>
      <c r="C392" s="2">
        <v>1</v>
      </c>
      <c r="D392" s="2">
        <v>0</v>
      </c>
      <c r="E392" s="2">
        <v>1</v>
      </c>
      <c r="F392" s="2">
        <v>18</v>
      </c>
      <c r="G392" s="2" t="b">
        <v>1</v>
      </c>
      <c r="H392" s="2">
        <v>1</v>
      </c>
      <c r="I392" s="2">
        <v>2</v>
      </c>
      <c r="J392" s="2">
        <v>0.18</v>
      </c>
    </row>
    <row r="393" spans="1:10" x14ac:dyDescent="0.3">
      <c r="A393" s="2">
        <v>392</v>
      </c>
      <c r="B393" s="3">
        <v>40560</v>
      </c>
      <c r="C393" s="2">
        <v>1</v>
      </c>
      <c r="D393" s="2">
        <v>0</v>
      </c>
      <c r="E393" s="2">
        <v>1</v>
      </c>
      <c r="F393" s="2">
        <v>19</v>
      </c>
      <c r="G393" s="2" t="b">
        <v>1</v>
      </c>
      <c r="H393" s="2">
        <v>1</v>
      </c>
      <c r="I393" s="2">
        <v>3</v>
      </c>
      <c r="J393" s="2">
        <v>0.18</v>
      </c>
    </row>
    <row r="394" spans="1:10" x14ac:dyDescent="0.3">
      <c r="A394" s="2">
        <v>393</v>
      </c>
      <c r="B394" s="3">
        <v>40560</v>
      </c>
      <c r="C394" s="2">
        <v>1</v>
      </c>
      <c r="D394" s="2">
        <v>0</v>
      </c>
      <c r="E394" s="2">
        <v>1</v>
      </c>
      <c r="F394" s="2">
        <v>20</v>
      </c>
      <c r="G394" s="2" t="b">
        <v>1</v>
      </c>
      <c r="H394" s="2">
        <v>1</v>
      </c>
      <c r="I394" s="2">
        <v>3</v>
      </c>
      <c r="J394" s="2">
        <v>0.16</v>
      </c>
    </row>
    <row r="395" spans="1:10" x14ac:dyDescent="0.3">
      <c r="A395" s="2">
        <v>394</v>
      </c>
      <c r="B395" s="3">
        <v>40560</v>
      </c>
      <c r="C395" s="2">
        <v>1</v>
      </c>
      <c r="D395" s="2">
        <v>0</v>
      </c>
      <c r="E395" s="2">
        <v>1</v>
      </c>
      <c r="F395" s="2">
        <v>21</v>
      </c>
      <c r="G395" s="2" t="b">
        <v>1</v>
      </c>
      <c r="H395" s="2">
        <v>1</v>
      </c>
      <c r="I395" s="2">
        <v>3</v>
      </c>
      <c r="J395" s="2">
        <v>0.16</v>
      </c>
    </row>
    <row r="396" spans="1:10" x14ac:dyDescent="0.3">
      <c r="A396" s="2">
        <v>395</v>
      </c>
      <c r="B396" s="3">
        <v>40560</v>
      </c>
      <c r="C396" s="2">
        <v>1</v>
      </c>
      <c r="D396" s="2">
        <v>0</v>
      </c>
      <c r="E396" s="2">
        <v>1</v>
      </c>
      <c r="F396" s="2">
        <v>22</v>
      </c>
      <c r="G396" s="2" t="b">
        <v>1</v>
      </c>
      <c r="H396" s="2">
        <v>1</v>
      </c>
      <c r="I396" s="2">
        <v>3</v>
      </c>
      <c r="J396" s="2">
        <v>0.14000000000000001</v>
      </c>
    </row>
    <row r="397" spans="1:10" x14ac:dyDescent="0.3">
      <c r="A397" s="2">
        <v>396</v>
      </c>
      <c r="B397" s="3">
        <v>40560</v>
      </c>
      <c r="C397" s="2">
        <v>1</v>
      </c>
      <c r="D397" s="2">
        <v>0</v>
      </c>
      <c r="E397" s="2">
        <v>1</v>
      </c>
      <c r="F397" s="2">
        <v>23</v>
      </c>
      <c r="G397" s="2" t="b">
        <v>1</v>
      </c>
      <c r="H397" s="2">
        <v>1</v>
      </c>
      <c r="I397" s="2">
        <v>3</v>
      </c>
      <c r="J397" s="2">
        <v>0.16</v>
      </c>
    </row>
    <row r="398" spans="1:10" x14ac:dyDescent="0.3">
      <c r="A398" s="2">
        <v>397</v>
      </c>
      <c r="B398" s="3">
        <v>40561</v>
      </c>
      <c r="C398" s="2">
        <v>1</v>
      </c>
      <c r="D398" s="2">
        <v>0</v>
      </c>
      <c r="E398" s="2">
        <v>1</v>
      </c>
      <c r="F398" s="2">
        <v>12</v>
      </c>
      <c r="G398" s="2" t="b">
        <v>0</v>
      </c>
      <c r="H398" s="2">
        <v>2</v>
      </c>
      <c r="I398" s="2">
        <v>2</v>
      </c>
      <c r="J398" s="2">
        <v>0.2</v>
      </c>
    </row>
    <row r="399" spans="1:10" x14ac:dyDescent="0.3">
      <c r="A399" s="2">
        <v>398</v>
      </c>
      <c r="B399" s="3">
        <v>40561</v>
      </c>
      <c r="C399" s="2">
        <v>1</v>
      </c>
      <c r="D399" s="2">
        <v>0</v>
      </c>
      <c r="E399" s="2">
        <v>1</v>
      </c>
      <c r="F399" s="2">
        <v>13</v>
      </c>
      <c r="G399" s="2" t="b">
        <v>0</v>
      </c>
      <c r="H399" s="2">
        <v>2</v>
      </c>
      <c r="I399" s="2">
        <v>2</v>
      </c>
      <c r="J399" s="2">
        <v>0.2</v>
      </c>
    </row>
    <row r="400" spans="1:10" x14ac:dyDescent="0.3">
      <c r="A400" s="2">
        <v>399</v>
      </c>
      <c r="B400" s="3">
        <v>40561</v>
      </c>
      <c r="C400" s="2">
        <v>1</v>
      </c>
      <c r="D400" s="2">
        <v>0</v>
      </c>
      <c r="E400" s="2">
        <v>1</v>
      </c>
      <c r="F400" s="2">
        <v>14</v>
      </c>
      <c r="G400" s="2" t="b">
        <v>0</v>
      </c>
      <c r="H400" s="2">
        <v>2</v>
      </c>
      <c r="I400" s="2">
        <v>2</v>
      </c>
      <c r="J400" s="2">
        <v>0.22</v>
      </c>
    </row>
    <row r="401" spans="1:10" x14ac:dyDescent="0.3">
      <c r="A401" s="2">
        <v>400</v>
      </c>
      <c r="B401" s="3">
        <v>40561</v>
      </c>
      <c r="C401" s="2">
        <v>1</v>
      </c>
      <c r="D401" s="2">
        <v>0</v>
      </c>
      <c r="E401" s="2">
        <v>1</v>
      </c>
      <c r="F401" s="2">
        <v>15</v>
      </c>
      <c r="G401" s="2" t="b">
        <v>0</v>
      </c>
      <c r="H401" s="2">
        <v>2</v>
      </c>
      <c r="I401" s="2">
        <v>2</v>
      </c>
      <c r="J401" s="2">
        <v>0.22</v>
      </c>
    </row>
    <row r="402" spans="1:10" x14ac:dyDescent="0.3">
      <c r="A402" s="2">
        <v>401</v>
      </c>
      <c r="B402" s="3">
        <v>40561</v>
      </c>
      <c r="C402" s="2">
        <v>1</v>
      </c>
      <c r="D402" s="2">
        <v>0</v>
      </c>
      <c r="E402" s="2">
        <v>1</v>
      </c>
      <c r="F402" s="2">
        <v>16</v>
      </c>
      <c r="G402" s="2" t="b">
        <v>0</v>
      </c>
      <c r="H402" s="2">
        <v>2</v>
      </c>
      <c r="I402" s="2">
        <v>2</v>
      </c>
      <c r="J402" s="2">
        <v>0.22</v>
      </c>
    </row>
    <row r="403" spans="1:10" x14ac:dyDescent="0.3">
      <c r="A403" s="2">
        <v>402</v>
      </c>
      <c r="B403" s="3">
        <v>40561</v>
      </c>
      <c r="C403" s="2">
        <v>1</v>
      </c>
      <c r="D403" s="2">
        <v>0</v>
      </c>
      <c r="E403" s="2">
        <v>1</v>
      </c>
      <c r="F403" s="2">
        <v>17</v>
      </c>
      <c r="G403" s="2" t="b">
        <v>0</v>
      </c>
      <c r="H403" s="2">
        <v>2</v>
      </c>
      <c r="I403" s="2">
        <v>2</v>
      </c>
      <c r="J403" s="2">
        <v>0.22</v>
      </c>
    </row>
    <row r="404" spans="1:10" x14ac:dyDescent="0.3">
      <c r="A404" s="2">
        <v>403</v>
      </c>
      <c r="B404" s="3">
        <v>40561</v>
      </c>
      <c r="C404" s="2">
        <v>1</v>
      </c>
      <c r="D404" s="2">
        <v>0</v>
      </c>
      <c r="E404" s="2">
        <v>1</v>
      </c>
      <c r="F404" s="2">
        <v>18</v>
      </c>
      <c r="G404" s="2" t="b">
        <v>0</v>
      </c>
      <c r="H404" s="2">
        <v>2</v>
      </c>
      <c r="I404" s="2">
        <v>2</v>
      </c>
      <c r="J404" s="2">
        <v>0.22</v>
      </c>
    </row>
    <row r="405" spans="1:10" x14ac:dyDescent="0.3">
      <c r="A405" s="2">
        <v>404</v>
      </c>
      <c r="B405" s="3">
        <v>40561</v>
      </c>
      <c r="C405" s="2">
        <v>1</v>
      </c>
      <c r="D405" s="2">
        <v>0</v>
      </c>
      <c r="E405" s="2">
        <v>1</v>
      </c>
      <c r="F405" s="2">
        <v>19</v>
      </c>
      <c r="G405" s="2" t="b">
        <v>0</v>
      </c>
      <c r="H405" s="2">
        <v>2</v>
      </c>
      <c r="I405" s="2">
        <v>2</v>
      </c>
      <c r="J405" s="2">
        <v>0.22</v>
      </c>
    </row>
    <row r="406" spans="1:10" x14ac:dyDescent="0.3">
      <c r="A406" s="2">
        <v>405</v>
      </c>
      <c r="B406" s="3">
        <v>40561</v>
      </c>
      <c r="C406" s="2">
        <v>1</v>
      </c>
      <c r="D406" s="2">
        <v>0</v>
      </c>
      <c r="E406" s="2">
        <v>1</v>
      </c>
      <c r="F406" s="2">
        <v>20</v>
      </c>
      <c r="G406" s="2" t="b">
        <v>0</v>
      </c>
      <c r="H406" s="2">
        <v>2</v>
      </c>
      <c r="I406" s="2">
        <v>2</v>
      </c>
      <c r="J406" s="2">
        <v>0.22</v>
      </c>
    </row>
    <row r="407" spans="1:10" x14ac:dyDescent="0.3">
      <c r="A407" s="2">
        <v>406</v>
      </c>
      <c r="B407" s="3">
        <v>40561</v>
      </c>
      <c r="C407" s="2">
        <v>1</v>
      </c>
      <c r="D407" s="2">
        <v>0</v>
      </c>
      <c r="E407" s="2">
        <v>1</v>
      </c>
      <c r="F407" s="2">
        <v>21</v>
      </c>
      <c r="G407" s="2" t="b">
        <v>0</v>
      </c>
      <c r="H407" s="2">
        <v>2</v>
      </c>
      <c r="I407" s="2">
        <v>2</v>
      </c>
      <c r="J407" s="2">
        <v>0.22</v>
      </c>
    </row>
    <row r="408" spans="1:10" x14ac:dyDescent="0.3">
      <c r="A408" s="2">
        <v>407</v>
      </c>
      <c r="B408" s="3">
        <v>40561</v>
      </c>
      <c r="C408" s="2">
        <v>1</v>
      </c>
      <c r="D408" s="2">
        <v>0</v>
      </c>
      <c r="E408" s="2">
        <v>1</v>
      </c>
      <c r="F408" s="2">
        <v>22</v>
      </c>
      <c r="G408" s="2" t="b">
        <v>0</v>
      </c>
      <c r="H408" s="2">
        <v>2</v>
      </c>
      <c r="I408" s="2">
        <v>2</v>
      </c>
      <c r="J408" s="2">
        <v>0.22</v>
      </c>
    </row>
    <row r="409" spans="1:10" x14ac:dyDescent="0.3">
      <c r="A409" s="2">
        <v>408</v>
      </c>
      <c r="B409" s="3">
        <v>40561</v>
      </c>
      <c r="C409" s="2">
        <v>1</v>
      </c>
      <c r="D409" s="2">
        <v>0</v>
      </c>
      <c r="E409" s="2">
        <v>1</v>
      </c>
      <c r="F409" s="2">
        <v>23</v>
      </c>
      <c r="G409" s="2" t="b">
        <v>0</v>
      </c>
      <c r="H409" s="2">
        <v>2</v>
      </c>
      <c r="I409" s="2">
        <v>2</v>
      </c>
      <c r="J409" s="2">
        <v>0.22</v>
      </c>
    </row>
    <row r="410" spans="1:10" x14ac:dyDescent="0.3">
      <c r="A410" s="2">
        <v>409</v>
      </c>
      <c r="B410" s="3">
        <v>40562</v>
      </c>
      <c r="C410" s="2">
        <v>1</v>
      </c>
      <c r="D410" s="2">
        <v>0</v>
      </c>
      <c r="E410" s="2">
        <v>1</v>
      </c>
      <c r="F410" s="2">
        <v>0</v>
      </c>
      <c r="G410" s="2" t="b">
        <v>0</v>
      </c>
      <c r="H410" s="2">
        <v>3</v>
      </c>
      <c r="I410" s="2">
        <v>2</v>
      </c>
      <c r="J410" s="2">
        <v>0.22</v>
      </c>
    </row>
    <row r="411" spans="1:10" x14ac:dyDescent="0.3">
      <c r="A411" s="2">
        <v>410</v>
      </c>
      <c r="B411" s="3">
        <v>40562</v>
      </c>
      <c r="C411" s="2">
        <v>1</v>
      </c>
      <c r="D411" s="2">
        <v>0</v>
      </c>
      <c r="E411" s="2">
        <v>1</v>
      </c>
      <c r="F411" s="2">
        <v>1</v>
      </c>
      <c r="G411" s="2" t="b">
        <v>0</v>
      </c>
      <c r="H411" s="2">
        <v>3</v>
      </c>
      <c r="I411" s="2">
        <v>3</v>
      </c>
      <c r="J411" s="2">
        <v>0.22</v>
      </c>
    </row>
    <row r="412" spans="1:10" x14ac:dyDescent="0.3">
      <c r="A412" s="2">
        <v>411</v>
      </c>
      <c r="B412" s="3">
        <v>40562</v>
      </c>
      <c r="C412" s="2">
        <v>1</v>
      </c>
      <c r="D412" s="2">
        <v>0</v>
      </c>
      <c r="E412" s="2">
        <v>1</v>
      </c>
      <c r="F412" s="2">
        <v>2</v>
      </c>
      <c r="G412" s="2" t="b">
        <v>0</v>
      </c>
      <c r="H412" s="2">
        <v>3</v>
      </c>
      <c r="I412" s="2">
        <v>3</v>
      </c>
      <c r="J412" s="2">
        <v>0.22</v>
      </c>
    </row>
    <row r="413" spans="1:10" x14ac:dyDescent="0.3">
      <c r="A413" s="2">
        <v>412</v>
      </c>
      <c r="B413" s="3">
        <v>40562</v>
      </c>
      <c r="C413" s="2">
        <v>1</v>
      </c>
      <c r="D413" s="2">
        <v>0</v>
      </c>
      <c r="E413" s="2">
        <v>1</v>
      </c>
      <c r="F413" s="2">
        <v>4</v>
      </c>
      <c r="G413" s="2" t="b">
        <v>0</v>
      </c>
      <c r="H413" s="2">
        <v>3</v>
      </c>
      <c r="I413" s="2">
        <v>3</v>
      </c>
      <c r="J413" s="2">
        <v>0.22</v>
      </c>
    </row>
    <row r="414" spans="1:10" x14ac:dyDescent="0.3">
      <c r="A414" s="2">
        <v>413</v>
      </c>
      <c r="B414" s="3">
        <v>40562</v>
      </c>
      <c r="C414" s="2">
        <v>1</v>
      </c>
      <c r="D414" s="2">
        <v>0</v>
      </c>
      <c r="E414" s="2">
        <v>1</v>
      </c>
      <c r="F414" s="2">
        <v>5</v>
      </c>
      <c r="G414" s="2" t="b">
        <v>0</v>
      </c>
      <c r="H414" s="2">
        <v>3</v>
      </c>
      <c r="I414" s="2">
        <v>2</v>
      </c>
      <c r="J414" s="2">
        <v>0.22</v>
      </c>
    </row>
    <row r="415" spans="1:10" x14ac:dyDescent="0.3">
      <c r="A415" s="2">
        <v>414</v>
      </c>
      <c r="B415" s="3">
        <v>40562</v>
      </c>
      <c r="C415" s="2">
        <v>1</v>
      </c>
      <c r="D415" s="2">
        <v>0</v>
      </c>
      <c r="E415" s="2">
        <v>1</v>
      </c>
      <c r="F415" s="2">
        <v>6</v>
      </c>
      <c r="G415" s="2" t="b">
        <v>0</v>
      </c>
      <c r="H415" s="2">
        <v>3</v>
      </c>
      <c r="I415" s="2">
        <v>2</v>
      </c>
      <c r="J415" s="2">
        <v>0.22</v>
      </c>
    </row>
    <row r="416" spans="1:10" x14ac:dyDescent="0.3">
      <c r="A416" s="2">
        <v>415</v>
      </c>
      <c r="B416" s="3">
        <v>40562</v>
      </c>
      <c r="C416" s="2">
        <v>1</v>
      </c>
      <c r="D416" s="2">
        <v>0</v>
      </c>
      <c r="E416" s="2">
        <v>1</v>
      </c>
      <c r="F416" s="2">
        <v>7</v>
      </c>
      <c r="G416" s="2" t="b">
        <v>0</v>
      </c>
      <c r="H416" s="2">
        <v>3</v>
      </c>
      <c r="I416" s="2">
        <v>2</v>
      </c>
      <c r="J416" s="2">
        <v>0.24</v>
      </c>
    </row>
    <row r="417" spans="1:10" x14ac:dyDescent="0.3">
      <c r="A417" s="2">
        <v>416</v>
      </c>
      <c r="B417" s="3">
        <v>40562</v>
      </c>
      <c r="C417" s="2">
        <v>1</v>
      </c>
      <c r="D417" s="2">
        <v>0</v>
      </c>
      <c r="E417" s="2">
        <v>1</v>
      </c>
      <c r="F417" s="2">
        <v>8</v>
      </c>
      <c r="G417" s="2" t="b">
        <v>0</v>
      </c>
      <c r="H417" s="2">
        <v>3</v>
      </c>
      <c r="I417" s="2">
        <v>2</v>
      </c>
      <c r="J417" s="2">
        <v>0.24</v>
      </c>
    </row>
    <row r="418" spans="1:10" x14ac:dyDescent="0.3">
      <c r="A418" s="2">
        <v>417</v>
      </c>
      <c r="B418" s="3">
        <v>40562</v>
      </c>
      <c r="C418" s="2">
        <v>1</v>
      </c>
      <c r="D418" s="2">
        <v>0</v>
      </c>
      <c r="E418" s="2">
        <v>1</v>
      </c>
      <c r="F418" s="2">
        <v>9</v>
      </c>
      <c r="G418" s="2" t="b">
        <v>0</v>
      </c>
      <c r="H418" s="2">
        <v>3</v>
      </c>
      <c r="I418" s="2">
        <v>2</v>
      </c>
      <c r="J418" s="2">
        <v>0.24</v>
      </c>
    </row>
    <row r="419" spans="1:10" x14ac:dyDescent="0.3">
      <c r="A419" s="2">
        <v>418</v>
      </c>
      <c r="B419" s="3">
        <v>40562</v>
      </c>
      <c r="C419" s="2">
        <v>1</v>
      </c>
      <c r="D419" s="2">
        <v>0</v>
      </c>
      <c r="E419" s="2">
        <v>1</v>
      </c>
      <c r="F419" s="2">
        <v>10</v>
      </c>
      <c r="G419" s="2" t="b">
        <v>0</v>
      </c>
      <c r="H419" s="2">
        <v>3</v>
      </c>
      <c r="I419" s="2">
        <v>2</v>
      </c>
      <c r="J419" s="2">
        <v>0.26</v>
      </c>
    </row>
    <row r="420" spans="1:10" x14ac:dyDescent="0.3">
      <c r="A420" s="2">
        <v>419</v>
      </c>
      <c r="B420" s="3">
        <v>40562</v>
      </c>
      <c r="C420" s="2">
        <v>1</v>
      </c>
      <c r="D420" s="2">
        <v>0</v>
      </c>
      <c r="E420" s="2">
        <v>1</v>
      </c>
      <c r="F420" s="2">
        <v>11</v>
      </c>
      <c r="G420" s="2" t="b">
        <v>0</v>
      </c>
      <c r="H420" s="2">
        <v>3</v>
      </c>
      <c r="I420" s="2">
        <v>2</v>
      </c>
      <c r="J420" s="2">
        <v>0.28000000000000003</v>
      </c>
    </row>
    <row r="421" spans="1:10" x14ac:dyDescent="0.3">
      <c r="A421" s="2">
        <v>420</v>
      </c>
      <c r="B421" s="3">
        <v>40562</v>
      </c>
      <c r="C421" s="2">
        <v>1</v>
      </c>
      <c r="D421" s="2">
        <v>0</v>
      </c>
      <c r="E421" s="2">
        <v>1</v>
      </c>
      <c r="F421" s="2">
        <v>12</v>
      </c>
      <c r="G421" s="2" t="b">
        <v>0</v>
      </c>
      <c r="H421" s="2">
        <v>3</v>
      </c>
      <c r="I421" s="2">
        <v>2</v>
      </c>
      <c r="J421" s="2">
        <v>0.3</v>
      </c>
    </row>
    <row r="422" spans="1:10" x14ac:dyDescent="0.3">
      <c r="A422" s="2">
        <v>421</v>
      </c>
      <c r="B422" s="3">
        <v>40562</v>
      </c>
      <c r="C422" s="2">
        <v>1</v>
      </c>
      <c r="D422" s="2">
        <v>0</v>
      </c>
      <c r="E422" s="2">
        <v>1</v>
      </c>
      <c r="F422" s="2">
        <v>13</v>
      </c>
      <c r="G422" s="2" t="b">
        <v>0</v>
      </c>
      <c r="H422" s="2">
        <v>3</v>
      </c>
      <c r="I422" s="2">
        <v>1</v>
      </c>
      <c r="J422" s="2">
        <v>0.4</v>
      </c>
    </row>
    <row r="423" spans="1:10" x14ac:dyDescent="0.3">
      <c r="A423" s="2">
        <v>422</v>
      </c>
      <c r="B423" s="3">
        <v>40562</v>
      </c>
      <c r="C423" s="2">
        <v>1</v>
      </c>
      <c r="D423" s="2">
        <v>0</v>
      </c>
      <c r="E423" s="2">
        <v>1</v>
      </c>
      <c r="F423" s="2">
        <v>14</v>
      </c>
      <c r="G423" s="2" t="b">
        <v>0</v>
      </c>
      <c r="H423" s="2">
        <v>3</v>
      </c>
      <c r="I423" s="2">
        <v>1</v>
      </c>
      <c r="J423" s="2">
        <v>0.4</v>
      </c>
    </row>
    <row r="424" spans="1:10" x14ac:dyDescent="0.3">
      <c r="A424" s="2">
        <v>423</v>
      </c>
      <c r="B424" s="3">
        <v>40562</v>
      </c>
      <c r="C424" s="2">
        <v>1</v>
      </c>
      <c r="D424" s="2">
        <v>0</v>
      </c>
      <c r="E424" s="2">
        <v>1</v>
      </c>
      <c r="F424" s="2">
        <v>15</v>
      </c>
      <c r="G424" s="2" t="b">
        <v>0</v>
      </c>
      <c r="H424" s="2">
        <v>3</v>
      </c>
      <c r="I424" s="2">
        <v>1</v>
      </c>
      <c r="J424" s="2">
        <v>0.4</v>
      </c>
    </row>
    <row r="425" spans="1:10" x14ac:dyDescent="0.3">
      <c r="A425" s="2">
        <v>424</v>
      </c>
      <c r="B425" s="3">
        <v>40562</v>
      </c>
      <c r="C425" s="2">
        <v>1</v>
      </c>
      <c r="D425" s="2">
        <v>0</v>
      </c>
      <c r="E425" s="2">
        <v>1</v>
      </c>
      <c r="F425" s="2">
        <v>16</v>
      </c>
      <c r="G425" s="2" t="b">
        <v>0</v>
      </c>
      <c r="H425" s="2">
        <v>3</v>
      </c>
      <c r="I425" s="2">
        <v>1</v>
      </c>
      <c r="J425" s="2">
        <v>0.38</v>
      </c>
    </row>
    <row r="426" spans="1:10" x14ac:dyDescent="0.3">
      <c r="A426" s="2">
        <v>425</v>
      </c>
      <c r="B426" s="3">
        <v>40562</v>
      </c>
      <c r="C426" s="2">
        <v>1</v>
      </c>
      <c r="D426" s="2">
        <v>0</v>
      </c>
      <c r="E426" s="2">
        <v>1</v>
      </c>
      <c r="F426" s="2">
        <v>17</v>
      </c>
      <c r="G426" s="2" t="b">
        <v>0</v>
      </c>
      <c r="H426" s="2">
        <v>3</v>
      </c>
      <c r="I426" s="2">
        <v>1</v>
      </c>
      <c r="J426" s="2">
        <v>0.36</v>
      </c>
    </row>
    <row r="427" spans="1:10" x14ac:dyDescent="0.3">
      <c r="A427" s="2">
        <v>426</v>
      </c>
      <c r="B427" s="3">
        <v>40562</v>
      </c>
      <c r="C427" s="2">
        <v>1</v>
      </c>
      <c r="D427" s="2">
        <v>0</v>
      </c>
      <c r="E427" s="2">
        <v>1</v>
      </c>
      <c r="F427" s="2">
        <v>18</v>
      </c>
      <c r="G427" s="2" t="b">
        <v>0</v>
      </c>
      <c r="H427" s="2">
        <v>3</v>
      </c>
      <c r="I427" s="2">
        <v>1</v>
      </c>
      <c r="J427" s="2">
        <v>0.34</v>
      </c>
    </row>
    <row r="428" spans="1:10" x14ac:dyDescent="0.3">
      <c r="A428" s="2">
        <v>427</v>
      </c>
      <c r="B428" s="3">
        <v>40562</v>
      </c>
      <c r="C428" s="2">
        <v>1</v>
      </c>
      <c r="D428" s="2">
        <v>0</v>
      </c>
      <c r="E428" s="2">
        <v>1</v>
      </c>
      <c r="F428" s="2">
        <v>19</v>
      </c>
      <c r="G428" s="2" t="b">
        <v>0</v>
      </c>
      <c r="H428" s="2">
        <v>3</v>
      </c>
      <c r="I428" s="2">
        <v>1</v>
      </c>
      <c r="J428" s="2">
        <v>0.32</v>
      </c>
    </row>
    <row r="429" spans="1:10" x14ac:dyDescent="0.3">
      <c r="A429" s="2">
        <v>428</v>
      </c>
      <c r="B429" s="3">
        <v>40562</v>
      </c>
      <c r="C429" s="2">
        <v>1</v>
      </c>
      <c r="D429" s="2">
        <v>0</v>
      </c>
      <c r="E429" s="2">
        <v>1</v>
      </c>
      <c r="F429" s="2">
        <v>20</v>
      </c>
      <c r="G429" s="2" t="b">
        <v>0</v>
      </c>
      <c r="H429" s="2">
        <v>3</v>
      </c>
      <c r="I429" s="2">
        <v>1</v>
      </c>
      <c r="J429" s="2">
        <v>0.32</v>
      </c>
    </row>
    <row r="430" spans="1:10" x14ac:dyDescent="0.3">
      <c r="A430" s="2">
        <v>429</v>
      </c>
      <c r="B430" s="3">
        <v>40562</v>
      </c>
      <c r="C430" s="2">
        <v>1</v>
      </c>
      <c r="D430" s="2">
        <v>0</v>
      </c>
      <c r="E430" s="2">
        <v>1</v>
      </c>
      <c r="F430" s="2">
        <v>21</v>
      </c>
      <c r="G430" s="2" t="b">
        <v>0</v>
      </c>
      <c r="H430" s="2">
        <v>3</v>
      </c>
      <c r="I430" s="2">
        <v>1</v>
      </c>
      <c r="J430" s="2">
        <v>0.32</v>
      </c>
    </row>
    <row r="431" spans="1:10" x14ac:dyDescent="0.3">
      <c r="A431" s="2">
        <v>430</v>
      </c>
      <c r="B431" s="3">
        <v>40562</v>
      </c>
      <c r="C431" s="2">
        <v>1</v>
      </c>
      <c r="D431" s="2">
        <v>0</v>
      </c>
      <c r="E431" s="2">
        <v>1</v>
      </c>
      <c r="F431" s="2">
        <v>22</v>
      </c>
      <c r="G431" s="2" t="b">
        <v>0</v>
      </c>
      <c r="H431" s="2">
        <v>3</v>
      </c>
      <c r="I431" s="2">
        <v>1</v>
      </c>
      <c r="J431" s="2">
        <v>0.3</v>
      </c>
    </row>
    <row r="432" spans="1:10" x14ac:dyDescent="0.3">
      <c r="A432" s="2">
        <v>431</v>
      </c>
      <c r="B432" s="3">
        <v>40562</v>
      </c>
      <c r="C432" s="2">
        <v>1</v>
      </c>
      <c r="D432" s="2">
        <v>0</v>
      </c>
      <c r="E432" s="2">
        <v>1</v>
      </c>
      <c r="F432" s="2">
        <v>23</v>
      </c>
      <c r="G432" s="2" t="b">
        <v>0</v>
      </c>
      <c r="H432" s="2">
        <v>3</v>
      </c>
      <c r="I432" s="2">
        <v>1</v>
      </c>
      <c r="J432" s="2">
        <v>0.3</v>
      </c>
    </row>
    <row r="433" spans="1:10" x14ac:dyDescent="0.3">
      <c r="A433" s="2">
        <v>432</v>
      </c>
      <c r="B433" s="3">
        <v>40563</v>
      </c>
      <c r="C433" s="2">
        <v>1</v>
      </c>
      <c r="D433" s="2">
        <v>0</v>
      </c>
      <c r="E433" s="2">
        <v>1</v>
      </c>
      <c r="F433" s="2">
        <v>0</v>
      </c>
      <c r="G433" s="2" t="b">
        <v>0</v>
      </c>
      <c r="H433" s="2">
        <v>4</v>
      </c>
      <c r="I433" s="2">
        <v>1</v>
      </c>
      <c r="J433" s="2">
        <v>0.26</v>
      </c>
    </row>
    <row r="434" spans="1:10" x14ac:dyDescent="0.3">
      <c r="A434" s="2">
        <v>433</v>
      </c>
      <c r="B434" s="3">
        <v>40563</v>
      </c>
      <c r="C434" s="2">
        <v>1</v>
      </c>
      <c r="D434" s="2">
        <v>0</v>
      </c>
      <c r="E434" s="2">
        <v>1</v>
      </c>
      <c r="F434" s="2">
        <v>1</v>
      </c>
      <c r="G434" s="2" t="b">
        <v>0</v>
      </c>
      <c r="H434" s="2">
        <v>4</v>
      </c>
      <c r="I434" s="2">
        <v>1</v>
      </c>
      <c r="J434" s="2">
        <v>0.26</v>
      </c>
    </row>
    <row r="435" spans="1:10" x14ac:dyDescent="0.3">
      <c r="A435" s="2">
        <v>434</v>
      </c>
      <c r="B435" s="3">
        <v>40563</v>
      </c>
      <c r="C435" s="2">
        <v>1</v>
      </c>
      <c r="D435" s="2">
        <v>0</v>
      </c>
      <c r="E435" s="2">
        <v>1</v>
      </c>
      <c r="F435" s="2">
        <v>2</v>
      </c>
      <c r="G435" s="2" t="b">
        <v>0</v>
      </c>
      <c r="H435" s="2">
        <v>4</v>
      </c>
      <c r="I435" s="2">
        <v>1</v>
      </c>
      <c r="J435" s="2">
        <v>0.26</v>
      </c>
    </row>
    <row r="436" spans="1:10" x14ac:dyDescent="0.3">
      <c r="A436" s="2">
        <v>435</v>
      </c>
      <c r="B436" s="3">
        <v>40563</v>
      </c>
      <c r="C436" s="2">
        <v>1</v>
      </c>
      <c r="D436" s="2">
        <v>0</v>
      </c>
      <c r="E436" s="2">
        <v>1</v>
      </c>
      <c r="F436" s="2">
        <v>3</v>
      </c>
      <c r="G436" s="2" t="b">
        <v>0</v>
      </c>
      <c r="H436" s="2">
        <v>4</v>
      </c>
      <c r="I436" s="2">
        <v>1</v>
      </c>
      <c r="J436" s="2">
        <v>0.26</v>
      </c>
    </row>
    <row r="437" spans="1:10" x14ac:dyDescent="0.3">
      <c r="A437" s="2">
        <v>436</v>
      </c>
      <c r="B437" s="3">
        <v>40563</v>
      </c>
      <c r="C437" s="2">
        <v>1</v>
      </c>
      <c r="D437" s="2">
        <v>0</v>
      </c>
      <c r="E437" s="2">
        <v>1</v>
      </c>
      <c r="F437" s="2">
        <v>4</v>
      </c>
      <c r="G437" s="2" t="b">
        <v>0</v>
      </c>
      <c r="H437" s="2">
        <v>4</v>
      </c>
      <c r="I437" s="2">
        <v>1</v>
      </c>
      <c r="J437" s="2">
        <v>0.26</v>
      </c>
    </row>
    <row r="438" spans="1:10" x14ac:dyDescent="0.3">
      <c r="A438" s="2">
        <v>437</v>
      </c>
      <c r="B438" s="3">
        <v>40563</v>
      </c>
      <c r="C438" s="2">
        <v>1</v>
      </c>
      <c r="D438" s="2">
        <v>0</v>
      </c>
      <c r="E438" s="2">
        <v>1</v>
      </c>
      <c r="F438" s="2">
        <v>5</v>
      </c>
      <c r="G438" s="2" t="b">
        <v>0</v>
      </c>
      <c r="H438" s="2">
        <v>4</v>
      </c>
      <c r="I438" s="2">
        <v>1</v>
      </c>
      <c r="J438" s="2">
        <v>0.24</v>
      </c>
    </row>
    <row r="439" spans="1:10" x14ac:dyDescent="0.3">
      <c r="A439" s="2">
        <v>438</v>
      </c>
      <c r="B439" s="3">
        <v>40563</v>
      </c>
      <c r="C439" s="2">
        <v>1</v>
      </c>
      <c r="D439" s="2">
        <v>0</v>
      </c>
      <c r="E439" s="2">
        <v>1</v>
      </c>
      <c r="F439" s="2">
        <v>6</v>
      </c>
      <c r="G439" s="2" t="b">
        <v>0</v>
      </c>
      <c r="H439" s="2">
        <v>4</v>
      </c>
      <c r="I439" s="2">
        <v>1</v>
      </c>
      <c r="J439" s="2">
        <v>0.22</v>
      </c>
    </row>
    <row r="440" spans="1:10" x14ac:dyDescent="0.3">
      <c r="A440" s="2">
        <v>439</v>
      </c>
      <c r="B440" s="3">
        <v>40563</v>
      </c>
      <c r="C440" s="2">
        <v>1</v>
      </c>
      <c r="D440" s="2">
        <v>0</v>
      </c>
      <c r="E440" s="2">
        <v>1</v>
      </c>
      <c r="F440" s="2">
        <v>7</v>
      </c>
      <c r="G440" s="2" t="b">
        <v>0</v>
      </c>
      <c r="H440" s="2">
        <v>4</v>
      </c>
      <c r="I440" s="2">
        <v>1</v>
      </c>
      <c r="J440" s="2">
        <v>0.22</v>
      </c>
    </row>
    <row r="441" spans="1:10" x14ac:dyDescent="0.3">
      <c r="A441" s="2">
        <v>440</v>
      </c>
      <c r="B441" s="3">
        <v>40563</v>
      </c>
      <c r="C441" s="2">
        <v>1</v>
      </c>
      <c r="D441" s="2">
        <v>0</v>
      </c>
      <c r="E441" s="2">
        <v>1</v>
      </c>
      <c r="F441" s="2">
        <v>8</v>
      </c>
      <c r="G441" s="2" t="b">
        <v>0</v>
      </c>
      <c r="H441" s="2">
        <v>4</v>
      </c>
      <c r="I441" s="2">
        <v>1</v>
      </c>
      <c r="J441" s="2">
        <v>0.22</v>
      </c>
    </row>
    <row r="442" spans="1:10" x14ac:dyDescent="0.3">
      <c r="A442" s="2">
        <v>441</v>
      </c>
      <c r="B442" s="3">
        <v>40563</v>
      </c>
      <c r="C442" s="2">
        <v>1</v>
      </c>
      <c r="D442" s="2">
        <v>0</v>
      </c>
      <c r="E442" s="2">
        <v>1</v>
      </c>
      <c r="F442" s="2">
        <v>9</v>
      </c>
      <c r="G442" s="2" t="b">
        <v>0</v>
      </c>
      <c r="H442" s="2">
        <v>4</v>
      </c>
      <c r="I442" s="2">
        <v>2</v>
      </c>
      <c r="J442" s="2">
        <v>0.24</v>
      </c>
    </row>
    <row r="443" spans="1:10" x14ac:dyDescent="0.3">
      <c r="A443" s="2">
        <v>442</v>
      </c>
      <c r="B443" s="3">
        <v>40563</v>
      </c>
      <c r="C443" s="2">
        <v>1</v>
      </c>
      <c r="D443" s="2">
        <v>0</v>
      </c>
      <c r="E443" s="2">
        <v>1</v>
      </c>
      <c r="F443" s="2">
        <v>10</v>
      </c>
      <c r="G443" s="2" t="b">
        <v>0</v>
      </c>
      <c r="H443" s="2">
        <v>4</v>
      </c>
      <c r="I443" s="2">
        <v>1</v>
      </c>
      <c r="J443" s="2">
        <v>0.26</v>
      </c>
    </row>
    <row r="444" spans="1:10" x14ac:dyDescent="0.3">
      <c r="A444" s="2">
        <v>443</v>
      </c>
      <c r="B444" s="3">
        <v>40563</v>
      </c>
      <c r="C444" s="2">
        <v>1</v>
      </c>
      <c r="D444" s="2">
        <v>0</v>
      </c>
      <c r="E444" s="2">
        <v>1</v>
      </c>
      <c r="F444" s="2">
        <v>11</v>
      </c>
      <c r="G444" s="2" t="b">
        <v>0</v>
      </c>
      <c r="H444" s="2">
        <v>4</v>
      </c>
      <c r="I444" s="2">
        <v>2</v>
      </c>
      <c r="J444" s="2">
        <v>0.28000000000000003</v>
      </c>
    </row>
    <row r="445" spans="1:10" x14ac:dyDescent="0.3">
      <c r="A445" s="2">
        <v>444</v>
      </c>
      <c r="B445" s="3">
        <v>40563</v>
      </c>
      <c r="C445" s="2">
        <v>1</v>
      </c>
      <c r="D445" s="2">
        <v>0</v>
      </c>
      <c r="E445" s="2">
        <v>1</v>
      </c>
      <c r="F445" s="2">
        <v>12</v>
      </c>
      <c r="G445" s="2" t="b">
        <v>0</v>
      </c>
      <c r="H445" s="2">
        <v>4</v>
      </c>
      <c r="I445" s="2">
        <v>2</v>
      </c>
      <c r="J445" s="2">
        <v>0.3</v>
      </c>
    </row>
    <row r="446" spans="1:10" x14ac:dyDescent="0.3">
      <c r="A446" s="2">
        <v>445</v>
      </c>
      <c r="B446" s="3">
        <v>40563</v>
      </c>
      <c r="C446" s="2">
        <v>1</v>
      </c>
      <c r="D446" s="2">
        <v>0</v>
      </c>
      <c r="E446" s="2">
        <v>1</v>
      </c>
      <c r="F446" s="2">
        <v>13</v>
      </c>
      <c r="G446" s="2" t="b">
        <v>0</v>
      </c>
      <c r="H446" s="2">
        <v>4</v>
      </c>
      <c r="I446" s="2">
        <v>2</v>
      </c>
      <c r="J446" s="2">
        <v>0.28000000000000003</v>
      </c>
    </row>
    <row r="447" spans="1:10" x14ac:dyDescent="0.3">
      <c r="A447" s="2">
        <v>446</v>
      </c>
      <c r="B447" s="3">
        <v>40563</v>
      </c>
      <c r="C447" s="2">
        <v>1</v>
      </c>
      <c r="D447" s="2">
        <v>0</v>
      </c>
      <c r="E447" s="2">
        <v>1</v>
      </c>
      <c r="F447" s="2">
        <v>14</v>
      </c>
      <c r="G447" s="2" t="b">
        <v>0</v>
      </c>
      <c r="H447" s="2">
        <v>4</v>
      </c>
      <c r="I447" s="2">
        <v>2</v>
      </c>
      <c r="J447" s="2">
        <v>0.3</v>
      </c>
    </row>
    <row r="448" spans="1:10" x14ac:dyDescent="0.3">
      <c r="A448" s="2">
        <v>447</v>
      </c>
      <c r="B448" s="3">
        <v>40563</v>
      </c>
      <c r="C448" s="2">
        <v>1</v>
      </c>
      <c r="D448" s="2">
        <v>0</v>
      </c>
      <c r="E448" s="2">
        <v>1</v>
      </c>
      <c r="F448" s="2">
        <v>15</v>
      </c>
      <c r="G448" s="2" t="b">
        <v>0</v>
      </c>
      <c r="H448" s="2">
        <v>4</v>
      </c>
      <c r="I448" s="2">
        <v>2</v>
      </c>
      <c r="J448" s="2">
        <v>0.32</v>
      </c>
    </row>
    <row r="449" spans="1:10" x14ac:dyDescent="0.3">
      <c r="A449" s="2">
        <v>448</v>
      </c>
      <c r="B449" s="3">
        <v>40563</v>
      </c>
      <c r="C449" s="2">
        <v>1</v>
      </c>
      <c r="D449" s="2">
        <v>0</v>
      </c>
      <c r="E449" s="2">
        <v>1</v>
      </c>
      <c r="F449" s="2">
        <v>16</v>
      </c>
      <c r="G449" s="2" t="b">
        <v>0</v>
      </c>
      <c r="H449" s="2">
        <v>4</v>
      </c>
      <c r="I449" s="2">
        <v>2</v>
      </c>
      <c r="J449" s="2">
        <v>0.3</v>
      </c>
    </row>
    <row r="450" spans="1:10" x14ac:dyDescent="0.3">
      <c r="A450" s="2">
        <v>449</v>
      </c>
      <c r="B450" s="3">
        <v>40563</v>
      </c>
      <c r="C450" s="2">
        <v>1</v>
      </c>
      <c r="D450" s="2">
        <v>0</v>
      </c>
      <c r="E450" s="2">
        <v>1</v>
      </c>
      <c r="F450" s="2">
        <v>17</v>
      </c>
      <c r="G450" s="2" t="b">
        <v>0</v>
      </c>
      <c r="H450" s="2">
        <v>4</v>
      </c>
      <c r="I450" s="2">
        <v>2</v>
      </c>
      <c r="J450" s="2">
        <v>0.3</v>
      </c>
    </row>
    <row r="451" spans="1:10" x14ac:dyDescent="0.3">
      <c r="A451" s="2">
        <v>450</v>
      </c>
      <c r="B451" s="3">
        <v>40563</v>
      </c>
      <c r="C451" s="2">
        <v>1</v>
      </c>
      <c r="D451" s="2">
        <v>0</v>
      </c>
      <c r="E451" s="2">
        <v>1</v>
      </c>
      <c r="F451" s="2">
        <v>18</v>
      </c>
      <c r="G451" s="2" t="b">
        <v>0</v>
      </c>
      <c r="H451" s="2">
        <v>4</v>
      </c>
      <c r="I451" s="2">
        <v>2</v>
      </c>
      <c r="J451" s="2">
        <v>0.26</v>
      </c>
    </row>
    <row r="452" spans="1:10" x14ac:dyDescent="0.3">
      <c r="A452" s="2">
        <v>451</v>
      </c>
      <c r="B452" s="3">
        <v>40563</v>
      </c>
      <c r="C452" s="2">
        <v>1</v>
      </c>
      <c r="D452" s="2">
        <v>0</v>
      </c>
      <c r="E452" s="2">
        <v>1</v>
      </c>
      <c r="F452" s="2">
        <v>19</v>
      </c>
      <c r="G452" s="2" t="b">
        <v>0</v>
      </c>
      <c r="H452" s="2">
        <v>4</v>
      </c>
      <c r="I452" s="2">
        <v>1</v>
      </c>
      <c r="J452" s="2">
        <v>0.26</v>
      </c>
    </row>
    <row r="453" spans="1:10" x14ac:dyDescent="0.3">
      <c r="A453" s="2">
        <v>452</v>
      </c>
      <c r="B453" s="3">
        <v>40563</v>
      </c>
      <c r="C453" s="2">
        <v>1</v>
      </c>
      <c r="D453" s="2">
        <v>0</v>
      </c>
      <c r="E453" s="2">
        <v>1</v>
      </c>
      <c r="F453" s="2">
        <v>20</v>
      </c>
      <c r="G453" s="2" t="b">
        <v>0</v>
      </c>
      <c r="H453" s="2">
        <v>4</v>
      </c>
      <c r="I453" s="2">
        <v>2</v>
      </c>
      <c r="J453" s="2">
        <v>0.26</v>
      </c>
    </row>
    <row r="454" spans="1:10" x14ac:dyDescent="0.3">
      <c r="A454" s="2">
        <v>453</v>
      </c>
      <c r="B454" s="3">
        <v>40563</v>
      </c>
      <c r="C454" s="2">
        <v>1</v>
      </c>
      <c r="D454" s="2">
        <v>0</v>
      </c>
      <c r="E454" s="2">
        <v>1</v>
      </c>
      <c r="F454" s="2">
        <v>21</v>
      </c>
      <c r="G454" s="2" t="b">
        <v>0</v>
      </c>
      <c r="H454" s="2">
        <v>4</v>
      </c>
      <c r="I454" s="2">
        <v>2</v>
      </c>
      <c r="J454" s="2">
        <v>0.24</v>
      </c>
    </row>
    <row r="455" spans="1:10" x14ac:dyDescent="0.3">
      <c r="A455" s="2">
        <v>454</v>
      </c>
      <c r="B455" s="3">
        <v>40563</v>
      </c>
      <c r="C455" s="2">
        <v>1</v>
      </c>
      <c r="D455" s="2">
        <v>0</v>
      </c>
      <c r="E455" s="2">
        <v>1</v>
      </c>
      <c r="F455" s="2">
        <v>22</v>
      </c>
      <c r="G455" s="2" t="b">
        <v>0</v>
      </c>
      <c r="H455" s="2">
        <v>4</v>
      </c>
      <c r="I455" s="2">
        <v>2</v>
      </c>
      <c r="J455" s="2">
        <v>0.24</v>
      </c>
    </row>
    <row r="456" spans="1:10" x14ac:dyDescent="0.3">
      <c r="A456" s="2">
        <v>455</v>
      </c>
      <c r="B456" s="3">
        <v>40563</v>
      </c>
      <c r="C456" s="2">
        <v>1</v>
      </c>
      <c r="D456" s="2">
        <v>0</v>
      </c>
      <c r="E456" s="2">
        <v>1</v>
      </c>
      <c r="F456" s="2">
        <v>23</v>
      </c>
      <c r="G456" s="2" t="b">
        <v>0</v>
      </c>
      <c r="H456" s="2">
        <v>4</v>
      </c>
      <c r="I456" s="2">
        <v>2</v>
      </c>
      <c r="J456" s="2">
        <v>0.24</v>
      </c>
    </row>
    <row r="457" spans="1:10" x14ac:dyDescent="0.3">
      <c r="A457" s="2">
        <v>456</v>
      </c>
      <c r="B457" s="3">
        <v>40564</v>
      </c>
      <c r="C457" s="2">
        <v>1</v>
      </c>
      <c r="D457" s="2">
        <v>0</v>
      </c>
      <c r="E457" s="2">
        <v>1</v>
      </c>
      <c r="F457" s="2">
        <v>0</v>
      </c>
      <c r="G457" s="2" t="b">
        <v>0</v>
      </c>
      <c r="H457" s="2">
        <v>5</v>
      </c>
      <c r="I457" s="2">
        <v>2</v>
      </c>
      <c r="J457" s="2">
        <v>0.24</v>
      </c>
    </row>
    <row r="458" spans="1:10" x14ac:dyDescent="0.3">
      <c r="A458" s="2">
        <v>457</v>
      </c>
      <c r="B458" s="3">
        <v>40564</v>
      </c>
      <c r="C458" s="2">
        <v>1</v>
      </c>
      <c r="D458" s="2">
        <v>0</v>
      </c>
      <c r="E458" s="2">
        <v>1</v>
      </c>
      <c r="F458" s="2">
        <v>1</v>
      </c>
      <c r="G458" s="2" t="b">
        <v>0</v>
      </c>
      <c r="H458" s="2">
        <v>5</v>
      </c>
      <c r="I458" s="2">
        <v>2</v>
      </c>
      <c r="J458" s="2">
        <v>0.24</v>
      </c>
    </row>
    <row r="459" spans="1:10" x14ac:dyDescent="0.3">
      <c r="A459" s="2">
        <v>458</v>
      </c>
      <c r="B459" s="3">
        <v>40564</v>
      </c>
      <c r="C459" s="2">
        <v>1</v>
      </c>
      <c r="D459" s="2">
        <v>0</v>
      </c>
      <c r="E459" s="2">
        <v>1</v>
      </c>
      <c r="F459" s="2">
        <v>2</v>
      </c>
      <c r="G459" s="2" t="b">
        <v>0</v>
      </c>
      <c r="H459" s="2">
        <v>5</v>
      </c>
      <c r="I459" s="2">
        <v>3</v>
      </c>
      <c r="J459" s="2">
        <v>0.24</v>
      </c>
    </row>
    <row r="460" spans="1:10" x14ac:dyDescent="0.3">
      <c r="A460" s="2">
        <v>459</v>
      </c>
      <c r="B460" s="3">
        <v>40564</v>
      </c>
      <c r="C460" s="2">
        <v>1</v>
      </c>
      <c r="D460" s="2">
        <v>0</v>
      </c>
      <c r="E460" s="2">
        <v>1</v>
      </c>
      <c r="F460" s="2">
        <v>3</v>
      </c>
      <c r="G460" s="2" t="b">
        <v>0</v>
      </c>
      <c r="H460" s="2">
        <v>5</v>
      </c>
      <c r="I460" s="2">
        <v>3</v>
      </c>
      <c r="J460" s="2">
        <v>0.22</v>
      </c>
    </row>
    <row r="461" spans="1:10" x14ac:dyDescent="0.3">
      <c r="A461" s="2">
        <v>460</v>
      </c>
      <c r="B461" s="3">
        <v>40564</v>
      </c>
      <c r="C461" s="2">
        <v>1</v>
      </c>
      <c r="D461" s="2">
        <v>0</v>
      </c>
      <c r="E461" s="2">
        <v>1</v>
      </c>
      <c r="F461" s="2">
        <v>4</v>
      </c>
      <c r="G461" s="2" t="b">
        <v>0</v>
      </c>
      <c r="H461" s="2">
        <v>5</v>
      </c>
      <c r="I461" s="2">
        <v>2</v>
      </c>
      <c r="J461" s="2">
        <v>0.22</v>
      </c>
    </row>
    <row r="462" spans="1:10" x14ac:dyDescent="0.3">
      <c r="A462" s="2">
        <v>461</v>
      </c>
      <c r="B462" s="3">
        <v>40564</v>
      </c>
      <c r="C462" s="2">
        <v>1</v>
      </c>
      <c r="D462" s="2">
        <v>0</v>
      </c>
      <c r="E462" s="2">
        <v>1</v>
      </c>
      <c r="F462" s="2">
        <v>5</v>
      </c>
      <c r="G462" s="2" t="b">
        <v>0</v>
      </c>
      <c r="H462" s="2">
        <v>5</v>
      </c>
      <c r="I462" s="2">
        <v>1</v>
      </c>
      <c r="J462" s="2">
        <v>0.24</v>
      </c>
    </row>
    <row r="463" spans="1:10" x14ac:dyDescent="0.3">
      <c r="A463" s="2">
        <v>462</v>
      </c>
      <c r="B463" s="3">
        <v>40564</v>
      </c>
      <c r="C463" s="2">
        <v>1</v>
      </c>
      <c r="D463" s="2">
        <v>0</v>
      </c>
      <c r="E463" s="2">
        <v>1</v>
      </c>
      <c r="F463" s="2">
        <v>6</v>
      </c>
      <c r="G463" s="2" t="b">
        <v>0</v>
      </c>
      <c r="H463" s="2">
        <v>5</v>
      </c>
      <c r="I463" s="2">
        <v>1</v>
      </c>
      <c r="J463" s="2">
        <v>0.22</v>
      </c>
    </row>
    <row r="464" spans="1:10" x14ac:dyDescent="0.3">
      <c r="A464" s="2">
        <v>463</v>
      </c>
      <c r="B464" s="3">
        <v>40564</v>
      </c>
      <c r="C464" s="2">
        <v>1</v>
      </c>
      <c r="D464" s="2">
        <v>0</v>
      </c>
      <c r="E464" s="2">
        <v>1</v>
      </c>
      <c r="F464" s="2">
        <v>7</v>
      </c>
      <c r="G464" s="2" t="b">
        <v>0</v>
      </c>
      <c r="H464" s="2">
        <v>5</v>
      </c>
      <c r="I464" s="2">
        <v>1</v>
      </c>
      <c r="J464" s="2">
        <v>0.2</v>
      </c>
    </row>
    <row r="465" spans="1:10" x14ac:dyDescent="0.3">
      <c r="A465" s="2">
        <v>464</v>
      </c>
      <c r="B465" s="3">
        <v>40564</v>
      </c>
      <c r="C465" s="2">
        <v>1</v>
      </c>
      <c r="D465" s="2">
        <v>0</v>
      </c>
      <c r="E465" s="2">
        <v>1</v>
      </c>
      <c r="F465" s="2">
        <v>8</v>
      </c>
      <c r="G465" s="2" t="b">
        <v>0</v>
      </c>
      <c r="H465" s="2">
        <v>5</v>
      </c>
      <c r="I465" s="2">
        <v>1</v>
      </c>
      <c r="J465" s="2">
        <v>0.2</v>
      </c>
    </row>
    <row r="466" spans="1:10" x14ac:dyDescent="0.3">
      <c r="A466" s="2">
        <v>465</v>
      </c>
      <c r="B466" s="3">
        <v>40564</v>
      </c>
      <c r="C466" s="2">
        <v>1</v>
      </c>
      <c r="D466" s="2">
        <v>0</v>
      </c>
      <c r="E466" s="2">
        <v>1</v>
      </c>
      <c r="F466" s="2">
        <v>9</v>
      </c>
      <c r="G466" s="2" t="b">
        <v>0</v>
      </c>
      <c r="H466" s="2">
        <v>5</v>
      </c>
      <c r="I466" s="2">
        <v>1</v>
      </c>
      <c r="J466" s="2">
        <v>0.2</v>
      </c>
    </row>
    <row r="467" spans="1:10" x14ac:dyDescent="0.3">
      <c r="A467" s="2">
        <v>466</v>
      </c>
      <c r="B467" s="3">
        <v>40564</v>
      </c>
      <c r="C467" s="2">
        <v>1</v>
      </c>
      <c r="D467" s="2">
        <v>0</v>
      </c>
      <c r="E467" s="2">
        <v>1</v>
      </c>
      <c r="F467" s="2">
        <v>10</v>
      </c>
      <c r="G467" s="2" t="b">
        <v>0</v>
      </c>
      <c r="H467" s="2">
        <v>5</v>
      </c>
      <c r="I467" s="2">
        <v>1</v>
      </c>
      <c r="J467" s="2">
        <v>0.2</v>
      </c>
    </row>
    <row r="468" spans="1:10" x14ac:dyDescent="0.3">
      <c r="A468" s="2">
        <v>467</v>
      </c>
      <c r="B468" s="3">
        <v>40564</v>
      </c>
      <c r="C468" s="2">
        <v>1</v>
      </c>
      <c r="D468" s="2">
        <v>0</v>
      </c>
      <c r="E468" s="2">
        <v>1</v>
      </c>
      <c r="F468" s="2">
        <v>11</v>
      </c>
      <c r="G468" s="2" t="b">
        <v>0</v>
      </c>
      <c r="H468" s="2">
        <v>5</v>
      </c>
      <c r="I468" s="2">
        <v>1</v>
      </c>
      <c r="J468" s="2">
        <v>0.22</v>
      </c>
    </row>
    <row r="469" spans="1:10" x14ac:dyDescent="0.3">
      <c r="A469" s="2">
        <v>468</v>
      </c>
      <c r="B469" s="3">
        <v>40564</v>
      </c>
      <c r="C469" s="2">
        <v>1</v>
      </c>
      <c r="D469" s="2">
        <v>0</v>
      </c>
      <c r="E469" s="2">
        <v>1</v>
      </c>
      <c r="F469" s="2">
        <v>12</v>
      </c>
      <c r="G469" s="2" t="b">
        <v>0</v>
      </c>
      <c r="H469" s="2">
        <v>5</v>
      </c>
      <c r="I469" s="2">
        <v>1</v>
      </c>
      <c r="J469" s="2">
        <v>0.22</v>
      </c>
    </row>
    <row r="470" spans="1:10" x14ac:dyDescent="0.3">
      <c r="A470" s="2">
        <v>469</v>
      </c>
      <c r="B470" s="3">
        <v>40564</v>
      </c>
      <c r="C470" s="2">
        <v>1</v>
      </c>
      <c r="D470" s="2">
        <v>0</v>
      </c>
      <c r="E470" s="2">
        <v>1</v>
      </c>
      <c r="F470" s="2">
        <v>13</v>
      </c>
      <c r="G470" s="2" t="b">
        <v>0</v>
      </c>
      <c r="H470" s="2">
        <v>5</v>
      </c>
      <c r="I470" s="2">
        <v>1</v>
      </c>
      <c r="J470" s="2">
        <v>0.2</v>
      </c>
    </row>
    <row r="471" spans="1:10" x14ac:dyDescent="0.3">
      <c r="A471" s="2">
        <v>470</v>
      </c>
      <c r="B471" s="3">
        <v>40564</v>
      </c>
      <c r="C471" s="2">
        <v>1</v>
      </c>
      <c r="D471" s="2">
        <v>0</v>
      </c>
      <c r="E471" s="2">
        <v>1</v>
      </c>
      <c r="F471" s="2">
        <v>14</v>
      </c>
      <c r="G471" s="2" t="b">
        <v>0</v>
      </c>
      <c r="H471" s="2">
        <v>5</v>
      </c>
      <c r="I471" s="2">
        <v>1</v>
      </c>
      <c r="J471" s="2">
        <v>0.2</v>
      </c>
    </row>
    <row r="472" spans="1:10" x14ac:dyDescent="0.3">
      <c r="A472" s="2">
        <v>471</v>
      </c>
      <c r="B472" s="3">
        <v>40564</v>
      </c>
      <c r="C472" s="2">
        <v>1</v>
      </c>
      <c r="D472" s="2">
        <v>0</v>
      </c>
      <c r="E472" s="2">
        <v>1</v>
      </c>
      <c r="F472" s="2">
        <v>15</v>
      </c>
      <c r="G472" s="2" t="b">
        <v>0</v>
      </c>
      <c r="H472" s="2">
        <v>5</v>
      </c>
      <c r="I472" s="2">
        <v>1</v>
      </c>
      <c r="J472" s="2">
        <v>0.16</v>
      </c>
    </row>
    <row r="473" spans="1:10" x14ac:dyDescent="0.3">
      <c r="A473" s="2">
        <v>472</v>
      </c>
      <c r="B473" s="3">
        <v>40564</v>
      </c>
      <c r="C473" s="2">
        <v>1</v>
      </c>
      <c r="D473" s="2">
        <v>0</v>
      </c>
      <c r="E473" s="2">
        <v>1</v>
      </c>
      <c r="F473" s="2">
        <v>16</v>
      </c>
      <c r="G473" s="2" t="b">
        <v>0</v>
      </c>
      <c r="H473" s="2">
        <v>5</v>
      </c>
      <c r="I473" s="2">
        <v>1</v>
      </c>
      <c r="J473" s="2">
        <v>0.16</v>
      </c>
    </row>
    <row r="474" spans="1:10" x14ac:dyDescent="0.3">
      <c r="A474" s="2">
        <v>473</v>
      </c>
      <c r="B474" s="3">
        <v>40564</v>
      </c>
      <c r="C474" s="2">
        <v>1</v>
      </c>
      <c r="D474" s="2">
        <v>0</v>
      </c>
      <c r="E474" s="2">
        <v>1</v>
      </c>
      <c r="F474" s="2">
        <v>17</v>
      </c>
      <c r="G474" s="2" t="b">
        <v>0</v>
      </c>
      <c r="H474" s="2">
        <v>5</v>
      </c>
      <c r="I474" s="2">
        <v>1</v>
      </c>
      <c r="J474" s="2">
        <v>0.14000000000000001</v>
      </c>
    </row>
    <row r="475" spans="1:10" x14ac:dyDescent="0.3">
      <c r="A475" s="2">
        <v>474</v>
      </c>
      <c r="B475" s="3">
        <v>40564</v>
      </c>
      <c r="C475" s="2">
        <v>1</v>
      </c>
      <c r="D475" s="2">
        <v>0</v>
      </c>
      <c r="E475" s="2">
        <v>1</v>
      </c>
      <c r="F475" s="2">
        <v>18</v>
      </c>
      <c r="G475" s="2" t="b">
        <v>0</v>
      </c>
      <c r="H475" s="2">
        <v>5</v>
      </c>
      <c r="I475" s="2">
        <v>1</v>
      </c>
      <c r="J475" s="2">
        <v>0.12</v>
      </c>
    </row>
    <row r="476" spans="1:10" x14ac:dyDescent="0.3">
      <c r="A476" s="2">
        <v>475</v>
      </c>
      <c r="B476" s="3">
        <v>40564</v>
      </c>
      <c r="C476" s="2">
        <v>1</v>
      </c>
      <c r="D476" s="2">
        <v>0</v>
      </c>
      <c r="E476" s="2">
        <v>1</v>
      </c>
      <c r="F476" s="2">
        <v>19</v>
      </c>
      <c r="G476" s="2" t="b">
        <v>0</v>
      </c>
      <c r="H476" s="2">
        <v>5</v>
      </c>
      <c r="I476" s="2">
        <v>1</v>
      </c>
      <c r="J476" s="2">
        <v>0.12</v>
      </c>
    </row>
    <row r="477" spans="1:10" x14ac:dyDescent="0.3">
      <c r="A477" s="2">
        <v>476</v>
      </c>
      <c r="B477" s="3">
        <v>40564</v>
      </c>
      <c r="C477" s="2">
        <v>1</v>
      </c>
      <c r="D477" s="2">
        <v>0</v>
      </c>
      <c r="E477" s="2">
        <v>1</v>
      </c>
      <c r="F477" s="2">
        <v>20</v>
      </c>
      <c r="G477" s="2" t="b">
        <v>0</v>
      </c>
      <c r="H477" s="2">
        <v>5</v>
      </c>
      <c r="I477" s="2">
        <v>1</v>
      </c>
      <c r="J477" s="2">
        <v>0.1</v>
      </c>
    </row>
    <row r="478" spans="1:10" x14ac:dyDescent="0.3">
      <c r="A478" s="2">
        <v>477</v>
      </c>
      <c r="B478" s="3">
        <v>40564</v>
      </c>
      <c r="C478" s="2">
        <v>1</v>
      </c>
      <c r="D478" s="2">
        <v>0</v>
      </c>
      <c r="E478" s="2">
        <v>1</v>
      </c>
      <c r="F478" s="2">
        <v>21</v>
      </c>
      <c r="G478" s="2" t="b">
        <v>0</v>
      </c>
      <c r="H478" s="2">
        <v>5</v>
      </c>
      <c r="I478" s="2">
        <v>1</v>
      </c>
      <c r="J478" s="2">
        <v>0.08</v>
      </c>
    </row>
    <row r="479" spans="1:10" x14ac:dyDescent="0.3">
      <c r="A479" s="2">
        <v>478</v>
      </c>
      <c r="B479" s="3">
        <v>40564</v>
      </c>
      <c r="C479" s="2">
        <v>1</v>
      </c>
      <c r="D479" s="2">
        <v>0</v>
      </c>
      <c r="E479" s="2">
        <v>1</v>
      </c>
      <c r="F479" s="2">
        <v>22</v>
      </c>
      <c r="G479" s="2" t="b">
        <v>0</v>
      </c>
      <c r="H479" s="2">
        <v>5</v>
      </c>
      <c r="I479" s="2">
        <v>1</v>
      </c>
      <c r="J479" s="2">
        <v>0.06</v>
      </c>
    </row>
    <row r="480" spans="1:10" x14ac:dyDescent="0.3">
      <c r="A480" s="2">
        <v>479</v>
      </c>
      <c r="B480" s="3">
        <v>40564</v>
      </c>
      <c r="C480" s="2">
        <v>1</v>
      </c>
      <c r="D480" s="2">
        <v>0</v>
      </c>
      <c r="E480" s="2">
        <v>1</v>
      </c>
      <c r="F480" s="2">
        <v>23</v>
      </c>
      <c r="G480" s="2" t="b">
        <v>0</v>
      </c>
      <c r="H480" s="2">
        <v>5</v>
      </c>
      <c r="I480" s="2">
        <v>1</v>
      </c>
      <c r="J480" s="2">
        <v>0.06</v>
      </c>
    </row>
    <row r="481" spans="1:10" x14ac:dyDescent="0.3">
      <c r="A481" s="2">
        <v>480</v>
      </c>
      <c r="B481" s="3">
        <v>40565</v>
      </c>
      <c r="C481" s="2">
        <v>1</v>
      </c>
      <c r="D481" s="2">
        <v>0</v>
      </c>
      <c r="E481" s="2">
        <v>1</v>
      </c>
      <c r="F481" s="2">
        <v>0</v>
      </c>
      <c r="G481" s="2" t="b">
        <v>0</v>
      </c>
      <c r="H481" s="2">
        <v>6</v>
      </c>
      <c r="I481" s="2">
        <v>1</v>
      </c>
      <c r="J481" s="2">
        <v>0.04</v>
      </c>
    </row>
    <row r="482" spans="1:10" x14ac:dyDescent="0.3">
      <c r="A482" s="2">
        <v>481</v>
      </c>
      <c r="B482" s="3">
        <v>40565</v>
      </c>
      <c r="C482" s="2">
        <v>1</v>
      </c>
      <c r="D482" s="2">
        <v>0</v>
      </c>
      <c r="E482" s="2">
        <v>1</v>
      </c>
      <c r="F482" s="2">
        <v>1</v>
      </c>
      <c r="G482" s="2" t="b">
        <v>0</v>
      </c>
      <c r="H482" s="2">
        <v>6</v>
      </c>
      <c r="I482" s="2">
        <v>2</v>
      </c>
      <c r="J482" s="2">
        <v>0.04</v>
      </c>
    </row>
    <row r="483" spans="1:10" x14ac:dyDescent="0.3">
      <c r="A483" s="2">
        <v>482</v>
      </c>
      <c r="B483" s="3">
        <v>40565</v>
      </c>
      <c r="C483" s="2">
        <v>1</v>
      </c>
      <c r="D483" s="2">
        <v>0</v>
      </c>
      <c r="E483" s="2">
        <v>1</v>
      </c>
      <c r="F483" s="2">
        <v>2</v>
      </c>
      <c r="G483" s="2" t="b">
        <v>0</v>
      </c>
      <c r="H483" s="2">
        <v>6</v>
      </c>
      <c r="I483" s="2">
        <v>2</v>
      </c>
      <c r="J483" s="2">
        <v>0.04</v>
      </c>
    </row>
    <row r="484" spans="1:10" x14ac:dyDescent="0.3">
      <c r="A484" s="2">
        <v>483</v>
      </c>
      <c r="B484" s="3">
        <v>40565</v>
      </c>
      <c r="C484" s="2">
        <v>1</v>
      </c>
      <c r="D484" s="2">
        <v>0</v>
      </c>
      <c r="E484" s="2">
        <v>1</v>
      </c>
      <c r="F484" s="2">
        <v>3</v>
      </c>
      <c r="G484" s="2" t="b">
        <v>0</v>
      </c>
      <c r="H484" s="2">
        <v>6</v>
      </c>
      <c r="I484" s="2">
        <v>2</v>
      </c>
      <c r="J484" s="2">
        <v>0.04</v>
      </c>
    </row>
    <row r="485" spans="1:10" x14ac:dyDescent="0.3">
      <c r="A485" s="2">
        <v>484</v>
      </c>
      <c r="B485" s="3">
        <v>40565</v>
      </c>
      <c r="C485" s="2">
        <v>1</v>
      </c>
      <c r="D485" s="2">
        <v>0</v>
      </c>
      <c r="E485" s="2">
        <v>1</v>
      </c>
      <c r="F485" s="2">
        <v>4</v>
      </c>
      <c r="G485" s="2" t="b">
        <v>0</v>
      </c>
      <c r="H485" s="2">
        <v>6</v>
      </c>
      <c r="I485" s="2">
        <v>2</v>
      </c>
      <c r="J485" s="2">
        <v>0.02</v>
      </c>
    </row>
    <row r="486" spans="1:10" x14ac:dyDescent="0.3">
      <c r="A486" s="2">
        <v>485</v>
      </c>
      <c r="B486" s="3">
        <v>40565</v>
      </c>
      <c r="C486" s="2">
        <v>1</v>
      </c>
      <c r="D486" s="2">
        <v>0</v>
      </c>
      <c r="E486" s="2">
        <v>1</v>
      </c>
      <c r="F486" s="2">
        <v>6</v>
      </c>
      <c r="G486" s="2" t="b">
        <v>0</v>
      </c>
      <c r="H486" s="2">
        <v>6</v>
      </c>
      <c r="I486" s="2">
        <v>2</v>
      </c>
      <c r="J486" s="2">
        <v>0.02</v>
      </c>
    </row>
    <row r="487" spans="1:10" x14ac:dyDescent="0.3">
      <c r="A487" s="2">
        <v>486</v>
      </c>
      <c r="B487" s="3">
        <v>40565</v>
      </c>
      <c r="C487" s="2">
        <v>1</v>
      </c>
      <c r="D487" s="2">
        <v>0</v>
      </c>
      <c r="E487" s="2">
        <v>1</v>
      </c>
      <c r="F487" s="2">
        <v>7</v>
      </c>
      <c r="G487" s="2" t="b">
        <v>0</v>
      </c>
      <c r="H487" s="2">
        <v>6</v>
      </c>
      <c r="I487" s="2">
        <v>1</v>
      </c>
      <c r="J487" s="2">
        <v>0.02</v>
      </c>
    </row>
    <row r="488" spans="1:10" x14ac:dyDescent="0.3">
      <c r="A488" s="2">
        <v>487</v>
      </c>
      <c r="B488" s="3">
        <v>40565</v>
      </c>
      <c r="C488" s="2">
        <v>1</v>
      </c>
      <c r="D488" s="2">
        <v>0</v>
      </c>
      <c r="E488" s="2">
        <v>1</v>
      </c>
      <c r="F488" s="2">
        <v>8</v>
      </c>
      <c r="G488" s="2" t="b">
        <v>0</v>
      </c>
      <c r="H488" s="2">
        <v>6</v>
      </c>
      <c r="I488" s="2">
        <v>1</v>
      </c>
      <c r="J488" s="2">
        <v>0.02</v>
      </c>
    </row>
    <row r="489" spans="1:10" x14ac:dyDescent="0.3">
      <c r="A489" s="2">
        <v>488</v>
      </c>
      <c r="B489" s="3">
        <v>40565</v>
      </c>
      <c r="C489" s="2">
        <v>1</v>
      </c>
      <c r="D489" s="2">
        <v>0</v>
      </c>
      <c r="E489" s="2">
        <v>1</v>
      </c>
      <c r="F489" s="2">
        <v>9</v>
      </c>
      <c r="G489" s="2" t="b">
        <v>0</v>
      </c>
      <c r="H489" s="2">
        <v>6</v>
      </c>
      <c r="I489" s="2">
        <v>1</v>
      </c>
      <c r="J489" s="2">
        <v>0.04</v>
      </c>
    </row>
    <row r="490" spans="1:10" x14ac:dyDescent="0.3">
      <c r="A490" s="2">
        <v>489</v>
      </c>
      <c r="B490" s="3">
        <v>40565</v>
      </c>
      <c r="C490" s="2">
        <v>1</v>
      </c>
      <c r="D490" s="2">
        <v>0</v>
      </c>
      <c r="E490" s="2">
        <v>1</v>
      </c>
      <c r="F490" s="2">
        <v>10</v>
      </c>
      <c r="G490" s="2" t="b">
        <v>0</v>
      </c>
      <c r="H490" s="2">
        <v>6</v>
      </c>
      <c r="I490" s="2">
        <v>2</v>
      </c>
      <c r="J490" s="2">
        <v>0.04</v>
      </c>
    </row>
    <row r="491" spans="1:10" x14ac:dyDescent="0.3">
      <c r="A491" s="2">
        <v>490</v>
      </c>
      <c r="B491" s="3">
        <v>40565</v>
      </c>
      <c r="C491" s="2">
        <v>1</v>
      </c>
      <c r="D491" s="2">
        <v>0</v>
      </c>
      <c r="E491" s="2">
        <v>1</v>
      </c>
      <c r="F491" s="2">
        <v>11</v>
      </c>
      <c r="G491" s="2" t="b">
        <v>0</v>
      </c>
      <c r="H491" s="2">
        <v>6</v>
      </c>
      <c r="I491" s="2">
        <v>2</v>
      </c>
      <c r="J491" s="2">
        <v>0.06</v>
      </c>
    </row>
    <row r="492" spans="1:10" x14ac:dyDescent="0.3">
      <c r="A492" s="2">
        <v>491</v>
      </c>
      <c r="B492" s="3">
        <v>40565</v>
      </c>
      <c r="C492" s="2">
        <v>1</v>
      </c>
      <c r="D492" s="2">
        <v>0</v>
      </c>
      <c r="E492" s="2">
        <v>1</v>
      </c>
      <c r="F492" s="2">
        <v>12</v>
      </c>
      <c r="G492" s="2" t="b">
        <v>0</v>
      </c>
      <c r="H492" s="2">
        <v>6</v>
      </c>
      <c r="I492" s="2">
        <v>2</v>
      </c>
      <c r="J492" s="2">
        <v>0.06</v>
      </c>
    </row>
    <row r="493" spans="1:10" x14ac:dyDescent="0.3">
      <c r="A493" s="2">
        <v>492</v>
      </c>
      <c r="B493" s="3">
        <v>40565</v>
      </c>
      <c r="C493" s="2">
        <v>1</v>
      </c>
      <c r="D493" s="2">
        <v>0</v>
      </c>
      <c r="E493" s="2">
        <v>1</v>
      </c>
      <c r="F493" s="2">
        <v>13</v>
      </c>
      <c r="G493" s="2" t="b">
        <v>0</v>
      </c>
      <c r="H493" s="2">
        <v>6</v>
      </c>
      <c r="I493" s="2">
        <v>1</v>
      </c>
      <c r="J493" s="2">
        <v>0.08</v>
      </c>
    </row>
    <row r="494" spans="1:10" x14ac:dyDescent="0.3">
      <c r="A494" s="2">
        <v>493</v>
      </c>
      <c r="B494" s="3">
        <v>40565</v>
      </c>
      <c r="C494" s="2">
        <v>1</v>
      </c>
      <c r="D494" s="2">
        <v>0</v>
      </c>
      <c r="E494" s="2">
        <v>1</v>
      </c>
      <c r="F494" s="2">
        <v>14</v>
      </c>
      <c r="G494" s="2" t="b">
        <v>0</v>
      </c>
      <c r="H494" s="2">
        <v>6</v>
      </c>
      <c r="I494" s="2">
        <v>1</v>
      </c>
      <c r="J494" s="2">
        <v>0.1</v>
      </c>
    </row>
    <row r="495" spans="1:10" x14ac:dyDescent="0.3">
      <c r="A495" s="2">
        <v>494</v>
      </c>
      <c r="B495" s="3">
        <v>40565</v>
      </c>
      <c r="C495" s="2">
        <v>1</v>
      </c>
      <c r="D495" s="2">
        <v>0</v>
      </c>
      <c r="E495" s="2">
        <v>1</v>
      </c>
      <c r="F495" s="2">
        <v>15</v>
      </c>
      <c r="G495" s="2" t="b">
        <v>0</v>
      </c>
      <c r="H495" s="2">
        <v>6</v>
      </c>
      <c r="I495" s="2">
        <v>1</v>
      </c>
      <c r="J495" s="2">
        <v>0.12</v>
      </c>
    </row>
    <row r="496" spans="1:10" x14ac:dyDescent="0.3">
      <c r="A496" s="2">
        <v>495</v>
      </c>
      <c r="B496" s="3">
        <v>40565</v>
      </c>
      <c r="C496" s="2">
        <v>1</v>
      </c>
      <c r="D496" s="2">
        <v>0</v>
      </c>
      <c r="E496" s="2">
        <v>1</v>
      </c>
      <c r="F496" s="2">
        <v>16</v>
      </c>
      <c r="G496" s="2" t="b">
        <v>0</v>
      </c>
      <c r="H496" s="2">
        <v>6</v>
      </c>
      <c r="I496" s="2">
        <v>1</v>
      </c>
      <c r="J496" s="2">
        <v>0.12</v>
      </c>
    </row>
    <row r="497" spans="1:10" x14ac:dyDescent="0.3">
      <c r="A497" s="2">
        <v>496</v>
      </c>
      <c r="B497" s="3">
        <v>40565</v>
      </c>
      <c r="C497" s="2">
        <v>1</v>
      </c>
      <c r="D497" s="2">
        <v>0</v>
      </c>
      <c r="E497" s="2">
        <v>1</v>
      </c>
      <c r="F497" s="2">
        <v>17</v>
      </c>
      <c r="G497" s="2" t="b">
        <v>0</v>
      </c>
      <c r="H497" s="2">
        <v>6</v>
      </c>
      <c r="I497" s="2">
        <v>1</v>
      </c>
      <c r="J497" s="2">
        <v>0.12</v>
      </c>
    </row>
    <row r="498" spans="1:10" x14ac:dyDescent="0.3">
      <c r="A498" s="2">
        <v>497</v>
      </c>
      <c r="B498" s="3">
        <v>40565</v>
      </c>
      <c r="C498" s="2">
        <v>1</v>
      </c>
      <c r="D498" s="2">
        <v>0</v>
      </c>
      <c r="E498" s="2">
        <v>1</v>
      </c>
      <c r="F498" s="2">
        <v>18</v>
      </c>
      <c r="G498" s="2" t="b">
        <v>0</v>
      </c>
      <c r="H498" s="2">
        <v>6</v>
      </c>
      <c r="I498" s="2">
        <v>1</v>
      </c>
      <c r="J498" s="2">
        <v>0.08</v>
      </c>
    </row>
    <row r="499" spans="1:10" x14ac:dyDescent="0.3">
      <c r="A499" s="2">
        <v>498</v>
      </c>
      <c r="B499" s="3">
        <v>40565</v>
      </c>
      <c r="C499" s="2">
        <v>1</v>
      </c>
      <c r="D499" s="2">
        <v>0</v>
      </c>
      <c r="E499" s="2">
        <v>1</v>
      </c>
      <c r="F499" s="2">
        <v>19</v>
      </c>
      <c r="G499" s="2" t="b">
        <v>0</v>
      </c>
      <c r="H499" s="2">
        <v>6</v>
      </c>
      <c r="I499" s="2">
        <v>1</v>
      </c>
      <c r="J499" s="2">
        <v>0.08</v>
      </c>
    </row>
    <row r="500" spans="1:10" x14ac:dyDescent="0.3">
      <c r="A500" s="2">
        <v>499</v>
      </c>
      <c r="B500" s="3">
        <v>40565</v>
      </c>
      <c r="C500" s="2">
        <v>1</v>
      </c>
      <c r="D500" s="2">
        <v>0</v>
      </c>
      <c r="E500" s="2">
        <v>1</v>
      </c>
      <c r="F500" s="2">
        <v>20</v>
      </c>
      <c r="G500" s="2" t="b">
        <v>0</v>
      </c>
      <c r="H500" s="2">
        <v>6</v>
      </c>
      <c r="I500" s="2">
        <v>1</v>
      </c>
      <c r="J500" s="2">
        <v>0.06</v>
      </c>
    </row>
    <row r="501" spans="1:10" x14ac:dyDescent="0.3">
      <c r="A501" s="2">
        <v>500</v>
      </c>
      <c r="B501" s="3">
        <v>40565</v>
      </c>
      <c r="C501" s="2">
        <v>1</v>
      </c>
      <c r="D501" s="2">
        <v>0</v>
      </c>
      <c r="E501" s="2">
        <v>1</v>
      </c>
      <c r="F501" s="2">
        <v>21</v>
      </c>
      <c r="G501" s="2" t="b">
        <v>0</v>
      </c>
      <c r="H501" s="2">
        <v>6</v>
      </c>
      <c r="I501" s="2">
        <v>1</v>
      </c>
      <c r="J501" s="2">
        <v>0.06</v>
      </c>
    </row>
    <row r="502" spans="1:10" x14ac:dyDescent="0.3">
      <c r="A502" s="2">
        <v>501</v>
      </c>
      <c r="B502" s="3">
        <v>40565</v>
      </c>
      <c r="C502" s="2">
        <v>1</v>
      </c>
      <c r="D502" s="2">
        <v>0</v>
      </c>
      <c r="E502" s="2">
        <v>1</v>
      </c>
      <c r="F502" s="2">
        <v>22</v>
      </c>
      <c r="G502" s="2" t="b">
        <v>0</v>
      </c>
      <c r="H502" s="2">
        <v>6</v>
      </c>
      <c r="I502" s="2">
        <v>1</v>
      </c>
      <c r="J502" s="2">
        <v>0.06</v>
      </c>
    </row>
    <row r="503" spans="1:10" x14ac:dyDescent="0.3">
      <c r="A503" s="2">
        <v>502</v>
      </c>
      <c r="B503" s="3">
        <v>40565</v>
      </c>
      <c r="C503" s="2">
        <v>1</v>
      </c>
      <c r="D503" s="2">
        <v>0</v>
      </c>
      <c r="E503" s="2">
        <v>1</v>
      </c>
      <c r="F503" s="2">
        <v>23</v>
      </c>
      <c r="G503" s="2" t="b">
        <v>0</v>
      </c>
      <c r="H503" s="2">
        <v>6</v>
      </c>
      <c r="I503" s="2">
        <v>1</v>
      </c>
      <c r="J503" s="2">
        <v>0.04</v>
      </c>
    </row>
    <row r="504" spans="1:10" x14ac:dyDescent="0.3">
      <c r="A504" s="2">
        <v>503</v>
      </c>
      <c r="B504" s="3">
        <v>40566</v>
      </c>
      <c r="C504" s="2">
        <v>1</v>
      </c>
      <c r="D504" s="2">
        <v>0</v>
      </c>
      <c r="E504" s="2">
        <v>1</v>
      </c>
      <c r="F504" s="2">
        <v>0</v>
      </c>
      <c r="G504" s="2" t="b">
        <v>0</v>
      </c>
      <c r="H504" s="2">
        <v>0</v>
      </c>
      <c r="I504" s="2">
        <v>1</v>
      </c>
      <c r="J504" s="2">
        <v>0.04</v>
      </c>
    </row>
    <row r="505" spans="1:10" x14ac:dyDescent="0.3">
      <c r="A505" s="2">
        <v>504</v>
      </c>
      <c r="B505" s="3">
        <v>40566</v>
      </c>
      <c r="C505" s="2">
        <v>1</v>
      </c>
      <c r="D505" s="2">
        <v>0</v>
      </c>
      <c r="E505" s="2">
        <v>1</v>
      </c>
      <c r="F505" s="2">
        <v>1</v>
      </c>
      <c r="G505" s="2" t="b">
        <v>0</v>
      </c>
      <c r="H505" s="2">
        <v>0</v>
      </c>
      <c r="I505" s="2">
        <v>1</v>
      </c>
      <c r="J505" s="2">
        <v>0.04</v>
      </c>
    </row>
    <row r="506" spans="1:10" x14ac:dyDescent="0.3">
      <c r="A506" s="2">
        <v>505</v>
      </c>
      <c r="B506" s="3">
        <v>40566</v>
      </c>
      <c r="C506" s="2">
        <v>1</v>
      </c>
      <c r="D506" s="2">
        <v>0</v>
      </c>
      <c r="E506" s="2">
        <v>1</v>
      </c>
      <c r="F506" s="2">
        <v>2</v>
      </c>
      <c r="G506" s="2" t="b">
        <v>0</v>
      </c>
      <c r="H506" s="2">
        <v>0</v>
      </c>
      <c r="I506" s="2">
        <v>1</v>
      </c>
      <c r="J506" s="2">
        <v>0.02</v>
      </c>
    </row>
    <row r="507" spans="1:10" x14ac:dyDescent="0.3">
      <c r="A507" s="2">
        <v>506</v>
      </c>
      <c r="B507" s="3">
        <v>40566</v>
      </c>
      <c r="C507" s="2">
        <v>1</v>
      </c>
      <c r="D507" s="2">
        <v>0</v>
      </c>
      <c r="E507" s="2">
        <v>1</v>
      </c>
      <c r="F507" s="2">
        <v>3</v>
      </c>
      <c r="G507" s="2" t="b">
        <v>0</v>
      </c>
      <c r="H507" s="2">
        <v>0</v>
      </c>
      <c r="I507" s="2">
        <v>1</v>
      </c>
      <c r="J507" s="2">
        <v>0.02</v>
      </c>
    </row>
    <row r="508" spans="1:10" x14ac:dyDescent="0.3">
      <c r="A508" s="2">
        <v>507</v>
      </c>
      <c r="B508" s="3">
        <v>40566</v>
      </c>
      <c r="C508" s="2">
        <v>1</v>
      </c>
      <c r="D508" s="2">
        <v>0</v>
      </c>
      <c r="E508" s="2">
        <v>1</v>
      </c>
      <c r="F508" s="2">
        <v>5</v>
      </c>
      <c r="G508" s="2" t="b">
        <v>0</v>
      </c>
      <c r="H508" s="2">
        <v>0</v>
      </c>
      <c r="I508" s="2">
        <v>2</v>
      </c>
      <c r="J508" s="2">
        <v>0.04</v>
      </c>
    </row>
    <row r="509" spans="1:10" x14ac:dyDescent="0.3">
      <c r="A509" s="2">
        <v>508</v>
      </c>
      <c r="B509" s="3">
        <v>40566</v>
      </c>
      <c r="C509" s="2">
        <v>1</v>
      </c>
      <c r="D509" s="2">
        <v>0</v>
      </c>
      <c r="E509" s="2">
        <v>1</v>
      </c>
      <c r="F509" s="2">
        <v>6</v>
      </c>
      <c r="G509" s="2" t="b">
        <v>0</v>
      </c>
      <c r="H509" s="2">
        <v>0</v>
      </c>
      <c r="I509" s="2">
        <v>2</v>
      </c>
      <c r="J509" s="2">
        <v>0.04</v>
      </c>
    </row>
    <row r="510" spans="1:10" x14ac:dyDescent="0.3">
      <c r="A510" s="2">
        <v>509</v>
      </c>
      <c r="B510" s="3">
        <v>40566</v>
      </c>
      <c r="C510" s="2">
        <v>1</v>
      </c>
      <c r="D510" s="2">
        <v>0</v>
      </c>
      <c r="E510" s="2">
        <v>1</v>
      </c>
      <c r="F510" s="2">
        <v>7</v>
      </c>
      <c r="G510" s="2" t="b">
        <v>0</v>
      </c>
      <c r="H510" s="2">
        <v>0</v>
      </c>
      <c r="I510" s="2">
        <v>1</v>
      </c>
      <c r="J510" s="2">
        <v>0.08</v>
      </c>
    </row>
    <row r="511" spans="1:10" x14ac:dyDescent="0.3">
      <c r="A511" s="2">
        <v>510</v>
      </c>
      <c r="B511" s="3">
        <v>40566</v>
      </c>
      <c r="C511" s="2">
        <v>1</v>
      </c>
      <c r="D511" s="2">
        <v>0</v>
      </c>
      <c r="E511" s="2">
        <v>1</v>
      </c>
      <c r="F511" s="2">
        <v>8</v>
      </c>
      <c r="G511" s="2" t="b">
        <v>0</v>
      </c>
      <c r="H511" s="2">
        <v>0</v>
      </c>
      <c r="I511" s="2">
        <v>1</v>
      </c>
      <c r="J511" s="2">
        <v>0.06</v>
      </c>
    </row>
    <row r="512" spans="1:10" x14ac:dyDescent="0.3">
      <c r="A512" s="2">
        <v>511</v>
      </c>
      <c r="B512" s="3">
        <v>40566</v>
      </c>
      <c r="C512" s="2">
        <v>1</v>
      </c>
      <c r="D512" s="2">
        <v>0</v>
      </c>
      <c r="E512" s="2">
        <v>1</v>
      </c>
      <c r="F512" s="2">
        <v>9</v>
      </c>
      <c r="G512" s="2" t="b">
        <v>0</v>
      </c>
      <c r="H512" s="2">
        <v>0</v>
      </c>
      <c r="I512" s="2">
        <v>1</v>
      </c>
      <c r="J512" s="2">
        <v>0.1</v>
      </c>
    </row>
    <row r="513" spans="1:10" x14ac:dyDescent="0.3">
      <c r="A513" s="2">
        <v>512</v>
      </c>
      <c r="B513" s="3">
        <v>40566</v>
      </c>
      <c r="C513" s="2">
        <v>1</v>
      </c>
      <c r="D513" s="2">
        <v>0</v>
      </c>
      <c r="E513" s="2">
        <v>1</v>
      </c>
      <c r="F513" s="2">
        <v>10</v>
      </c>
      <c r="G513" s="2" t="b">
        <v>0</v>
      </c>
      <c r="H513" s="2">
        <v>0</v>
      </c>
      <c r="I513" s="2">
        <v>1</v>
      </c>
      <c r="J513" s="2">
        <v>0.14000000000000001</v>
      </c>
    </row>
    <row r="514" spans="1:10" x14ac:dyDescent="0.3">
      <c r="A514" s="2">
        <v>513</v>
      </c>
      <c r="B514" s="3">
        <v>40566</v>
      </c>
      <c r="C514" s="2">
        <v>1</v>
      </c>
      <c r="D514" s="2">
        <v>0</v>
      </c>
      <c r="E514" s="2">
        <v>1</v>
      </c>
      <c r="F514" s="2">
        <v>11</v>
      </c>
      <c r="G514" s="2" t="b">
        <v>0</v>
      </c>
      <c r="H514" s="2">
        <v>0</v>
      </c>
      <c r="I514" s="2">
        <v>1</v>
      </c>
      <c r="J514" s="2">
        <v>0.14000000000000001</v>
      </c>
    </row>
    <row r="515" spans="1:10" x14ac:dyDescent="0.3">
      <c r="A515" s="2">
        <v>514</v>
      </c>
      <c r="B515" s="3">
        <v>40566</v>
      </c>
      <c r="C515" s="2">
        <v>1</v>
      </c>
      <c r="D515" s="2">
        <v>0</v>
      </c>
      <c r="E515" s="2">
        <v>1</v>
      </c>
      <c r="F515" s="2">
        <v>12</v>
      </c>
      <c r="G515" s="2" t="b">
        <v>0</v>
      </c>
      <c r="H515" s="2">
        <v>0</v>
      </c>
      <c r="I515" s="2">
        <v>1</v>
      </c>
      <c r="J515" s="2">
        <v>0.16</v>
      </c>
    </row>
    <row r="516" spans="1:10" x14ac:dyDescent="0.3">
      <c r="A516" s="2">
        <v>515</v>
      </c>
      <c r="B516" s="3">
        <v>40566</v>
      </c>
      <c r="C516" s="2">
        <v>1</v>
      </c>
      <c r="D516" s="2">
        <v>0</v>
      </c>
      <c r="E516" s="2">
        <v>1</v>
      </c>
      <c r="F516" s="2">
        <v>13</v>
      </c>
      <c r="G516" s="2" t="b">
        <v>0</v>
      </c>
      <c r="H516" s="2">
        <v>0</v>
      </c>
      <c r="I516" s="2">
        <v>1</v>
      </c>
      <c r="J516" s="2">
        <v>0.14000000000000001</v>
      </c>
    </row>
    <row r="517" spans="1:10" x14ac:dyDescent="0.3">
      <c r="A517" s="2">
        <v>516</v>
      </c>
      <c r="B517" s="3">
        <v>40566</v>
      </c>
      <c r="C517" s="2">
        <v>1</v>
      </c>
      <c r="D517" s="2">
        <v>0</v>
      </c>
      <c r="E517" s="2">
        <v>1</v>
      </c>
      <c r="F517" s="2">
        <v>14</v>
      </c>
      <c r="G517" s="2" t="b">
        <v>0</v>
      </c>
      <c r="H517" s="2">
        <v>0</v>
      </c>
      <c r="I517" s="2">
        <v>1</v>
      </c>
      <c r="J517" s="2">
        <v>0.16</v>
      </c>
    </row>
    <row r="518" spans="1:10" x14ac:dyDescent="0.3">
      <c r="A518" s="2">
        <v>517</v>
      </c>
      <c r="B518" s="3">
        <v>40566</v>
      </c>
      <c r="C518" s="2">
        <v>1</v>
      </c>
      <c r="D518" s="2">
        <v>0</v>
      </c>
      <c r="E518" s="2">
        <v>1</v>
      </c>
      <c r="F518" s="2">
        <v>15</v>
      </c>
      <c r="G518" s="2" t="b">
        <v>0</v>
      </c>
      <c r="H518" s="2">
        <v>0</v>
      </c>
      <c r="I518" s="2">
        <v>1</v>
      </c>
      <c r="J518" s="2">
        <v>0.16</v>
      </c>
    </row>
    <row r="519" spans="1:10" x14ac:dyDescent="0.3">
      <c r="A519" s="2">
        <v>518</v>
      </c>
      <c r="B519" s="3">
        <v>40566</v>
      </c>
      <c r="C519" s="2">
        <v>1</v>
      </c>
      <c r="D519" s="2">
        <v>0</v>
      </c>
      <c r="E519" s="2">
        <v>1</v>
      </c>
      <c r="F519" s="2">
        <v>16</v>
      </c>
      <c r="G519" s="2" t="b">
        <v>0</v>
      </c>
      <c r="H519" s="2">
        <v>0</v>
      </c>
      <c r="I519" s="2">
        <v>1</v>
      </c>
      <c r="J519" s="2">
        <v>0.16</v>
      </c>
    </row>
    <row r="520" spans="1:10" x14ac:dyDescent="0.3">
      <c r="A520" s="2">
        <v>519</v>
      </c>
      <c r="B520" s="3">
        <v>40566</v>
      </c>
      <c r="C520" s="2">
        <v>1</v>
      </c>
      <c r="D520" s="2">
        <v>0</v>
      </c>
      <c r="E520" s="2">
        <v>1</v>
      </c>
      <c r="F520" s="2">
        <v>17</v>
      </c>
      <c r="G520" s="2" t="b">
        <v>0</v>
      </c>
      <c r="H520" s="2">
        <v>0</v>
      </c>
      <c r="I520" s="2">
        <v>1</v>
      </c>
      <c r="J520" s="2">
        <v>0.14000000000000001</v>
      </c>
    </row>
    <row r="521" spans="1:10" x14ac:dyDescent="0.3">
      <c r="A521" s="2">
        <v>520</v>
      </c>
      <c r="B521" s="3">
        <v>40566</v>
      </c>
      <c r="C521" s="2">
        <v>1</v>
      </c>
      <c r="D521" s="2">
        <v>0</v>
      </c>
      <c r="E521" s="2">
        <v>1</v>
      </c>
      <c r="F521" s="2">
        <v>18</v>
      </c>
      <c r="G521" s="2" t="b">
        <v>0</v>
      </c>
      <c r="H521" s="2">
        <v>0</v>
      </c>
      <c r="I521" s="2">
        <v>1</v>
      </c>
      <c r="J521" s="2">
        <v>0.12</v>
      </c>
    </row>
    <row r="522" spans="1:10" x14ac:dyDescent="0.3">
      <c r="A522" s="2">
        <v>521</v>
      </c>
      <c r="B522" s="3">
        <v>40566</v>
      </c>
      <c r="C522" s="2">
        <v>1</v>
      </c>
      <c r="D522" s="2">
        <v>0</v>
      </c>
      <c r="E522" s="2">
        <v>1</v>
      </c>
      <c r="F522" s="2">
        <v>19</v>
      </c>
      <c r="G522" s="2" t="b">
        <v>0</v>
      </c>
      <c r="H522" s="2">
        <v>0</v>
      </c>
      <c r="I522" s="2">
        <v>1</v>
      </c>
      <c r="J522" s="2">
        <v>0.12</v>
      </c>
    </row>
    <row r="523" spans="1:10" x14ac:dyDescent="0.3">
      <c r="A523" s="2">
        <v>522</v>
      </c>
      <c r="B523" s="3">
        <v>40566</v>
      </c>
      <c r="C523" s="2">
        <v>1</v>
      </c>
      <c r="D523" s="2">
        <v>0</v>
      </c>
      <c r="E523" s="2">
        <v>1</v>
      </c>
      <c r="F523" s="2">
        <v>20</v>
      </c>
      <c r="G523" s="2" t="b">
        <v>0</v>
      </c>
      <c r="H523" s="2">
        <v>0</v>
      </c>
      <c r="I523" s="2">
        <v>1</v>
      </c>
      <c r="J523" s="2">
        <v>0.1</v>
      </c>
    </row>
    <row r="524" spans="1:10" x14ac:dyDescent="0.3">
      <c r="A524" s="2">
        <v>523</v>
      </c>
      <c r="B524" s="3">
        <v>40566</v>
      </c>
      <c r="C524" s="2">
        <v>1</v>
      </c>
      <c r="D524" s="2">
        <v>0</v>
      </c>
      <c r="E524" s="2">
        <v>1</v>
      </c>
      <c r="F524" s="2">
        <v>21</v>
      </c>
      <c r="G524" s="2" t="b">
        <v>0</v>
      </c>
      <c r="H524" s="2">
        <v>0</v>
      </c>
      <c r="I524" s="2">
        <v>1</v>
      </c>
      <c r="J524" s="2">
        <v>0.1</v>
      </c>
    </row>
    <row r="525" spans="1:10" x14ac:dyDescent="0.3">
      <c r="A525" s="2">
        <v>524</v>
      </c>
      <c r="B525" s="3">
        <v>40566</v>
      </c>
      <c r="C525" s="2">
        <v>1</v>
      </c>
      <c r="D525" s="2">
        <v>0</v>
      </c>
      <c r="E525" s="2">
        <v>1</v>
      </c>
      <c r="F525" s="2">
        <v>22</v>
      </c>
      <c r="G525" s="2" t="b">
        <v>0</v>
      </c>
      <c r="H525" s="2">
        <v>0</v>
      </c>
      <c r="I525" s="2">
        <v>1</v>
      </c>
      <c r="J525" s="2">
        <v>0.08</v>
      </c>
    </row>
    <row r="526" spans="1:10" x14ac:dyDescent="0.3">
      <c r="A526" s="2">
        <v>525</v>
      </c>
      <c r="B526" s="3">
        <v>40566</v>
      </c>
      <c r="C526" s="2">
        <v>1</v>
      </c>
      <c r="D526" s="2">
        <v>0</v>
      </c>
      <c r="E526" s="2">
        <v>1</v>
      </c>
      <c r="F526" s="2">
        <v>23</v>
      </c>
      <c r="G526" s="2" t="b">
        <v>0</v>
      </c>
      <c r="H526" s="2">
        <v>0</v>
      </c>
      <c r="I526" s="2">
        <v>1</v>
      </c>
      <c r="J526" s="2">
        <v>0.06</v>
      </c>
    </row>
    <row r="527" spans="1:10" x14ac:dyDescent="0.3">
      <c r="A527" s="2">
        <v>526</v>
      </c>
      <c r="B527" s="3">
        <v>40567</v>
      </c>
      <c r="C527" s="2">
        <v>1</v>
      </c>
      <c r="D527" s="2">
        <v>0</v>
      </c>
      <c r="E527" s="2">
        <v>1</v>
      </c>
      <c r="F527" s="2">
        <v>0</v>
      </c>
      <c r="G527" s="2" t="b">
        <v>0</v>
      </c>
      <c r="H527" s="2">
        <v>1</v>
      </c>
      <c r="I527" s="2">
        <v>1</v>
      </c>
      <c r="J527" s="2">
        <v>0.06</v>
      </c>
    </row>
    <row r="528" spans="1:10" x14ac:dyDescent="0.3">
      <c r="A528" s="2">
        <v>527</v>
      </c>
      <c r="B528" s="3">
        <v>40567</v>
      </c>
      <c r="C528" s="2">
        <v>1</v>
      </c>
      <c r="D528" s="2">
        <v>0</v>
      </c>
      <c r="E528" s="2">
        <v>1</v>
      </c>
      <c r="F528" s="2">
        <v>1</v>
      </c>
      <c r="G528" s="2" t="b">
        <v>0</v>
      </c>
      <c r="H528" s="2">
        <v>1</v>
      </c>
      <c r="I528" s="2">
        <v>1</v>
      </c>
      <c r="J528" s="2">
        <v>0.04</v>
      </c>
    </row>
    <row r="529" spans="1:10" x14ac:dyDescent="0.3">
      <c r="A529" s="2">
        <v>528</v>
      </c>
      <c r="B529" s="3">
        <v>40567</v>
      </c>
      <c r="C529" s="2">
        <v>1</v>
      </c>
      <c r="D529" s="2">
        <v>0</v>
      </c>
      <c r="E529" s="2">
        <v>1</v>
      </c>
      <c r="F529" s="2">
        <v>3</v>
      </c>
      <c r="G529" s="2" t="b">
        <v>0</v>
      </c>
      <c r="H529" s="2">
        <v>1</v>
      </c>
      <c r="I529" s="2">
        <v>1</v>
      </c>
      <c r="J529" s="2">
        <v>0.04</v>
      </c>
    </row>
    <row r="530" spans="1:10" x14ac:dyDescent="0.3">
      <c r="A530" s="2">
        <v>529</v>
      </c>
      <c r="B530" s="3">
        <v>40567</v>
      </c>
      <c r="C530" s="2">
        <v>1</v>
      </c>
      <c r="D530" s="2">
        <v>0</v>
      </c>
      <c r="E530" s="2">
        <v>1</v>
      </c>
      <c r="F530" s="2">
        <v>4</v>
      </c>
      <c r="G530" s="2" t="b">
        <v>0</v>
      </c>
      <c r="H530" s="2">
        <v>1</v>
      </c>
      <c r="I530" s="2">
        <v>1</v>
      </c>
      <c r="J530" s="2">
        <v>0.02</v>
      </c>
    </row>
    <row r="531" spans="1:10" x14ac:dyDescent="0.3">
      <c r="A531" s="2">
        <v>530</v>
      </c>
      <c r="B531" s="3">
        <v>40567</v>
      </c>
      <c r="C531" s="2">
        <v>1</v>
      </c>
      <c r="D531" s="2">
        <v>0</v>
      </c>
      <c r="E531" s="2">
        <v>1</v>
      </c>
      <c r="F531" s="2">
        <v>5</v>
      </c>
      <c r="G531" s="2" t="b">
        <v>0</v>
      </c>
      <c r="H531" s="2">
        <v>1</v>
      </c>
      <c r="I531" s="2">
        <v>1</v>
      </c>
      <c r="J531" s="2">
        <v>0.02</v>
      </c>
    </row>
    <row r="532" spans="1:10" x14ac:dyDescent="0.3">
      <c r="A532" s="2">
        <v>531</v>
      </c>
      <c r="B532" s="3">
        <v>40567</v>
      </c>
      <c r="C532" s="2">
        <v>1</v>
      </c>
      <c r="D532" s="2">
        <v>0</v>
      </c>
      <c r="E532" s="2">
        <v>1</v>
      </c>
      <c r="F532" s="2">
        <v>6</v>
      </c>
      <c r="G532" s="2" t="b">
        <v>0</v>
      </c>
      <c r="H532" s="2">
        <v>1</v>
      </c>
      <c r="I532" s="2">
        <v>1</v>
      </c>
      <c r="J532" s="2">
        <v>0.02</v>
      </c>
    </row>
    <row r="533" spans="1:10" x14ac:dyDescent="0.3">
      <c r="A533" s="2">
        <v>532</v>
      </c>
      <c r="B533" s="3">
        <v>40567</v>
      </c>
      <c r="C533" s="2">
        <v>1</v>
      </c>
      <c r="D533" s="2">
        <v>0</v>
      </c>
      <c r="E533" s="2">
        <v>1</v>
      </c>
      <c r="F533" s="2">
        <v>7</v>
      </c>
      <c r="G533" s="2" t="b">
        <v>0</v>
      </c>
      <c r="H533" s="2">
        <v>1</v>
      </c>
      <c r="I533" s="2">
        <v>1</v>
      </c>
      <c r="J533" s="2">
        <v>0.02</v>
      </c>
    </row>
    <row r="534" spans="1:10" x14ac:dyDescent="0.3">
      <c r="A534" s="2">
        <v>533</v>
      </c>
      <c r="B534" s="3">
        <v>40567</v>
      </c>
      <c r="C534" s="2">
        <v>1</v>
      </c>
      <c r="D534" s="2">
        <v>0</v>
      </c>
      <c r="E534" s="2">
        <v>1</v>
      </c>
      <c r="F534" s="2">
        <v>8</v>
      </c>
      <c r="G534" s="2" t="b">
        <v>0</v>
      </c>
      <c r="H534" s="2">
        <v>1</v>
      </c>
      <c r="I534" s="2">
        <v>1</v>
      </c>
      <c r="J534" s="2">
        <v>0.04</v>
      </c>
    </row>
    <row r="535" spans="1:10" x14ac:dyDescent="0.3">
      <c r="A535" s="2">
        <v>534</v>
      </c>
      <c r="B535" s="3">
        <v>40567</v>
      </c>
      <c r="C535" s="2">
        <v>1</v>
      </c>
      <c r="D535" s="2">
        <v>0</v>
      </c>
      <c r="E535" s="2">
        <v>1</v>
      </c>
      <c r="F535" s="2">
        <v>9</v>
      </c>
      <c r="G535" s="2" t="b">
        <v>0</v>
      </c>
      <c r="H535" s="2">
        <v>1</v>
      </c>
      <c r="I535" s="2">
        <v>1</v>
      </c>
      <c r="J535" s="2">
        <v>0.06</v>
      </c>
    </row>
    <row r="536" spans="1:10" x14ac:dyDescent="0.3">
      <c r="A536" s="2">
        <v>535</v>
      </c>
      <c r="B536" s="3">
        <v>40567</v>
      </c>
      <c r="C536" s="2">
        <v>1</v>
      </c>
      <c r="D536" s="2">
        <v>0</v>
      </c>
      <c r="E536" s="2">
        <v>1</v>
      </c>
      <c r="F536" s="2">
        <v>10</v>
      </c>
      <c r="G536" s="2" t="b">
        <v>0</v>
      </c>
      <c r="H536" s="2">
        <v>1</v>
      </c>
      <c r="I536" s="2">
        <v>1</v>
      </c>
      <c r="J536" s="2">
        <v>0.1</v>
      </c>
    </row>
    <row r="537" spans="1:10" x14ac:dyDescent="0.3">
      <c r="A537" s="2">
        <v>536</v>
      </c>
      <c r="B537" s="3">
        <v>40567</v>
      </c>
      <c r="C537" s="2">
        <v>1</v>
      </c>
      <c r="D537" s="2">
        <v>0</v>
      </c>
      <c r="E537" s="2">
        <v>1</v>
      </c>
      <c r="F537" s="2">
        <v>11</v>
      </c>
      <c r="G537" s="2" t="b">
        <v>0</v>
      </c>
      <c r="H537" s="2">
        <v>1</v>
      </c>
      <c r="I537" s="2">
        <v>1</v>
      </c>
      <c r="J537" s="2">
        <v>0.1</v>
      </c>
    </row>
    <row r="538" spans="1:10" x14ac:dyDescent="0.3">
      <c r="A538" s="2">
        <v>537</v>
      </c>
      <c r="B538" s="3">
        <v>40567</v>
      </c>
      <c r="C538" s="2">
        <v>1</v>
      </c>
      <c r="D538" s="2">
        <v>0</v>
      </c>
      <c r="E538" s="2">
        <v>1</v>
      </c>
      <c r="F538" s="2">
        <v>12</v>
      </c>
      <c r="G538" s="2" t="b">
        <v>0</v>
      </c>
      <c r="H538" s="2">
        <v>1</v>
      </c>
      <c r="I538" s="2">
        <v>2</v>
      </c>
      <c r="J538" s="2">
        <v>0.12</v>
      </c>
    </row>
    <row r="539" spans="1:10" x14ac:dyDescent="0.3">
      <c r="A539" s="2">
        <v>538</v>
      </c>
      <c r="B539" s="3">
        <v>40567</v>
      </c>
      <c r="C539" s="2">
        <v>1</v>
      </c>
      <c r="D539" s="2">
        <v>0</v>
      </c>
      <c r="E539" s="2">
        <v>1</v>
      </c>
      <c r="F539" s="2">
        <v>13</v>
      </c>
      <c r="G539" s="2" t="b">
        <v>0</v>
      </c>
      <c r="H539" s="2">
        <v>1</v>
      </c>
      <c r="I539" s="2">
        <v>2</v>
      </c>
      <c r="J539" s="2">
        <v>0.14000000000000001</v>
      </c>
    </row>
    <row r="540" spans="1:10" x14ac:dyDescent="0.3">
      <c r="A540" s="2">
        <v>539</v>
      </c>
      <c r="B540" s="3">
        <v>40567</v>
      </c>
      <c r="C540" s="2">
        <v>1</v>
      </c>
      <c r="D540" s="2">
        <v>0</v>
      </c>
      <c r="E540" s="2">
        <v>1</v>
      </c>
      <c r="F540" s="2">
        <v>14</v>
      </c>
      <c r="G540" s="2" t="b">
        <v>0</v>
      </c>
      <c r="H540" s="2">
        <v>1</v>
      </c>
      <c r="I540" s="2">
        <v>2</v>
      </c>
      <c r="J540" s="2">
        <v>0.14000000000000001</v>
      </c>
    </row>
    <row r="541" spans="1:10" x14ac:dyDescent="0.3">
      <c r="A541" s="2">
        <v>540</v>
      </c>
      <c r="B541" s="3">
        <v>40567</v>
      </c>
      <c r="C541" s="2">
        <v>1</v>
      </c>
      <c r="D541" s="2">
        <v>0</v>
      </c>
      <c r="E541" s="2">
        <v>1</v>
      </c>
      <c r="F541" s="2">
        <v>15</v>
      </c>
      <c r="G541" s="2" t="b">
        <v>0</v>
      </c>
      <c r="H541" s="2">
        <v>1</v>
      </c>
      <c r="I541" s="2">
        <v>1</v>
      </c>
      <c r="J541" s="2">
        <v>0.16</v>
      </c>
    </row>
    <row r="542" spans="1:10" x14ac:dyDescent="0.3">
      <c r="A542" s="2">
        <v>541</v>
      </c>
      <c r="B542" s="3">
        <v>40567</v>
      </c>
      <c r="C542" s="2">
        <v>1</v>
      </c>
      <c r="D542" s="2">
        <v>0</v>
      </c>
      <c r="E542" s="2">
        <v>1</v>
      </c>
      <c r="F542" s="2">
        <v>16</v>
      </c>
      <c r="G542" s="2" t="b">
        <v>0</v>
      </c>
      <c r="H542" s="2">
        <v>1</v>
      </c>
      <c r="I542" s="2">
        <v>1</v>
      </c>
      <c r="J542" s="2">
        <v>0.16</v>
      </c>
    </row>
    <row r="543" spans="1:10" x14ac:dyDescent="0.3">
      <c r="A543" s="2">
        <v>542</v>
      </c>
      <c r="B543" s="3">
        <v>40567</v>
      </c>
      <c r="C543" s="2">
        <v>1</v>
      </c>
      <c r="D543" s="2">
        <v>0</v>
      </c>
      <c r="E543" s="2">
        <v>1</v>
      </c>
      <c r="F543" s="2">
        <v>17</v>
      </c>
      <c r="G543" s="2" t="b">
        <v>0</v>
      </c>
      <c r="H543" s="2">
        <v>1</v>
      </c>
      <c r="I543" s="2">
        <v>1</v>
      </c>
      <c r="J543" s="2">
        <v>0.14000000000000001</v>
      </c>
    </row>
    <row r="544" spans="1:10" x14ac:dyDescent="0.3">
      <c r="A544" s="2">
        <v>543</v>
      </c>
      <c r="B544" s="3">
        <v>40567</v>
      </c>
      <c r="C544" s="2">
        <v>1</v>
      </c>
      <c r="D544" s="2">
        <v>0</v>
      </c>
      <c r="E544" s="2">
        <v>1</v>
      </c>
      <c r="F544" s="2">
        <v>18</v>
      </c>
      <c r="G544" s="2" t="b">
        <v>0</v>
      </c>
      <c r="H544" s="2">
        <v>1</v>
      </c>
      <c r="I544" s="2">
        <v>1</v>
      </c>
      <c r="J544" s="2">
        <v>0.14000000000000001</v>
      </c>
    </row>
    <row r="545" spans="1:10" x14ac:dyDescent="0.3">
      <c r="A545" s="2">
        <v>544</v>
      </c>
      <c r="B545" s="3">
        <v>40567</v>
      </c>
      <c r="C545" s="2">
        <v>1</v>
      </c>
      <c r="D545" s="2">
        <v>0</v>
      </c>
      <c r="E545" s="2">
        <v>1</v>
      </c>
      <c r="F545" s="2">
        <v>19</v>
      </c>
      <c r="G545" s="2" t="b">
        <v>0</v>
      </c>
      <c r="H545" s="2">
        <v>1</v>
      </c>
      <c r="I545" s="2">
        <v>1</v>
      </c>
      <c r="J545" s="2">
        <v>0.14000000000000001</v>
      </c>
    </row>
    <row r="546" spans="1:10" x14ac:dyDescent="0.3">
      <c r="A546" s="2">
        <v>545</v>
      </c>
      <c r="B546" s="3">
        <v>40567</v>
      </c>
      <c r="C546" s="2">
        <v>1</v>
      </c>
      <c r="D546" s="2">
        <v>0</v>
      </c>
      <c r="E546" s="2">
        <v>1</v>
      </c>
      <c r="F546" s="2">
        <v>20</v>
      </c>
      <c r="G546" s="2" t="b">
        <v>0</v>
      </c>
      <c r="H546" s="2">
        <v>1</v>
      </c>
      <c r="I546" s="2">
        <v>1</v>
      </c>
      <c r="J546" s="2">
        <v>0.14000000000000001</v>
      </c>
    </row>
    <row r="547" spans="1:10" x14ac:dyDescent="0.3">
      <c r="A547" s="2">
        <v>546</v>
      </c>
      <c r="B547" s="3">
        <v>40567</v>
      </c>
      <c r="C547" s="2">
        <v>1</v>
      </c>
      <c r="D547" s="2">
        <v>0</v>
      </c>
      <c r="E547" s="2">
        <v>1</v>
      </c>
      <c r="F547" s="2">
        <v>21</v>
      </c>
      <c r="G547" s="2" t="b">
        <v>0</v>
      </c>
      <c r="H547" s="2">
        <v>1</v>
      </c>
      <c r="I547" s="2">
        <v>1</v>
      </c>
      <c r="J547" s="2">
        <v>0.14000000000000001</v>
      </c>
    </row>
    <row r="548" spans="1:10" x14ac:dyDescent="0.3">
      <c r="A548" s="2">
        <v>547</v>
      </c>
      <c r="B548" s="3">
        <v>40567</v>
      </c>
      <c r="C548" s="2">
        <v>1</v>
      </c>
      <c r="D548" s="2">
        <v>0</v>
      </c>
      <c r="E548" s="2">
        <v>1</v>
      </c>
      <c r="F548" s="2">
        <v>22</v>
      </c>
      <c r="G548" s="2" t="b">
        <v>0</v>
      </c>
      <c r="H548" s="2">
        <v>1</v>
      </c>
      <c r="I548" s="2">
        <v>2</v>
      </c>
      <c r="J548" s="2">
        <v>0.14000000000000001</v>
      </c>
    </row>
    <row r="549" spans="1:10" x14ac:dyDescent="0.3">
      <c r="A549" s="2">
        <v>548</v>
      </c>
      <c r="B549" s="3">
        <v>40567</v>
      </c>
      <c r="C549" s="2">
        <v>1</v>
      </c>
      <c r="D549" s="2">
        <v>0</v>
      </c>
      <c r="E549" s="2">
        <v>1</v>
      </c>
      <c r="F549" s="2">
        <v>23</v>
      </c>
      <c r="G549" s="2" t="b">
        <v>0</v>
      </c>
      <c r="H549" s="2">
        <v>1</v>
      </c>
      <c r="I549" s="2">
        <v>2</v>
      </c>
      <c r="J549" s="2">
        <v>0.16</v>
      </c>
    </row>
    <row r="550" spans="1:10" x14ac:dyDescent="0.3">
      <c r="A550" s="2">
        <v>549</v>
      </c>
      <c r="B550" s="3">
        <v>40568</v>
      </c>
      <c r="C550" s="2">
        <v>1</v>
      </c>
      <c r="D550" s="2">
        <v>0</v>
      </c>
      <c r="E550" s="2">
        <v>1</v>
      </c>
      <c r="F550" s="2">
        <v>0</v>
      </c>
      <c r="G550" s="2" t="b">
        <v>0</v>
      </c>
      <c r="H550" s="2">
        <v>2</v>
      </c>
      <c r="I550" s="2">
        <v>2</v>
      </c>
      <c r="J550" s="2">
        <v>0.16</v>
      </c>
    </row>
    <row r="551" spans="1:10" x14ac:dyDescent="0.3">
      <c r="A551" s="2">
        <v>550</v>
      </c>
      <c r="B551" s="3">
        <v>40568</v>
      </c>
      <c r="C551" s="2">
        <v>1</v>
      </c>
      <c r="D551" s="2">
        <v>0</v>
      </c>
      <c r="E551" s="2">
        <v>1</v>
      </c>
      <c r="F551" s="2">
        <v>1</v>
      </c>
      <c r="G551" s="2" t="b">
        <v>0</v>
      </c>
      <c r="H551" s="2">
        <v>2</v>
      </c>
      <c r="I551" s="2">
        <v>2</v>
      </c>
      <c r="J551" s="2">
        <v>0.16</v>
      </c>
    </row>
    <row r="552" spans="1:10" x14ac:dyDescent="0.3">
      <c r="A552" s="2">
        <v>551</v>
      </c>
      <c r="B552" s="3">
        <v>40568</v>
      </c>
      <c r="C552" s="2">
        <v>1</v>
      </c>
      <c r="D552" s="2">
        <v>0</v>
      </c>
      <c r="E552" s="2">
        <v>1</v>
      </c>
      <c r="F552" s="2">
        <v>2</v>
      </c>
      <c r="G552" s="2" t="b">
        <v>0</v>
      </c>
      <c r="H552" s="2">
        <v>2</v>
      </c>
      <c r="I552" s="2">
        <v>1</v>
      </c>
      <c r="J552" s="2">
        <v>0.16</v>
      </c>
    </row>
    <row r="553" spans="1:10" x14ac:dyDescent="0.3">
      <c r="A553" s="2">
        <v>552</v>
      </c>
      <c r="B553" s="3">
        <v>40568</v>
      </c>
      <c r="C553" s="2">
        <v>1</v>
      </c>
      <c r="D553" s="2">
        <v>0</v>
      </c>
      <c r="E553" s="2">
        <v>1</v>
      </c>
      <c r="F553" s="2">
        <v>4</v>
      </c>
      <c r="G553" s="2" t="b">
        <v>0</v>
      </c>
      <c r="H553" s="2">
        <v>2</v>
      </c>
      <c r="I553" s="2">
        <v>1</v>
      </c>
      <c r="J553" s="2">
        <v>0.14000000000000001</v>
      </c>
    </row>
    <row r="554" spans="1:10" x14ac:dyDescent="0.3">
      <c r="A554" s="2">
        <v>553</v>
      </c>
      <c r="B554" s="3">
        <v>40568</v>
      </c>
      <c r="C554" s="2">
        <v>1</v>
      </c>
      <c r="D554" s="2">
        <v>0</v>
      </c>
      <c r="E554" s="2">
        <v>1</v>
      </c>
      <c r="F554" s="2">
        <v>5</v>
      </c>
      <c r="G554" s="2" t="b">
        <v>0</v>
      </c>
      <c r="H554" s="2">
        <v>2</v>
      </c>
      <c r="I554" s="2">
        <v>1</v>
      </c>
      <c r="J554" s="2">
        <v>0.14000000000000001</v>
      </c>
    </row>
    <row r="555" spans="1:10" x14ac:dyDescent="0.3">
      <c r="A555" s="2">
        <v>554</v>
      </c>
      <c r="B555" s="3">
        <v>40568</v>
      </c>
      <c r="C555" s="2">
        <v>1</v>
      </c>
      <c r="D555" s="2">
        <v>0</v>
      </c>
      <c r="E555" s="2">
        <v>1</v>
      </c>
      <c r="F555" s="2">
        <v>6</v>
      </c>
      <c r="G555" s="2" t="b">
        <v>0</v>
      </c>
      <c r="H555" s="2">
        <v>2</v>
      </c>
      <c r="I555" s="2">
        <v>1</v>
      </c>
      <c r="J555" s="2">
        <v>0.16</v>
      </c>
    </row>
    <row r="556" spans="1:10" x14ac:dyDescent="0.3">
      <c r="A556" s="2">
        <v>555</v>
      </c>
      <c r="B556" s="3">
        <v>40568</v>
      </c>
      <c r="C556" s="2">
        <v>1</v>
      </c>
      <c r="D556" s="2">
        <v>0</v>
      </c>
      <c r="E556" s="2">
        <v>1</v>
      </c>
      <c r="F556" s="2">
        <v>7</v>
      </c>
      <c r="G556" s="2" t="b">
        <v>0</v>
      </c>
      <c r="H556" s="2">
        <v>2</v>
      </c>
      <c r="I556" s="2">
        <v>1</v>
      </c>
      <c r="J556" s="2">
        <v>0.16</v>
      </c>
    </row>
    <row r="557" spans="1:10" x14ac:dyDescent="0.3">
      <c r="A557" s="2">
        <v>556</v>
      </c>
      <c r="B557" s="3">
        <v>40568</v>
      </c>
      <c r="C557" s="2">
        <v>1</v>
      </c>
      <c r="D557" s="2">
        <v>0</v>
      </c>
      <c r="E557" s="2">
        <v>1</v>
      </c>
      <c r="F557" s="2">
        <v>8</v>
      </c>
      <c r="G557" s="2" t="b">
        <v>0</v>
      </c>
      <c r="H557" s="2">
        <v>2</v>
      </c>
      <c r="I557" s="2">
        <v>2</v>
      </c>
      <c r="J557" s="2">
        <v>0.16</v>
      </c>
    </row>
    <row r="558" spans="1:10" x14ac:dyDescent="0.3">
      <c r="A558" s="2">
        <v>557</v>
      </c>
      <c r="B558" s="3">
        <v>40568</v>
      </c>
      <c r="C558" s="2">
        <v>1</v>
      </c>
      <c r="D558" s="2">
        <v>0</v>
      </c>
      <c r="E558" s="2">
        <v>1</v>
      </c>
      <c r="F558" s="2">
        <v>9</v>
      </c>
      <c r="G558" s="2" t="b">
        <v>0</v>
      </c>
      <c r="H558" s="2">
        <v>2</v>
      </c>
      <c r="I558" s="2">
        <v>2</v>
      </c>
      <c r="J558" s="2">
        <v>0.2</v>
      </c>
    </row>
    <row r="559" spans="1:10" x14ac:dyDescent="0.3">
      <c r="A559" s="2">
        <v>558</v>
      </c>
      <c r="B559" s="3">
        <v>40568</v>
      </c>
      <c r="C559" s="2">
        <v>1</v>
      </c>
      <c r="D559" s="2">
        <v>0</v>
      </c>
      <c r="E559" s="2">
        <v>1</v>
      </c>
      <c r="F559" s="2">
        <v>10</v>
      </c>
      <c r="G559" s="2" t="b">
        <v>0</v>
      </c>
      <c r="H559" s="2">
        <v>2</v>
      </c>
      <c r="I559" s="2">
        <v>2</v>
      </c>
      <c r="J559" s="2">
        <v>0.22</v>
      </c>
    </row>
    <row r="560" spans="1:10" x14ac:dyDescent="0.3">
      <c r="A560" s="2">
        <v>559</v>
      </c>
      <c r="B560" s="3">
        <v>40568</v>
      </c>
      <c r="C560" s="2">
        <v>1</v>
      </c>
      <c r="D560" s="2">
        <v>0</v>
      </c>
      <c r="E560" s="2">
        <v>1</v>
      </c>
      <c r="F560" s="2">
        <v>11</v>
      </c>
      <c r="G560" s="2" t="b">
        <v>0</v>
      </c>
      <c r="H560" s="2">
        <v>2</v>
      </c>
      <c r="I560" s="2">
        <v>2</v>
      </c>
      <c r="J560" s="2">
        <v>0.24</v>
      </c>
    </row>
    <row r="561" spans="1:10" x14ac:dyDescent="0.3">
      <c r="A561" s="2">
        <v>560</v>
      </c>
      <c r="B561" s="3">
        <v>40568</v>
      </c>
      <c r="C561" s="2">
        <v>1</v>
      </c>
      <c r="D561" s="2">
        <v>0</v>
      </c>
      <c r="E561" s="2">
        <v>1</v>
      </c>
      <c r="F561" s="2">
        <v>12</v>
      </c>
      <c r="G561" s="2" t="b">
        <v>0</v>
      </c>
      <c r="H561" s="2">
        <v>2</v>
      </c>
      <c r="I561" s="2">
        <v>2</v>
      </c>
      <c r="J561" s="2">
        <v>0.26</v>
      </c>
    </row>
    <row r="562" spans="1:10" x14ac:dyDescent="0.3">
      <c r="A562" s="2">
        <v>561</v>
      </c>
      <c r="B562" s="3">
        <v>40568</v>
      </c>
      <c r="C562" s="2">
        <v>1</v>
      </c>
      <c r="D562" s="2">
        <v>0</v>
      </c>
      <c r="E562" s="2">
        <v>1</v>
      </c>
      <c r="F562" s="2">
        <v>13</v>
      </c>
      <c r="G562" s="2" t="b">
        <v>0</v>
      </c>
      <c r="H562" s="2">
        <v>2</v>
      </c>
      <c r="I562" s="2">
        <v>2</v>
      </c>
      <c r="J562" s="2">
        <v>0.26</v>
      </c>
    </row>
    <row r="563" spans="1:10" x14ac:dyDescent="0.3">
      <c r="A563" s="2">
        <v>562</v>
      </c>
      <c r="B563" s="3">
        <v>40568</v>
      </c>
      <c r="C563" s="2">
        <v>1</v>
      </c>
      <c r="D563" s="2">
        <v>0</v>
      </c>
      <c r="E563" s="2">
        <v>1</v>
      </c>
      <c r="F563" s="2">
        <v>14</v>
      </c>
      <c r="G563" s="2" t="b">
        <v>0</v>
      </c>
      <c r="H563" s="2">
        <v>2</v>
      </c>
      <c r="I563" s="2">
        <v>2</v>
      </c>
      <c r="J563" s="2">
        <v>0.3</v>
      </c>
    </row>
    <row r="564" spans="1:10" x14ac:dyDescent="0.3">
      <c r="A564" s="2">
        <v>563</v>
      </c>
      <c r="B564" s="3">
        <v>40568</v>
      </c>
      <c r="C564" s="2">
        <v>1</v>
      </c>
      <c r="D564" s="2">
        <v>0</v>
      </c>
      <c r="E564" s="2">
        <v>1</v>
      </c>
      <c r="F564" s="2">
        <v>15</v>
      </c>
      <c r="G564" s="2" t="b">
        <v>0</v>
      </c>
      <c r="H564" s="2">
        <v>2</v>
      </c>
      <c r="I564" s="2">
        <v>2</v>
      </c>
      <c r="J564" s="2">
        <v>0.32</v>
      </c>
    </row>
    <row r="565" spans="1:10" x14ac:dyDescent="0.3">
      <c r="A565" s="2">
        <v>564</v>
      </c>
      <c r="B565" s="3">
        <v>40568</v>
      </c>
      <c r="C565" s="2">
        <v>1</v>
      </c>
      <c r="D565" s="2">
        <v>0</v>
      </c>
      <c r="E565" s="2">
        <v>1</v>
      </c>
      <c r="F565" s="2">
        <v>16</v>
      </c>
      <c r="G565" s="2" t="b">
        <v>0</v>
      </c>
      <c r="H565" s="2">
        <v>2</v>
      </c>
      <c r="I565" s="2">
        <v>2</v>
      </c>
      <c r="J565" s="2">
        <v>0.32</v>
      </c>
    </row>
    <row r="566" spans="1:10" x14ac:dyDescent="0.3">
      <c r="A566" s="2">
        <v>565</v>
      </c>
      <c r="B566" s="3">
        <v>40568</v>
      </c>
      <c r="C566" s="2">
        <v>1</v>
      </c>
      <c r="D566" s="2">
        <v>0</v>
      </c>
      <c r="E566" s="2">
        <v>1</v>
      </c>
      <c r="F566" s="2">
        <v>17</v>
      </c>
      <c r="G566" s="2" t="b">
        <v>0</v>
      </c>
      <c r="H566" s="2">
        <v>2</v>
      </c>
      <c r="I566" s="2">
        <v>1</v>
      </c>
      <c r="J566" s="2">
        <v>0.3</v>
      </c>
    </row>
    <row r="567" spans="1:10" x14ac:dyDescent="0.3">
      <c r="A567" s="2">
        <v>566</v>
      </c>
      <c r="B567" s="3">
        <v>40568</v>
      </c>
      <c r="C567" s="2">
        <v>1</v>
      </c>
      <c r="D567" s="2">
        <v>0</v>
      </c>
      <c r="E567" s="2">
        <v>1</v>
      </c>
      <c r="F567" s="2">
        <v>18</v>
      </c>
      <c r="G567" s="2" t="b">
        <v>0</v>
      </c>
      <c r="H567" s="2">
        <v>2</v>
      </c>
      <c r="I567" s="2">
        <v>2</v>
      </c>
      <c r="J567" s="2">
        <v>0.3</v>
      </c>
    </row>
    <row r="568" spans="1:10" x14ac:dyDescent="0.3">
      <c r="A568" s="2">
        <v>567</v>
      </c>
      <c r="B568" s="3">
        <v>40568</v>
      </c>
      <c r="C568" s="2">
        <v>1</v>
      </c>
      <c r="D568" s="2">
        <v>0</v>
      </c>
      <c r="E568" s="2">
        <v>1</v>
      </c>
      <c r="F568" s="2">
        <v>19</v>
      </c>
      <c r="G568" s="2" t="b">
        <v>0</v>
      </c>
      <c r="H568" s="2">
        <v>2</v>
      </c>
      <c r="I568" s="2">
        <v>2</v>
      </c>
      <c r="J568" s="2">
        <v>0.26</v>
      </c>
    </row>
    <row r="569" spans="1:10" x14ac:dyDescent="0.3">
      <c r="A569" s="2">
        <v>568</v>
      </c>
      <c r="B569" s="3">
        <v>40568</v>
      </c>
      <c r="C569" s="2">
        <v>1</v>
      </c>
      <c r="D569" s="2">
        <v>0</v>
      </c>
      <c r="E569" s="2">
        <v>1</v>
      </c>
      <c r="F569" s="2">
        <v>20</v>
      </c>
      <c r="G569" s="2" t="b">
        <v>0</v>
      </c>
      <c r="H569" s="2">
        <v>2</v>
      </c>
      <c r="I569" s="2">
        <v>1</v>
      </c>
      <c r="J569" s="2">
        <v>0.24</v>
      </c>
    </row>
    <row r="570" spans="1:10" x14ac:dyDescent="0.3">
      <c r="A570" s="2">
        <v>569</v>
      </c>
      <c r="B570" s="3">
        <v>40568</v>
      </c>
      <c r="C570" s="2">
        <v>1</v>
      </c>
      <c r="D570" s="2">
        <v>0</v>
      </c>
      <c r="E570" s="2">
        <v>1</v>
      </c>
      <c r="F570" s="2">
        <v>21</v>
      </c>
      <c r="G570" s="2" t="b">
        <v>0</v>
      </c>
      <c r="H570" s="2">
        <v>2</v>
      </c>
      <c r="I570" s="2">
        <v>1</v>
      </c>
      <c r="J570" s="2">
        <v>0.24</v>
      </c>
    </row>
    <row r="571" spans="1:10" x14ac:dyDescent="0.3">
      <c r="A571" s="2">
        <v>570</v>
      </c>
      <c r="B571" s="3">
        <v>40568</v>
      </c>
      <c r="C571" s="2">
        <v>1</v>
      </c>
      <c r="D571" s="2">
        <v>0</v>
      </c>
      <c r="E571" s="2">
        <v>1</v>
      </c>
      <c r="F571" s="2">
        <v>22</v>
      </c>
      <c r="G571" s="2" t="b">
        <v>0</v>
      </c>
      <c r="H571" s="2">
        <v>2</v>
      </c>
      <c r="I571" s="2">
        <v>1</v>
      </c>
      <c r="J571" s="2">
        <v>0.22</v>
      </c>
    </row>
    <row r="572" spans="1:10" x14ac:dyDescent="0.3">
      <c r="A572" s="2">
        <v>571</v>
      </c>
      <c r="B572" s="3">
        <v>40568</v>
      </c>
      <c r="C572" s="2">
        <v>1</v>
      </c>
      <c r="D572" s="2">
        <v>0</v>
      </c>
      <c r="E572" s="2">
        <v>1</v>
      </c>
      <c r="F572" s="2">
        <v>23</v>
      </c>
      <c r="G572" s="2" t="b">
        <v>0</v>
      </c>
      <c r="H572" s="2">
        <v>2</v>
      </c>
      <c r="I572" s="2">
        <v>2</v>
      </c>
      <c r="J572" s="2">
        <v>0.22</v>
      </c>
    </row>
    <row r="573" spans="1:10" x14ac:dyDescent="0.3">
      <c r="A573" s="2">
        <v>572</v>
      </c>
      <c r="B573" s="3">
        <v>40569</v>
      </c>
      <c r="C573" s="2">
        <v>1</v>
      </c>
      <c r="D573" s="2">
        <v>0</v>
      </c>
      <c r="E573" s="2">
        <v>1</v>
      </c>
      <c r="F573" s="2">
        <v>0</v>
      </c>
      <c r="G573" s="2" t="b">
        <v>0</v>
      </c>
      <c r="H573" s="2">
        <v>3</v>
      </c>
      <c r="I573" s="2">
        <v>2</v>
      </c>
      <c r="J573" s="2">
        <v>0.22</v>
      </c>
    </row>
    <row r="574" spans="1:10" x14ac:dyDescent="0.3">
      <c r="A574" s="2">
        <v>573</v>
      </c>
      <c r="B574" s="3">
        <v>40569</v>
      </c>
      <c r="C574" s="2">
        <v>1</v>
      </c>
      <c r="D574" s="2">
        <v>0</v>
      </c>
      <c r="E574" s="2">
        <v>1</v>
      </c>
      <c r="F574" s="2">
        <v>1</v>
      </c>
      <c r="G574" s="2" t="b">
        <v>0</v>
      </c>
      <c r="H574" s="2">
        <v>3</v>
      </c>
      <c r="I574" s="2">
        <v>2</v>
      </c>
      <c r="J574" s="2">
        <v>0.24</v>
      </c>
    </row>
    <row r="575" spans="1:10" x14ac:dyDescent="0.3">
      <c r="A575" s="2">
        <v>574</v>
      </c>
      <c r="B575" s="3">
        <v>40569</v>
      </c>
      <c r="C575" s="2">
        <v>1</v>
      </c>
      <c r="D575" s="2">
        <v>0</v>
      </c>
      <c r="E575" s="2">
        <v>1</v>
      </c>
      <c r="F575" s="2">
        <v>2</v>
      </c>
      <c r="G575" s="2" t="b">
        <v>0</v>
      </c>
      <c r="H575" s="2">
        <v>3</v>
      </c>
      <c r="I575" s="2">
        <v>3</v>
      </c>
      <c r="J575" s="2">
        <v>0.22</v>
      </c>
    </row>
    <row r="576" spans="1:10" x14ac:dyDescent="0.3">
      <c r="A576" s="2">
        <v>575</v>
      </c>
      <c r="B576" s="3">
        <v>40569</v>
      </c>
      <c r="C576" s="2">
        <v>1</v>
      </c>
      <c r="D576" s="2">
        <v>0</v>
      </c>
      <c r="E576" s="2">
        <v>1</v>
      </c>
      <c r="F576" s="2">
        <v>5</v>
      </c>
      <c r="G576" s="2" t="b">
        <v>0</v>
      </c>
      <c r="H576" s="2">
        <v>3</v>
      </c>
      <c r="I576" s="2">
        <v>3</v>
      </c>
      <c r="J576" s="2">
        <v>0.2</v>
      </c>
    </row>
    <row r="577" spans="1:10" x14ac:dyDescent="0.3">
      <c r="A577" s="2">
        <v>576</v>
      </c>
      <c r="B577" s="3">
        <v>40569</v>
      </c>
      <c r="C577" s="2">
        <v>1</v>
      </c>
      <c r="D577" s="2">
        <v>0</v>
      </c>
      <c r="E577" s="2">
        <v>1</v>
      </c>
      <c r="F577" s="2">
        <v>6</v>
      </c>
      <c r="G577" s="2" t="b">
        <v>0</v>
      </c>
      <c r="H577" s="2">
        <v>3</v>
      </c>
      <c r="I577" s="2">
        <v>3</v>
      </c>
      <c r="J577" s="2">
        <v>0.2</v>
      </c>
    </row>
    <row r="578" spans="1:10" x14ac:dyDescent="0.3">
      <c r="A578" s="2">
        <v>577</v>
      </c>
      <c r="B578" s="3">
        <v>40569</v>
      </c>
      <c r="C578" s="2">
        <v>1</v>
      </c>
      <c r="D578" s="2">
        <v>0</v>
      </c>
      <c r="E578" s="2">
        <v>1</v>
      </c>
      <c r="F578" s="2">
        <v>7</v>
      </c>
      <c r="G578" s="2" t="b">
        <v>0</v>
      </c>
      <c r="H578" s="2">
        <v>3</v>
      </c>
      <c r="I578" s="2">
        <v>3</v>
      </c>
      <c r="J578" s="2">
        <v>0.22</v>
      </c>
    </row>
    <row r="579" spans="1:10" x14ac:dyDescent="0.3">
      <c r="A579" s="2">
        <v>578</v>
      </c>
      <c r="B579" s="3">
        <v>40569</v>
      </c>
      <c r="C579" s="2">
        <v>1</v>
      </c>
      <c r="D579" s="2">
        <v>0</v>
      </c>
      <c r="E579" s="2">
        <v>1</v>
      </c>
      <c r="F579" s="2">
        <v>8</v>
      </c>
      <c r="G579" s="2" t="b">
        <v>0</v>
      </c>
      <c r="H579" s="2">
        <v>3</v>
      </c>
      <c r="I579" s="2">
        <v>3</v>
      </c>
      <c r="J579" s="2">
        <v>0.22</v>
      </c>
    </row>
    <row r="580" spans="1:10" x14ac:dyDescent="0.3">
      <c r="A580" s="2">
        <v>579</v>
      </c>
      <c r="B580" s="3">
        <v>40569</v>
      </c>
      <c r="C580" s="2">
        <v>1</v>
      </c>
      <c r="D580" s="2">
        <v>0</v>
      </c>
      <c r="E580" s="2">
        <v>1</v>
      </c>
      <c r="F580" s="2">
        <v>9</v>
      </c>
      <c r="G580" s="2" t="b">
        <v>0</v>
      </c>
      <c r="H580" s="2">
        <v>3</v>
      </c>
      <c r="I580" s="2">
        <v>3</v>
      </c>
      <c r="J580" s="2">
        <v>0.22</v>
      </c>
    </row>
    <row r="581" spans="1:10" x14ac:dyDescent="0.3">
      <c r="A581" s="2">
        <v>580</v>
      </c>
      <c r="B581" s="3">
        <v>40569</v>
      </c>
      <c r="C581" s="2">
        <v>1</v>
      </c>
      <c r="D581" s="2">
        <v>0</v>
      </c>
      <c r="E581" s="2">
        <v>1</v>
      </c>
      <c r="F581" s="2">
        <v>10</v>
      </c>
      <c r="G581" s="2" t="b">
        <v>0</v>
      </c>
      <c r="H581" s="2">
        <v>3</v>
      </c>
      <c r="I581" s="2">
        <v>3</v>
      </c>
      <c r="J581" s="2">
        <v>0.22</v>
      </c>
    </row>
    <row r="582" spans="1:10" x14ac:dyDescent="0.3">
      <c r="A582" s="2">
        <v>581</v>
      </c>
      <c r="B582" s="3">
        <v>40569</v>
      </c>
      <c r="C582" s="2">
        <v>1</v>
      </c>
      <c r="D582" s="2">
        <v>0</v>
      </c>
      <c r="E582" s="2">
        <v>1</v>
      </c>
      <c r="F582" s="2">
        <v>11</v>
      </c>
      <c r="G582" s="2" t="b">
        <v>0</v>
      </c>
      <c r="H582" s="2">
        <v>3</v>
      </c>
      <c r="I582" s="2">
        <v>3</v>
      </c>
      <c r="J582" s="2">
        <v>0.22</v>
      </c>
    </row>
    <row r="583" spans="1:10" x14ac:dyDescent="0.3">
      <c r="A583" s="2">
        <v>582</v>
      </c>
      <c r="B583" s="3">
        <v>40569</v>
      </c>
      <c r="C583" s="2">
        <v>1</v>
      </c>
      <c r="D583" s="2">
        <v>0</v>
      </c>
      <c r="E583" s="2">
        <v>1</v>
      </c>
      <c r="F583" s="2">
        <v>12</v>
      </c>
      <c r="G583" s="2" t="b">
        <v>0</v>
      </c>
      <c r="H583" s="2">
        <v>3</v>
      </c>
      <c r="I583" s="2">
        <v>3</v>
      </c>
      <c r="J583" s="2">
        <v>0.22</v>
      </c>
    </row>
    <row r="584" spans="1:10" x14ac:dyDescent="0.3">
      <c r="A584" s="2">
        <v>583</v>
      </c>
      <c r="B584" s="3">
        <v>40569</v>
      </c>
      <c r="C584" s="2">
        <v>1</v>
      </c>
      <c r="D584" s="2">
        <v>0</v>
      </c>
      <c r="E584" s="2">
        <v>1</v>
      </c>
      <c r="F584" s="2">
        <v>13</v>
      </c>
      <c r="G584" s="2" t="b">
        <v>0</v>
      </c>
      <c r="H584" s="2">
        <v>3</v>
      </c>
      <c r="I584" s="2">
        <v>3</v>
      </c>
      <c r="J584" s="2">
        <v>0.22</v>
      </c>
    </row>
    <row r="585" spans="1:10" x14ac:dyDescent="0.3">
      <c r="A585" s="2">
        <v>584</v>
      </c>
      <c r="B585" s="3">
        <v>40569</v>
      </c>
      <c r="C585" s="2">
        <v>1</v>
      </c>
      <c r="D585" s="2">
        <v>0</v>
      </c>
      <c r="E585" s="2">
        <v>1</v>
      </c>
      <c r="F585" s="2">
        <v>14</v>
      </c>
      <c r="G585" s="2" t="b">
        <v>0</v>
      </c>
      <c r="H585" s="2">
        <v>3</v>
      </c>
      <c r="I585" s="2">
        <v>3</v>
      </c>
      <c r="J585" s="2">
        <v>0.22</v>
      </c>
    </row>
    <row r="586" spans="1:10" x14ac:dyDescent="0.3">
      <c r="A586" s="2">
        <v>585</v>
      </c>
      <c r="B586" s="3">
        <v>40569</v>
      </c>
      <c r="C586" s="2">
        <v>1</v>
      </c>
      <c r="D586" s="2">
        <v>0</v>
      </c>
      <c r="E586" s="2">
        <v>1</v>
      </c>
      <c r="F586" s="2">
        <v>15</v>
      </c>
      <c r="G586" s="2" t="b">
        <v>0</v>
      </c>
      <c r="H586" s="2">
        <v>3</v>
      </c>
      <c r="I586" s="2">
        <v>3</v>
      </c>
      <c r="J586" s="2">
        <v>0.22</v>
      </c>
    </row>
    <row r="587" spans="1:10" x14ac:dyDescent="0.3">
      <c r="A587" s="2">
        <v>586</v>
      </c>
      <c r="B587" s="3">
        <v>40569</v>
      </c>
      <c r="C587" s="2">
        <v>1</v>
      </c>
      <c r="D587" s="2">
        <v>0</v>
      </c>
      <c r="E587" s="2">
        <v>1</v>
      </c>
      <c r="F587" s="2">
        <v>16</v>
      </c>
      <c r="G587" s="2" t="b">
        <v>0</v>
      </c>
      <c r="H587" s="2">
        <v>3</v>
      </c>
      <c r="I587" s="2">
        <v>4</v>
      </c>
      <c r="J587" s="2">
        <v>0.22</v>
      </c>
    </row>
    <row r="588" spans="1:10" x14ac:dyDescent="0.3">
      <c r="A588" s="2">
        <v>587</v>
      </c>
      <c r="B588" s="3">
        <v>40569</v>
      </c>
      <c r="C588" s="2">
        <v>1</v>
      </c>
      <c r="D588" s="2">
        <v>0</v>
      </c>
      <c r="E588" s="2">
        <v>1</v>
      </c>
      <c r="F588" s="2">
        <v>17</v>
      </c>
      <c r="G588" s="2" t="b">
        <v>0</v>
      </c>
      <c r="H588" s="2">
        <v>3</v>
      </c>
      <c r="I588" s="2">
        <v>3</v>
      </c>
      <c r="J588" s="2">
        <v>0.2</v>
      </c>
    </row>
    <row r="589" spans="1:10" x14ac:dyDescent="0.3">
      <c r="A589" s="2">
        <v>588</v>
      </c>
      <c r="B589" s="3">
        <v>40570</v>
      </c>
      <c r="C589" s="2">
        <v>1</v>
      </c>
      <c r="D589" s="2">
        <v>0</v>
      </c>
      <c r="E589" s="2">
        <v>1</v>
      </c>
      <c r="F589" s="2">
        <v>16</v>
      </c>
      <c r="G589" s="2" t="b">
        <v>0</v>
      </c>
      <c r="H589" s="2">
        <v>4</v>
      </c>
      <c r="I589" s="2">
        <v>1</v>
      </c>
      <c r="J589" s="2">
        <v>0.22</v>
      </c>
    </row>
    <row r="590" spans="1:10" x14ac:dyDescent="0.3">
      <c r="A590" s="2">
        <v>589</v>
      </c>
      <c r="B590" s="3">
        <v>40570</v>
      </c>
      <c r="C590" s="2">
        <v>1</v>
      </c>
      <c r="D590" s="2">
        <v>0</v>
      </c>
      <c r="E590" s="2">
        <v>1</v>
      </c>
      <c r="F590" s="2">
        <v>17</v>
      </c>
      <c r="G590" s="2" t="b">
        <v>0</v>
      </c>
      <c r="H590" s="2">
        <v>4</v>
      </c>
      <c r="I590" s="2">
        <v>1</v>
      </c>
      <c r="J590" s="2">
        <v>0.22</v>
      </c>
    </row>
    <row r="591" spans="1:10" x14ac:dyDescent="0.3">
      <c r="A591" s="2">
        <v>590</v>
      </c>
      <c r="B591" s="3">
        <v>40570</v>
      </c>
      <c r="C591" s="2">
        <v>1</v>
      </c>
      <c r="D591" s="2">
        <v>0</v>
      </c>
      <c r="E591" s="2">
        <v>1</v>
      </c>
      <c r="F591" s="2">
        <v>18</v>
      </c>
      <c r="G591" s="2" t="b">
        <v>0</v>
      </c>
      <c r="H591" s="2">
        <v>4</v>
      </c>
      <c r="I591" s="2">
        <v>1</v>
      </c>
      <c r="J591" s="2">
        <v>0.2</v>
      </c>
    </row>
    <row r="592" spans="1:10" x14ac:dyDescent="0.3">
      <c r="A592" s="2">
        <v>591</v>
      </c>
      <c r="B592" s="3">
        <v>40570</v>
      </c>
      <c r="C592" s="2">
        <v>1</v>
      </c>
      <c r="D592" s="2">
        <v>0</v>
      </c>
      <c r="E592" s="2">
        <v>1</v>
      </c>
      <c r="F592" s="2">
        <v>19</v>
      </c>
      <c r="G592" s="2" t="b">
        <v>0</v>
      </c>
      <c r="H592" s="2">
        <v>4</v>
      </c>
      <c r="I592" s="2">
        <v>1</v>
      </c>
      <c r="J592" s="2">
        <v>0.2</v>
      </c>
    </row>
    <row r="593" spans="1:10" x14ac:dyDescent="0.3">
      <c r="A593" s="2">
        <v>592</v>
      </c>
      <c r="B593" s="3">
        <v>40570</v>
      </c>
      <c r="C593" s="2">
        <v>1</v>
      </c>
      <c r="D593" s="2">
        <v>0</v>
      </c>
      <c r="E593" s="2">
        <v>1</v>
      </c>
      <c r="F593" s="2">
        <v>20</v>
      </c>
      <c r="G593" s="2" t="b">
        <v>0</v>
      </c>
      <c r="H593" s="2">
        <v>4</v>
      </c>
      <c r="I593" s="2">
        <v>1</v>
      </c>
      <c r="J593" s="2">
        <v>0.18</v>
      </c>
    </row>
    <row r="594" spans="1:10" x14ac:dyDescent="0.3">
      <c r="A594" s="2">
        <v>593</v>
      </c>
      <c r="B594" s="3">
        <v>40570</v>
      </c>
      <c r="C594" s="2">
        <v>1</v>
      </c>
      <c r="D594" s="2">
        <v>0</v>
      </c>
      <c r="E594" s="2">
        <v>1</v>
      </c>
      <c r="F594" s="2">
        <v>21</v>
      </c>
      <c r="G594" s="2" t="b">
        <v>0</v>
      </c>
      <c r="H594" s="2">
        <v>4</v>
      </c>
      <c r="I594" s="2">
        <v>1</v>
      </c>
      <c r="J594" s="2">
        <v>0.18</v>
      </c>
    </row>
    <row r="595" spans="1:10" x14ac:dyDescent="0.3">
      <c r="A595" s="2">
        <v>594</v>
      </c>
      <c r="B595" s="3">
        <v>40570</v>
      </c>
      <c r="C595" s="2">
        <v>1</v>
      </c>
      <c r="D595" s="2">
        <v>0</v>
      </c>
      <c r="E595" s="2">
        <v>1</v>
      </c>
      <c r="F595" s="2">
        <v>22</v>
      </c>
      <c r="G595" s="2" t="b">
        <v>0</v>
      </c>
      <c r="H595" s="2">
        <v>4</v>
      </c>
      <c r="I595" s="2">
        <v>1</v>
      </c>
      <c r="J595" s="2">
        <v>0.18</v>
      </c>
    </row>
    <row r="596" spans="1:10" x14ac:dyDescent="0.3">
      <c r="A596" s="2">
        <v>595</v>
      </c>
      <c r="B596" s="3">
        <v>40570</v>
      </c>
      <c r="C596" s="2">
        <v>1</v>
      </c>
      <c r="D596" s="2">
        <v>0</v>
      </c>
      <c r="E596" s="2">
        <v>1</v>
      </c>
      <c r="F596" s="2">
        <v>23</v>
      </c>
      <c r="G596" s="2" t="b">
        <v>0</v>
      </c>
      <c r="H596" s="2">
        <v>4</v>
      </c>
      <c r="I596" s="2">
        <v>1</v>
      </c>
      <c r="J596" s="2">
        <v>0.18</v>
      </c>
    </row>
    <row r="597" spans="1:10" x14ac:dyDescent="0.3">
      <c r="A597" s="2">
        <v>596</v>
      </c>
      <c r="B597" s="3">
        <v>40571</v>
      </c>
      <c r="C597" s="2">
        <v>1</v>
      </c>
      <c r="D597" s="2">
        <v>0</v>
      </c>
      <c r="E597" s="2">
        <v>1</v>
      </c>
      <c r="F597" s="2">
        <v>0</v>
      </c>
      <c r="G597" s="2" t="b">
        <v>0</v>
      </c>
      <c r="H597" s="2">
        <v>5</v>
      </c>
      <c r="I597" s="2">
        <v>2</v>
      </c>
      <c r="J597" s="2">
        <v>0.2</v>
      </c>
    </row>
    <row r="598" spans="1:10" x14ac:dyDescent="0.3">
      <c r="A598" s="2">
        <v>597</v>
      </c>
      <c r="B598" s="3">
        <v>40571</v>
      </c>
      <c r="C598" s="2">
        <v>1</v>
      </c>
      <c r="D598" s="2">
        <v>0</v>
      </c>
      <c r="E598" s="2">
        <v>1</v>
      </c>
      <c r="F598" s="2">
        <v>1</v>
      </c>
      <c r="G598" s="2" t="b">
        <v>0</v>
      </c>
      <c r="H598" s="2">
        <v>5</v>
      </c>
      <c r="I598" s="2">
        <v>2</v>
      </c>
      <c r="J598" s="2">
        <v>0.2</v>
      </c>
    </row>
    <row r="599" spans="1:10" x14ac:dyDescent="0.3">
      <c r="A599" s="2">
        <v>598</v>
      </c>
      <c r="B599" s="3">
        <v>40571</v>
      </c>
      <c r="C599" s="2">
        <v>1</v>
      </c>
      <c r="D599" s="2">
        <v>0</v>
      </c>
      <c r="E599" s="2">
        <v>1</v>
      </c>
      <c r="F599" s="2">
        <v>2</v>
      </c>
      <c r="G599" s="2" t="b">
        <v>0</v>
      </c>
      <c r="H599" s="2">
        <v>5</v>
      </c>
      <c r="I599" s="2">
        <v>2</v>
      </c>
      <c r="J599" s="2">
        <v>0.2</v>
      </c>
    </row>
    <row r="600" spans="1:10" x14ac:dyDescent="0.3">
      <c r="A600" s="2">
        <v>599</v>
      </c>
      <c r="B600" s="3">
        <v>40571</v>
      </c>
      <c r="C600" s="2">
        <v>1</v>
      </c>
      <c r="D600" s="2">
        <v>0</v>
      </c>
      <c r="E600" s="2">
        <v>1</v>
      </c>
      <c r="F600" s="2">
        <v>3</v>
      </c>
      <c r="G600" s="2" t="b">
        <v>0</v>
      </c>
      <c r="H600" s="2">
        <v>5</v>
      </c>
      <c r="I600" s="2">
        <v>2</v>
      </c>
      <c r="J600" s="2">
        <v>0.2</v>
      </c>
    </row>
    <row r="601" spans="1:10" x14ac:dyDescent="0.3">
      <c r="A601" s="2">
        <v>600</v>
      </c>
      <c r="B601" s="3">
        <v>40571</v>
      </c>
      <c r="C601" s="2">
        <v>1</v>
      </c>
      <c r="D601" s="2">
        <v>0</v>
      </c>
      <c r="E601" s="2">
        <v>1</v>
      </c>
      <c r="F601" s="2">
        <v>5</v>
      </c>
      <c r="G601" s="2" t="b">
        <v>0</v>
      </c>
      <c r="H601" s="2">
        <v>5</v>
      </c>
      <c r="I601" s="2">
        <v>2</v>
      </c>
      <c r="J601" s="2">
        <v>0.18</v>
      </c>
    </row>
    <row r="602" spans="1:10" x14ac:dyDescent="0.3">
      <c r="A602" s="2">
        <v>601</v>
      </c>
      <c r="B602" s="3">
        <v>40571</v>
      </c>
      <c r="C602" s="2">
        <v>1</v>
      </c>
      <c r="D602" s="2">
        <v>0</v>
      </c>
      <c r="E602" s="2">
        <v>1</v>
      </c>
      <c r="F602" s="2">
        <v>6</v>
      </c>
      <c r="G602" s="2" t="b">
        <v>0</v>
      </c>
      <c r="H602" s="2">
        <v>5</v>
      </c>
      <c r="I602" s="2">
        <v>2</v>
      </c>
      <c r="J602" s="2">
        <v>0.18</v>
      </c>
    </row>
    <row r="603" spans="1:10" x14ac:dyDescent="0.3">
      <c r="A603" s="2">
        <v>602</v>
      </c>
      <c r="B603" s="3">
        <v>40571</v>
      </c>
      <c r="C603" s="2">
        <v>1</v>
      </c>
      <c r="D603" s="2">
        <v>0</v>
      </c>
      <c r="E603" s="2">
        <v>1</v>
      </c>
      <c r="F603" s="2">
        <v>7</v>
      </c>
      <c r="G603" s="2" t="b">
        <v>0</v>
      </c>
      <c r="H603" s="2">
        <v>5</v>
      </c>
      <c r="I603" s="2">
        <v>2</v>
      </c>
      <c r="J603" s="2">
        <v>0.16</v>
      </c>
    </row>
    <row r="604" spans="1:10" x14ac:dyDescent="0.3">
      <c r="A604" s="2">
        <v>603</v>
      </c>
      <c r="B604" s="3">
        <v>40571</v>
      </c>
      <c r="C604" s="2">
        <v>1</v>
      </c>
      <c r="D604" s="2">
        <v>0</v>
      </c>
      <c r="E604" s="2">
        <v>1</v>
      </c>
      <c r="F604" s="2">
        <v>8</v>
      </c>
      <c r="G604" s="2" t="b">
        <v>0</v>
      </c>
      <c r="H604" s="2">
        <v>5</v>
      </c>
      <c r="I604" s="2">
        <v>2</v>
      </c>
      <c r="J604" s="2">
        <v>0.16</v>
      </c>
    </row>
    <row r="605" spans="1:10" x14ac:dyDescent="0.3">
      <c r="A605" s="2">
        <v>604</v>
      </c>
      <c r="B605" s="3">
        <v>40571</v>
      </c>
      <c r="C605" s="2">
        <v>1</v>
      </c>
      <c r="D605" s="2">
        <v>0</v>
      </c>
      <c r="E605" s="2">
        <v>1</v>
      </c>
      <c r="F605" s="2">
        <v>9</v>
      </c>
      <c r="G605" s="2" t="b">
        <v>0</v>
      </c>
      <c r="H605" s="2">
        <v>5</v>
      </c>
      <c r="I605" s="2">
        <v>3</v>
      </c>
      <c r="J605" s="2">
        <v>0.18</v>
      </c>
    </row>
    <row r="606" spans="1:10" x14ac:dyDescent="0.3">
      <c r="A606" s="2">
        <v>605</v>
      </c>
      <c r="B606" s="3">
        <v>40571</v>
      </c>
      <c r="C606" s="2">
        <v>1</v>
      </c>
      <c r="D606" s="2">
        <v>0</v>
      </c>
      <c r="E606" s="2">
        <v>1</v>
      </c>
      <c r="F606" s="2">
        <v>10</v>
      </c>
      <c r="G606" s="2" t="b">
        <v>0</v>
      </c>
      <c r="H606" s="2">
        <v>5</v>
      </c>
      <c r="I606" s="2">
        <v>3</v>
      </c>
      <c r="J606" s="2">
        <v>0.18</v>
      </c>
    </row>
    <row r="607" spans="1:10" x14ac:dyDescent="0.3">
      <c r="A607" s="2">
        <v>606</v>
      </c>
      <c r="B607" s="3">
        <v>40571</v>
      </c>
      <c r="C607" s="2">
        <v>1</v>
      </c>
      <c r="D607" s="2">
        <v>0</v>
      </c>
      <c r="E607" s="2">
        <v>1</v>
      </c>
      <c r="F607" s="2">
        <v>11</v>
      </c>
      <c r="G607" s="2" t="b">
        <v>0</v>
      </c>
      <c r="H607" s="2">
        <v>5</v>
      </c>
      <c r="I607" s="2">
        <v>3</v>
      </c>
      <c r="J607" s="2">
        <v>0.18</v>
      </c>
    </row>
    <row r="608" spans="1:10" x14ac:dyDescent="0.3">
      <c r="A608" s="2">
        <v>607</v>
      </c>
      <c r="B608" s="3">
        <v>40571</v>
      </c>
      <c r="C608" s="2">
        <v>1</v>
      </c>
      <c r="D608" s="2">
        <v>0</v>
      </c>
      <c r="E608" s="2">
        <v>1</v>
      </c>
      <c r="F608" s="2">
        <v>12</v>
      </c>
      <c r="G608" s="2" t="b">
        <v>0</v>
      </c>
      <c r="H608" s="2">
        <v>5</v>
      </c>
      <c r="I608" s="2">
        <v>3</v>
      </c>
      <c r="J608" s="2">
        <v>0.18</v>
      </c>
    </row>
    <row r="609" spans="1:10" x14ac:dyDescent="0.3">
      <c r="A609" s="2">
        <v>608</v>
      </c>
      <c r="B609" s="3">
        <v>40571</v>
      </c>
      <c r="C609" s="2">
        <v>1</v>
      </c>
      <c r="D609" s="2">
        <v>0</v>
      </c>
      <c r="E609" s="2">
        <v>1</v>
      </c>
      <c r="F609" s="2">
        <v>13</v>
      </c>
      <c r="G609" s="2" t="b">
        <v>0</v>
      </c>
      <c r="H609" s="2">
        <v>5</v>
      </c>
      <c r="I609" s="2">
        <v>3</v>
      </c>
      <c r="J609" s="2">
        <v>0.18</v>
      </c>
    </row>
    <row r="610" spans="1:10" x14ac:dyDescent="0.3">
      <c r="A610" s="2">
        <v>609</v>
      </c>
      <c r="B610" s="3">
        <v>40571</v>
      </c>
      <c r="C610" s="2">
        <v>1</v>
      </c>
      <c r="D610" s="2">
        <v>0</v>
      </c>
      <c r="E610" s="2">
        <v>1</v>
      </c>
      <c r="F610" s="2">
        <v>14</v>
      </c>
      <c r="G610" s="2" t="b">
        <v>0</v>
      </c>
      <c r="H610" s="2">
        <v>5</v>
      </c>
      <c r="I610" s="2">
        <v>3</v>
      </c>
      <c r="J610" s="2">
        <v>0.22</v>
      </c>
    </row>
    <row r="611" spans="1:10" x14ac:dyDescent="0.3">
      <c r="A611" s="2">
        <v>610</v>
      </c>
      <c r="B611" s="3">
        <v>40571</v>
      </c>
      <c r="C611" s="2">
        <v>1</v>
      </c>
      <c r="D611" s="2">
        <v>0</v>
      </c>
      <c r="E611" s="2">
        <v>1</v>
      </c>
      <c r="F611" s="2">
        <v>15</v>
      </c>
      <c r="G611" s="2" t="b">
        <v>0</v>
      </c>
      <c r="H611" s="2">
        <v>5</v>
      </c>
      <c r="I611" s="2">
        <v>2</v>
      </c>
      <c r="J611" s="2">
        <v>0.2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451FC-F26E-4A45-B96E-BF8EA4DC95D5}">
  <sheetPr codeName="Sheet2"/>
  <dimension ref="A1:G611"/>
  <sheetViews>
    <sheetView workbookViewId="0">
      <selection activeCell="I609" sqref="I609"/>
    </sheetView>
  </sheetViews>
  <sheetFormatPr defaultRowHeight="14.4" x14ac:dyDescent="0.3"/>
  <cols>
    <col min="1" max="1" width="11.21875" bestFit="1" customWidth="1"/>
    <col min="2" max="2" width="10.33203125" bestFit="1" customWidth="1"/>
    <col min="3" max="3" width="7.21875" bestFit="1" customWidth="1"/>
    <col min="4" max="4" width="11.88671875" bestFit="1" customWidth="1"/>
    <col min="5" max="5" width="13.109375" bestFit="1" customWidth="1"/>
    <col min="6" max="6" width="14.5546875" bestFit="1" customWidth="1"/>
    <col min="7" max="7" width="10.109375" bestFit="1" customWidth="1"/>
    <col min="8" max="8" width="14.5546875" bestFit="1" customWidth="1"/>
    <col min="9" max="9" width="10.109375" bestFit="1" customWidth="1"/>
  </cols>
  <sheetData>
    <row r="1" spans="1:7" x14ac:dyDescent="0.3">
      <c r="A1" s="2" t="s">
        <v>0</v>
      </c>
      <c r="B1" t="s">
        <v>16</v>
      </c>
      <c r="C1" t="s">
        <v>41</v>
      </c>
      <c r="D1" s="2" t="s">
        <v>17</v>
      </c>
      <c r="E1" s="2" t="s">
        <v>18</v>
      </c>
      <c r="F1" s="2" t="s">
        <v>19</v>
      </c>
      <c r="G1" s="2" t="s">
        <v>20</v>
      </c>
    </row>
    <row r="2" spans="1:7" x14ac:dyDescent="0.3">
      <c r="A2" s="2">
        <v>1</v>
      </c>
      <c r="B2" s="1">
        <v>40544</v>
      </c>
      <c r="C2">
        <v>0</v>
      </c>
      <c r="D2" s="2" t="b">
        <v>0</v>
      </c>
      <c r="E2" s="2" t="s">
        <v>29</v>
      </c>
      <c r="F2" s="2" t="s">
        <v>30</v>
      </c>
      <c r="G2" s="2">
        <v>0.24</v>
      </c>
    </row>
    <row r="3" spans="1:7" x14ac:dyDescent="0.3">
      <c r="A3" s="2">
        <v>2</v>
      </c>
      <c r="B3" s="1">
        <v>40544</v>
      </c>
      <c r="C3">
        <v>1</v>
      </c>
      <c r="D3" s="2" t="b">
        <v>0</v>
      </c>
      <c r="E3" s="2" t="s">
        <v>29</v>
      </c>
      <c r="F3" s="2" t="s">
        <v>30</v>
      </c>
      <c r="G3" s="2">
        <v>0.22</v>
      </c>
    </row>
    <row r="4" spans="1:7" x14ac:dyDescent="0.3">
      <c r="A4" s="2">
        <v>3</v>
      </c>
      <c r="B4" s="1">
        <v>40544</v>
      </c>
      <c r="C4">
        <v>2</v>
      </c>
      <c r="D4" s="2" t="b">
        <v>0</v>
      </c>
      <c r="E4" s="2" t="s">
        <v>29</v>
      </c>
      <c r="F4" s="2" t="s">
        <v>30</v>
      </c>
      <c r="G4" s="2">
        <v>0.22</v>
      </c>
    </row>
    <row r="5" spans="1:7" x14ac:dyDescent="0.3">
      <c r="A5" s="2">
        <v>4</v>
      </c>
      <c r="B5" s="1">
        <v>40544</v>
      </c>
      <c r="C5">
        <v>3</v>
      </c>
      <c r="D5" s="2" t="b">
        <v>0</v>
      </c>
      <c r="E5" s="2" t="s">
        <v>29</v>
      </c>
      <c r="F5" s="2" t="s">
        <v>30</v>
      </c>
      <c r="G5" s="2">
        <v>0.24</v>
      </c>
    </row>
    <row r="6" spans="1:7" x14ac:dyDescent="0.3">
      <c r="A6" s="2">
        <v>5</v>
      </c>
      <c r="B6" s="1">
        <v>40544</v>
      </c>
      <c r="C6">
        <v>4</v>
      </c>
      <c r="D6" s="2" t="b">
        <v>0</v>
      </c>
      <c r="E6" s="2" t="s">
        <v>29</v>
      </c>
      <c r="F6" s="2" t="s">
        <v>30</v>
      </c>
      <c r="G6" s="2">
        <v>0.24</v>
      </c>
    </row>
    <row r="7" spans="1:7" x14ac:dyDescent="0.3">
      <c r="A7" s="2">
        <v>6</v>
      </c>
      <c r="B7" s="1">
        <v>40544</v>
      </c>
      <c r="C7">
        <v>5</v>
      </c>
      <c r="D7" s="2" t="b">
        <v>0</v>
      </c>
      <c r="E7" s="2" t="s">
        <v>29</v>
      </c>
      <c r="F7" s="2" t="s">
        <v>31</v>
      </c>
      <c r="G7" s="2">
        <v>0.24</v>
      </c>
    </row>
    <row r="8" spans="1:7" x14ac:dyDescent="0.3">
      <c r="A8" s="2">
        <v>7</v>
      </c>
      <c r="B8" s="1">
        <v>40544</v>
      </c>
      <c r="C8">
        <v>6</v>
      </c>
      <c r="D8" s="2" t="b">
        <v>0</v>
      </c>
      <c r="E8" s="2" t="s">
        <v>29</v>
      </c>
      <c r="F8" s="2" t="s">
        <v>30</v>
      </c>
      <c r="G8" s="2">
        <v>0.22</v>
      </c>
    </row>
    <row r="9" spans="1:7" x14ac:dyDescent="0.3">
      <c r="A9" s="2">
        <v>8</v>
      </c>
      <c r="B9" s="1">
        <v>40544</v>
      </c>
      <c r="C9">
        <v>7</v>
      </c>
      <c r="D9" s="2" t="b">
        <v>0</v>
      </c>
      <c r="E9" s="2" t="s">
        <v>29</v>
      </c>
      <c r="F9" s="2" t="s">
        <v>30</v>
      </c>
      <c r="G9" s="2">
        <v>0.2</v>
      </c>
    </row>
    <row r="10" spans="1:7" x14ac:dyDescent="0.3">
      <c r="A10" s="2">
        <v>9</v>
      </c>
      <c r="B10" s="1">
        <v>40544</v>
      </c>
      <c r="C10">
        <v>8</v>
      </c>
      <c r="D10" s="2" t="b">
        <v>0</v>
      </c>
      <c r="E10" s="2" t="s">
        <v>29</v>
      </c>
      <c r="F10" s="2" t="s">
        <v>30</v>
      </c>
      <c r="G10" s="2">
        <v>0.24</v>
      </c>
    </row>
    <row r="11" spans="1:7" x14ac:dyDescent="0.3">
      <c r="A11" s="2">
        <v>10</v>
      </c>
      <c r="B11" s="1">
        <v>40544</v>
      </c>
      <c r="C11">
        <v>9</v>
      </c>
      <c r="D11" s="2" t="b">
        <v>0</v>
      </c>
      <c r="E11" s="2" t="s">
        <v>29</v>
      </c>
      <c r="F11" s="2" t="s">
        <v>30</v>
      </c>
      <c r="G11" s="2">
        <v>0.32</v>
      </c>
    </row>
    <row r="12" spans="1:7" x14ac:dyDescent="0.3">
      <c r="A12" s="2">
        <v>11</v>
      </c>
      <c r="B12" s="1">
        <v>40544</v>
      </c>
      <c r="C12">
        <v>10</v>
      </c>
      <c r="D12" s="2" t="b">
        <v>0</v>
      </c>
      <c r="E12" s="2" t="s">
        <v>29</v>
      </c>
      <c r="F12" s="2" t="s">
        <v>30</v>
      </c>
      <c r="G12" s="2">
        <v>0.38</v>
      </c>
    </row>
    <row r="13" spans="1:7" x14ac:dyDescent="0.3">
      <c r="A13" s="2">
        <v>12</v>
      </c>
      <c r="B13" s="1">
        <v>40544</v>
      </c>
      <c r="C13">
        <v>11</v>
      </c>
      <c r="D13" s="2" t="b">
        <v>0</v>
      </c>
      <c r="E13" s="2" t="s">
        <v>29</v>
      </c>
      <c r="F13" s="2" t="s">
        <v>30</v>
      </c>
      <c r="G13" s="2">
        <v>0.36</v>
      </c>
    </row>
    <row r="14" spans="1:7" x14ac:dyDescent="0.3">
      <c r="A14" s="2">
        <v>13</v>
      </c>
      <c r="B14" s="1">
        <v>40544</v>
      </c>
      <c r="C14">
        <v>12</v>
      </c>
      <c r="D14" s="2" t="b">
        <v>0</v>
      </c>
      <c r="E14" s="2" t="s">
        <v>29</v>
      </c>
      <c r="F14" s="2" t="s">
        <v>30</v>
      </c>
      <c r="G14" s="2">
        <v>0.42</v>
      </c>
    </row>
    <row r="15" spans="1:7" x14ac:dyDescent="0.3">
      <c r="A15" s="2">
        <v>14</v>
      </c>
      <c r="B15" s="1">
        <v>40544</v>
      </c>
      <c r="C15">
        <v>13</v>
      </c>
      <c r="D15" s="2" t="b">
        <v>0</v>
      </c>
      <c r="E15" s="2" t="s">
        <v>29</v>
      </c>
      <c r="F15" s="2" t="s">
        <v>31</v>
      </c>
      <c r="G15" s="2">
        <v>0.46</v>
      </c>
    </row>
    <row r="16" spans="1:7" x14ac:dyDescent="0.3">
      <c r="A16" s="2">
        <v>15</v>
      </c>
      <c r="B16" s="1">
        <v>40544</v>
      </c>
      <c r="C16">
        <v>14</v>
      </c>
      <c r="D16" s="2" t="b">
        <v>0</v>
      </c>
      <c r="E16" s="2" t="s">
        <v>29</v>
      </c>
      <c r="F16" s="2" t="s">
        <v>31</v>
      </c>
      <c r="G16" s="2">
        <v>0.46</v>
      </c>
    </row>
    <row r="17" spans="1:7" x14ac:dyDescent="0.3">
      <c r="A17" s="2">
        <v>16</v>
      </c>
      <c r="B17" s="1">
        <v>40544</v>
      </c>
      <c r="C17">
        <v>15</v>
      </c>
      <c r="D17" s="2" t="b">
        <v>0</v>
      </c>
      <c r="E17" s="2" t="s">
        <v>29</v>
      </c>
      <c r="F17" s="2" t="s">
        <v>31</v>
      </c>
      <c r="G17" s="2">
        <v>0.44</v>
      </c>
    </row>
    <row r="18" spans="1:7" x14ac:dyDescent="0.3">
      <c r="A18" s="2">
        <v>17</v>
      </c>
      <c r="B18" s="1">
        <v>40544</v>
      </c>
      <c r="C18">
        <v>16</v>
      </c>
      <c r="D18" s="2" t="b">
        <v>0</v>
      </c>
      <c r="E18" s="2" t="s">
        <v>29</v>
      </c>
      <c r="F18" s="2" t="s">
        <v>31</v>
      </c>
      <c r="G18" s="2">
        <v>0.42</v>
      </c>
    </row>
    <row r="19" spans="1:7" x14ac:dyDescent="0.3">
      <c r="A19" s="2">
        <v>18</v>
      </c>
      <c r="B19" s="1">
        <v>40544</v>
      </c>
      <c r="C19">
        <v>17</v>
      </c>
      <c r="D19" s="2" t="b">
        <v>0</v>
      </c>
      <c r="E19" s="2" t="s">
        <v>29</v>
      </c>
      <c r="F19" s="2" t="s">
        <v>31</v>
      </c>
      <c r="G19" s="2">
        <v>0.44</v>
      </c>
    </row>
    <row r="20" spans="1:7" x14ac:dyDescent="0.3">
      <c r="A20" s="2">
        <v>19</v>
      </c>
      <c r="B20" s="1">
        <v>40544</v>
      </c>
      <c r="C20">
        <v>18</v>
      </c>
      <c r="D20" s="2" t="b">
        <v>0</v>
      </c>
      <c r="E20" s="2" t="s">
        <v>29</v>
      </c>
      <c r="F20" s="2" t="s">
        <v>32</v>
      </c>
      <c r="G20" s="2">
        <v>0.42</v>
      </c>
    </row>
    <row r="21" spans="1:7" x14ac:dyDescent="0.3">
      <c r="A21" s="2">
        <v>20</v>
      </c>
      <c r="B21" s="1">
        <v>40544</v>
      </c>
      <c r="C21">
        <v>19</v>
      </c>
      <c r="D21" s="2" t="b">
        <v>0</v>
      </c>
      <c r="E21" s="2" t="s">
        <v>29</v>
      </c>
      <c r="F21" s="2" t="s">
        <v>32</v>
      </c>
      <c r="G21" s="2">
        <v>0.42</v>
      </c>
    </row>
    <row r="22" spans="1:7" x14ac:dyDescent="0.3">
      <c r="A22" s="2">
        <v>21</v>
      </c>
      <c r="B22" s="1">
        <v>40544</v>
      </c>
      <c r="C22">
        <v>20</v>
      </c>
      <c r="D22" s="2" t="b">
        <v>0</v>
      </c>
      <c r="E22" s="2" t="s">
        <v>29</v>
      </c>
      <c r="F22" s="2" t="s">
        <v>31</v>
      </c>
      <c r="G22" s="2">
        <v>0.4</v>
      </c>
    </row>
    <row r="23" spans="1:7" x14ac:dyDescent="0.3">
      <c r="A23" s="2">
        <v>22</v>
      </c>
      <c r="B23" s="1">
        <v>40544</v>
      </c>
      <c r="C23">
        <v>21</v>
      </c>
      <c r="D23" s="2" t="b">
        <v>0</v>
      </c>
      <c r="E23" s="2" t="s">
        <v>29</v>
      </c>
      <c r="F23" s="2" t="s">
        <v>31</v>
      </c>
      <c r="G23" s="2">
        <v>0.4</v>
      </c>
    </row>
    <row r="24" spans="1:7" x14ac:dyDescent="0.3">
      <c r="A24" s="2">
        <v>23</v>
      </c>
      <c r="B24" s="1">
        <v>40544</v>
      </c>
      <c r="C24">
        <v>22</v>
      </c>
      <c r="D24" s="2" t="b">
        <v>0</v>
      </c>
      <c r="E24" s="2" t="s">
        <v>29</v>
      </c>
      <c r="F24" s="2" t="s">
        <v>31</v>
      </c>
      <c r="G24" s="2">
        <v>0.4</v>
      </c>
    </row>
    <row r="25" spans="1:7" x14ac:dyDescent="0.3">
      <c r="A25" s="2">
        <v>24</v>
      </c>
      <c r="B25" s="1">
        <v>40544</v>
      </c>
      <c r="C25">
        <v>23</v>
      </c>
      <c r="D25" s="2" t="b">
        <v>0</v>
      </c>
      <c r="E25" s="2" t="s">
        <v>29</v>
      </c>
      <c r="F25" s="2" t="s">
        <v>31</v>
      </c>
      <c r="G25" s="2">
        <v>0.46</v>
      </c>
    </row>
    <row r="26" spans="1:7" x14ac:dyDescent="0.3">
      <c r="A26" s="2">
        <v>25</v>
      </c>
      <c r="B26" s="1">
        <v>40545</v>
      </c>
      <c r="C26">
        <v>0</v>
      </c>
      <c r="D26" s="2" t="b">
        <v>0</v>
      </c>
      <c r="E26" s="2" t="s">
        <v>23</v>
      </c>
      <c r="F26" s="2" t="s">
        <v>31</v>
      </c>
      <c r="G26" s="2">
        <v>0.46</v>
      </c>
    </row>
    <row r="27" spans="1:7" x14ac:dyDescent="0.3">
      <c r="A27" s="2">
        <v>26</v>
      </c>
      <c r="B27" s="1">
        <v>40545</v>
      </c>
      <c r="C27">
        <v>1</v>
      </c>
      <c r="D27" s="2" t="b">
        <v>0</v>
      </c>
      <c r="E27" s="2" t="s">
        <v>23</v>
      </c>
      <c r="F27" s="2" t="s">
        <v>31</v>
      </c>
      <c r="G27" s="2">
        <v>0.44</v>
      </c>
    </row>
    <row r="28" spans="1:7" x14ac:dyDescent="0.3">
      <c r="A28" s="2">
        <v>27</v>
      </c>
      <c r="B28" s="1">
        <v>40545</v>
      </c>
      <c r="C28">
        <v>2</v>
      </c>
      <c r="D28" s="2" t="b">
        <v>0</v>
      </c>
      <c r="E28" s="2" t="s">
        <v>23</v>
      </c>
      <c r="F28" s="2" t="s">
        <v>31</v>
      </c>
      <c r="G28" s="2">
        <v>0.42</v>
      </c>
    </row>
    <row r="29" spans="1:7" x14ac:dyDescent="0.3">
      <c r="A29" s="2">
        <v>28</v>
      </c>
      <c r="B29" s="1">
        <v>40545</v>
      </c>
      <c r="C29">
        <v>3</v>
      </c>
      <c r="D29" s="2" t="b">
        <v>0</v>
      </c>
      <c r="E29" s="2" t="s">
        <v>23</v>
      </c>
      <c r="F29" s="2" t="s">
        <v>31</v>
      </c>
      <c r="G29" s="2">
        <v>0.46</v>
      </c>
    </row>
    <row r="30" spans="1:7" x14ac:dyDescent="0.3">
      <c r="A30" s="2">
        <v>29</v>
      </c>
      <c r="B30" s="1">
        <v>40545</v>
      </c>
      <c r="C30">
        <v>4</v>
      </c>
      <c r="D30" s="2" t="b">
        <v>0</v>
      </c>
      <c r="E30" s="2" t="s">
        <v>23</v>
      </c>
      <c r="F30" s="2" t="s">
        <v>31</v>
      </c>
      <c r="G30" s="2">
        <v>0.46</v>
      </c>
    </row>
    <row r="31" spans="1:7" x14ac:dyDescent="0.3">
      <c r="A31" s="2">
        <v>30</v>
      </c>
      <c r="B31" s="1">
        <v>40545</v>
      </c>
      <c r="C31">
        <v>6</v>
      </c>
      <c r="D31" s="2" t="b">
        <v>0</v>
      </c>
      <c r="E31" s="2" t="s">
        <v>23</v>
      </c>
      <c r="F31" s="2" t="s">
        <v>32</v>
      </c>
      <c r="G31" s="2">
        <v>0.42</v>
      </c>
    </row>
    <row r="32" spans="1:7" x14ac:dyDescent="0.3">
      <c r="A32" s="2">
        <v>31</v>
      </c>
      <c r="B32" s="1">
        <v>40545</v>
      </c>
      <c r="C32">
        <v>7</v>
      </c>
      <c r="D32" s="2" t="b">
        <v>0</v>
      </c>
      <c r="E32" s="2" t="s">
        <v>23</v>
      </c>
      <c r="F32" s="2" t="s">
        <v>31</v>
      </c>
      <c r="G32" s="2">
        <v>0.4</v>
      </c>
    </row>
    <row r="33" spans="1:7" x14ac:dyDescent="0.3">
      <c r="A33" s="2">
        <v>32</v>
      </c>
      <c r="B33" s="1">
        <v>40545</v>
      </c>
      <c r="C33">
        <v>8</v>
      </c>
      <c r="D33" s="2" t="b">
        <v>0</v>
      </c>
      <c r="E33" s="2" t="s">
        <v>23</v>
      </c>
      <c r="F33" s="2" t="s">
        <v>32</v>
      </c>
      <c r="G33" s="2">
        <v>0.4</v>
      </c>
    </row>
    <row r="34" spans="1:7" x14ac:dyDescent="0.3">
      <c r="A34" s="2">
        <v>33</v>
      </c>
      <c r="B34" s="1">
        <v>40545</v>
      </c>
      <c r="C34">
        <v>9</v>
      </c>
      <c r="D34" s="2" t="b">
        <v>0</v>
      </c>
      <c r="E34" s="2" t="s">
        <v>23</v>
      </c>
      <c r="F34" s="2" t="s">
        <v>31</v>
      </c>
      <c r="G34" s="2">
        <v>0.38</v>
      </c>
    </row>
    <row r="35" spans="1:7" x14ac:dyDescent="0.3">
      <c r="A35" s="2">
        <v>34</v>
      </c>
      <c r="B35" s="1">
        <v>40545</v>
      </c>
      <c r="C35">
        <v>10</v>
      </c>
      <c r="D35" s="2" t="b">
        <v>0</v>
      </c>
      <c r="E35" s="2" t="s">
        <v>23</v>
      </c>
      <c r="F35" s="2" t="s">
        <v>31</v>
      </c>
      <c r="G35" s="2">
        <v>0.36</v>
      </c>
    </row>
    <row r="36" spans="1:7" x14ac:dyDescent="0.3">
      <c r="A36" s="2">
        <v>35</v>
      </c>
      <c r="B36" s="1">
        <v>40545</v>
      </c>
      <c r="C36">
        <v>11</v>
      </c>
      <c r="D36" s="2" t="b">
        <v>0</v>
      </c>
      <c r="E36" s="2" t="s">
        <v>23</v>
      </c>
      <c r="F36" s="2" t="s">
        <v>31</v>
      </c>
      <c r="G36" s="2">
        <v>0.36</v>
      </c>
    </row>
    <row r="37" spans="1:7" x14ac:dyDescent="0.3">
      <c r="A37" s="2">
        <v>36</v>
      </c>
      <c r="B37" s="1">
        <v>40545</v>
      </c>
      <c r="C37">
        <v>12</v>
      </c>
      <c r="D37" s="2" t="b">
        <v>0</v>
      </c>
      <c r="E37" s="2" t="s">
        <v>23</v>
      </c>
      <c r="F37" s="2" t="s">
        <v>31</v>
      </c>
      <c r="G37" s="2">
        <v>0.36</v>
      </c>
    </row>
    <row r="38" spans="1:7" x14ac:dyDescent="0.3">
      <c r="A38" s="2">
        <v>37</v>
      </c>
      <c r="B38" s="1">
        <v>40545</v>
      </c>
      <c r="C38">
        <v>13</v>
      </c>
      <c r="D38" s="2" t="b">
        <v>0</v>
      </c>
      <c r="E38" s="2" t="s">
        <v>23</v>
      </c>
      <c r="F38" s="2" t="s">
        <v>31</v>
      </c>
      <c r="G38" s="2">
        <v>0.36</v>
      </c>
    </row>
    <row r="39" spans="1:7" x14ac:dyDescent="0.3">
      <c r="A39" s="2">
        <v>38</v>
      </c>
      <c r="B39" s="1">
        <v>40545</v>
      </c>
      <c r="C39">
        <v>14</v>
      </c>
      <c r="D39" s="2" t="b">
        <v>0</v>
      </c>
      <c r="E39" s="2" t="s">
        <v>23</v>
      </c>
      <c r="F39" s="2" t="s">
        <v>32</v>
      </c>
      <c r="G39" s="2">
        <v>0.36</v>
      </c>
    </row>
    <row r="40" spans="1:7" x14ac:dyDescent="0.3">
      <c r="A40" s="2">
        <v>39</v>
      </c>
      <c r="B40" s="1">
        <v>40545</v>
      </c>
      <c r="C40">
        <v>15</v>
      </c>
      <c r="D40" s="2" t="b">
        <v>0</v>
      </c>
      <c r="E40" s="2" t="s">
        <v>23</v>
      </c>
      <c r="F40" s="2" t="s">
        <v>32</v>
      </c>
      <c r="G40" s="2">
        <v>0.34</v>
      </c>
    </row>
    <row r="41" spans="1:7" x14ac:dyDescent="0.3">
      <c r="A41" s="2">
        <v>40</v>
      </c>
      <c r="B41" s="1">
        <v>40545</v>
      </c>
      <c r="C41">
        <v>16</v>
      </c>
      <c r="D41" s="2" t="b">
        <v>0</v>
      </c>
      <c r="E41" s="2" t="s">
        <v>23</v>
      </c>
      <c r="F41" s="2" t="s">
        <v>32</v>
      </c>
      <c r="G41" s="2">
        <v>0.34</v>
      </c>
    </row>
    <row r="42" spans="1:7" x14ac:dyDescent="0.3">
      <c r="A42" s="2">
        <v>41</v>
      </c>
      <c r="B42" s="1">
        <v>40545</v>
      </c>
      <c r="C42">
        <v>17</v>
      </c>
      <c r="D42" s="2" t="b">
        <v>0</v>
      </c>
      <c r="E42" s="2" t="s">
        <v>23</v>
      </c>
      <c r="F42" s="2" t="s">
        <v>30</v>
      </c>
      <c r="G42" s="2">
        <v>0.34</v>
      </c>
    </row>
    <row r="43" spans="1:7" x14ac:dyDescent="0.3">
      <c r="A43" s="2">
        <v>42</v>
      </c>
      <c r="B43" s="1">
        <v>40545</v>
      </c>
      <c r="C43">
        <v>18</v>
      </c>
      <c r="D43" s="2" t="b">
        <v>0</v>
      </c>
      <c r="E43" s="2" t="s">
        <v>23</v>
      </c>
      <c r="F43" s="2" t="s">
        <v>31</v>
      </c>
      <c r="G43" s="2">
        <v>0.36</v>
      </c>
    </row>
    <row r="44" spans="1:7" x14ac:dyDescent="0.3">
      <c r="A44" s="2">
        <v>43</v>
      </c>
      <c r="B44" s="1">
        <v>40545</v>
      </c>
      <c r="C44">
        <v>19</v>
      </c>
      <c r="D44" s="2" t="b">
        <v>0</v>
      </c>
      <c r="E44" s="2" t="s">
        <v>23</v>
      </c>
      <c r="F44" s="2" t="s">
        <v>30</v>
      </c>
      <c r="G44" s="2">
        <v>0.32</v>
      </c>
    </row>
    <row r="45" spans="1:7" x14ac:dyDescent="0.3">
      <c r="A45" s="2">
        <v>44</v>
      </c>
      <c r="B45" s="1">
        <v>40545</v>
      </c>
      <c r="C45">
        <v>20</v>
      </c>
      <c r="D45" s="2" t="b">
        <v>0</v>
      </c>
      <c r="E45" s="2" t="s">
        <v>23</v>
      </c>
      <c r="F45" s="2" t="s">
        <v>30</v>
      </c>
      <c r="G45" s="2">
        <v>0.3</v>
      </c>
    </row>
    <row r="46" spans="1:7" x14ac:dyDescent="0.3">
      <c r="A46" s="2">
        <v>45</v>
      </c>
      <c r="B46" s="1">
        <v>40545</v>
      </c>
      <c r="C46">
        <v>21</v>
      </c>
      <c r="D46" s="2" t="b">
        <v>0</v>
      </c>
      <c r="E46" s="2" t="s">
        <v>23</v>
      </c>
      <c r="F46" s="2" t="s">
        <v>30</v>
      </c>
      <c r="G46" s="2">
        <v>0.26</v>
      </c>
    </row>
    <row r="47" spans="1:7" x14ac:dyDescent="0.3">
      <c r="A47" s="2">
        <v>46</v>
      </c>
      <c r="B47" s="1">
        <v>40545</v>
      </c>
      <c r="C47">
        <v>22</v>
      </c>
      <c r="D47" s="2" t="b">
        <v>0</v>
      </c>
      <c r="E47" s="2" t="s">
        <v>23</v>
      </c>
      <c r="F47" s="2" t="s">
        <v>30</v>
      </c>
      <c r="G47" s="2">
        <v>0.24</v>
      </c>
    </row>
    <row r="48" spans="1:7" x14ac:dyDescent="0.3">
      <c r="A48" s="2">
        <v>47</v>
      </c>
      <c r="B48" s="1">
        <v>40545</v>
      </c>
      <c r="C48">
        <v>23</v>
      </c>
      <c r="D48" s="2" t="b">
        <v>0</v>
      </c>
      <c r="E48" s="2" t="s">
        <v>23</v>
      </c>
      <c r="F48" s="2" t="s">
        <v>30</v>
      </c>
      <c r="G48" s="2">
        <v>0.22</v>
      </c>
    </row>
    <row r="49" spans="1:7" x14ac:dyDescent="0.3">
      <c r="A49" s="2">
        <v>48</v>
      </c>
      <c r="B49" s="1">
        <v>40546</v>
      </c>
      <c r="C49">
        <v>0</v>
      </c>
      <c r="D49" s="2" t="b">
        <v>0</v>
      </c>
      <c r="E49" s="2" t="s">
        <v>24</v>
      </c>
      <c r="F49" s="2" t="s">
        <v>30</v>
      </c>
      <c r="G49" s="2">
        <v>0.22</v>
      </c>
    </row>
    <row r="50" spans="1:7" x14ac:dyDescent="0.3">
      <c r="A50" s="2">
        <v>49</v>
      </c>
      <c r="B50" s="1">
        <v>40546</v>
      </c>
      <c r="C50">
        <v>1</v>
      </c>
      <c r="D50" s="2" t="b">
        <v>0</v>
      </c>
      <c r="E50" s="2" t="s">
        <v>24</v>
      </c>
      <c r="F50" s="2" t="s">
        <v>30</v>
      </c>
      <c r="G50" s="2">
        <v>0.2</v>
      </c>
    </row>
    <row r="51" spans="1:7" x14ac:dyDescent="0.3">
      <c r="A51" s="2">
        <v>50</v>
      </c>
      <c r="B51" s="1">
        <v>40546</v>
      </c>
      <c r="C51">
        <v>4</v>
      </c>
      <c r="D51" s="2" t="b">
        <v>0</v>
      </c>
      <c r="E51" s="2" t="s">
        <v>24</v>
      </c>
      <c r="F51" s="2" t="s">
        <v>30</v>
      </c>
      <c r="G51" s="2">
        <v>0.16</v>
      </c>
    </row>
    <row r="52" spans="1:7" x14ac:dyDescent="0.3">
      <c r="A52" s="2">
        <v>51</v>
      </c>
      <c r="B52" s="1">
        <v>40546</v>
      </c>
      <c r="C52">
        <v>5</v>
      </c>
      <c r="D52" s="2" t="b">
        <v>0</v>
      </c>
      <c r="E52" s="2" t="s">
        <v>24</v>
      </c>
      <c r="F52" s="2" t="s">
        <v>30</v>
      </c>
      <c r="G52" s="2">
        <v>0.16</v>
      </c>
    </row>
    <row r="53" spans="1:7" x14ac:dyDescent="0.3">
      <c r="A53" s="2">
        <v>52</v>
      </c>
      <c r="B53" s="1">
        <v>40546</v>
      </c>
      <c r="C53">
        <v>6</v>
      </c>
      <c r="D53" s="2" t="b">
        <v>0</v>
      </c>
      <c r="E53" s="2" t="s">
        <v>24</v>
      </c>
      <c r="F53" s="2" t="s">
        <v>30</v>
      </c>
      <c r="G53" s="2">
        <v>0.14000000000000001</v>
      </c>
    </row>
    <row r="54" spans="1:7" x14ac:dyDescent="0.3">
      <c r="A54" s="2">
        <v>53</v>
      </c>
      <c r="B54" s="1">
        <v>40546</v>
      </c>
      <c r="C54">
        <v>7</v>
      </c>
      <c r="D54" s="2" t="b">
        <v>0</v>
      </c>
      <c r="E54" s="2" t="s">
        <v>24</v>
      </c>
      <c r="F54" s="2" t="s">
        <v>30</v>
      </c>
      <c r="G54" s="2">
        <v>0.14000000000000001</v>
      </c>
    </row>
    <row r="55" spans="1:7" x14ac:dyDescent="0.3">
      <c r="A55" s="2">
        <v>54</v>
      </c>
      <c r="B55" s="1">
        <v>40546</v>
      </c>
      <c r="C55">
        <v>8</v>
      </c>
      <c r="D55" s="2" t="b">
        <v>0</v>
      </c>
      <c r="E55" s="2" t="s">
        <v>24</v>
      </c>
      <c r="F55" s="2" t="s">
        <v>30</v>
      </c>
      <c r="G55" s="2">
        <v>0.14000000000000001</v>
      </c>
    </row>
    <row r="56" spans="1:7" x14ac:dyDescent="0.3">
      <c r="A56" s="2">
        <v>55</v>
      </c>
      <c r="B56" s="1">
        <v>40546</v>
      </c>
      <c r="C56">
        <v>9</v>
      </c>
      <c r="D56" s="2" t="b">
        <v>0</v>
      </c>
      <c r="E56" s="2" t="s">
        <v>24</v>
      </c>
      <c r="F56" s="2" t="s">
        <v>30</v>
      </c>
      <c r="G56" s="2">
        <v>0.16</v>
      </c>
    </row>
    <row r="57" spans="1:7" x14ac:dyDescent="0.3">
      <c r="A57" s="2">
        <v>56</v>
      </c>
      <c r="B57" s="1">
        <v>40546</v>
      </c>
      <c r="C57">
        <v>10</v>
      </c>
      <c r="D57" s="2" t="b">
        <v>0</v>
      </c>
      <c r="E57" s="2" t="s">
        <v>24</v>
      </c>
      <c r="F57" s="2" t="s">
        <v>30</v>
      </c>
      <c r="G57" s="2">
        <v>0.18</v>
      </c>
    </row>
    <row r="58" spans="1:7" x14ac:dyDescent="0.3">
      <c r="A58" s="2">
        <v>57</v>
      </c>
      <c r="B58" s="1">
        <v>40546</v>
      </c>
      <c r="C58">
        <v>11</v>
      </c>
      <c r="D58" s="2" t="b">
        <v>0</v>
      </c>
      <c r="E58" s="2" t="s">
        <v>24</v>
      </c>
      <c r="F58" s="2" t="s">
        <v>30</v>
      </c>
      <c r="G58" s="2">
        <v>0.2</v>
      </c>
    </row>
    <row r="59" spans="1:7" x14ac:dyDescent="0.3">
      <c r="A59" s="2">
        <v>58</v>
      </c>
      <c r="B59" s="1">
        <v>40546</v>
      </c>
      <c r="C59">
        <v>12</v>
      </c>
      <c r="D59" s="2" t="b">
        <v>0</v>
      </c>
      <c r="E59" s="2" t="s">
        <v>24</v>
      </c>
      <c r="F59" s="2" t="s">
        <v>30</v>
      </c>
      <c r="G59" s="2">
        <v>0.22</v>
      </c>
    </row>
    <row r="60" spans="1:7" x14ac:dyDescent="0.3">
      <c r="A60" s="2">
        <v>59</v>
      </c>
      <c r="B60" s="1">
        <v>40546</v>
      </c>
      <c r="C60">
        <v>13</v>
      </c>
      <c r="D60" s="2" t="b">
        <v>0</v>
      </c>
      <c r="E60" s="2" t="s">
        <v>24</v>
      </c>
      <c r="F60" s="2" t="s">
        <v>30</v>
      </c>
      <c r="G60" s="2">
        <v>0.24</v>
      </c>
    </row>
    <row r="61" spans="1:7" x14ac:dyDescent="0.3">
      <c r="A61" s="2">
        <v>60</v>
      </c>
      <c r="B61" s="1">
        <v>40546</v>
      </c>
      <c r="C61">
        <v>14</v>
      </c>
      <c r="D61" s="2" t="b">
        <v>0</v>
      </c>
      <c r="E61" s="2" t="s">
        <v>24</v>
      </c>
      <c r="F61" s="2" t="s">
        <v>30</v>
      </c>
      <c r="G61" s="2">
        <v>0.26</v>
      </c>
    </row>
    <row r="62" spans="1:7" x14ac:dyDescent="0.3">
      <c r="A62" s="2">
        <v>61</v>
      </c>
      <c r="B62" s="1">
        <v>40546</v>
      </c>
      <c r="C62">
        <v>15</v>
      </c>
      <c r="D62" s="2" t="b">
        <v>0</v>
      </c>
      <c r="E62" s="2" t="s">
        <v>24</v>
      </c>
      <c r="F62" s="2" t="s">
        <v>30</v>
      </c>
      <c r="G62" s="2">
        <v>0.26</v>
      </c>
    </row>
    <row r="63" spans="1:7" x14ac:dyDescent="0.3">
      <c r="A63" s="2">
        <v>62</v>
      </c>
      <c r="B63" s="1">
        <v>40546</v>
      </c>
      <c r="C63">
        <v>16</v>
      </c>
      <c r="D63" s="2" t="b">
        <v>0</v>
      </c>
      <c r="E63" s="2" t="s">
        <v>24</v>
      </c>
      <c r="F63" s="2" t="s">
        <v>30</v>
      </c>
      <c r="G63" s="2">
        <v>0.26</v>
      </c>
    </row>
    <row r="64" spans="1:7" x14ac:dyDescent="0.3">
      <c r="A64" s="2">
        <v>63</v>
      </c>
      <c r="B64" s="1">
        <v>40546</v>
      </c>
      <c r="C64">
        <v>17</v>
      </c>
      <c r="D64" s="2" t="b">
        <v>0</v>
      </c>
      <c r="E64" s="2" t="s">
        <v>24</v>
      </c>
      <c r="F64" s="2" t="s">
        <v>30</v>
      </c>
      <c r="G64" s="2">
        <v>0.24</v>
      </c>
    </row>
    <row r="65" spans="1:7" x14ac:dyDescent="0.3">
      <c r="A65" s="2">
        <v>64</v>
      </c>
      <c r="B65" s="1">
        <v>40546</v>
      </c>
      <c r="C65">
        <v>18</v>
      </c>
      <c r="D65" s="2" t="b">
        <v>0</v>
      </c>
      <c r="E65" s="2" t="s">
        <v>24</v>
      </c>
      <c r="F65" s="2" t="s">
        <v>30</v>
      </c>
      <c r="G65" s="2">
        <v>0.24</v>
      </c>
    </row>
    <row r="66" spans="1:7" x14ac:dyDescent="0.3">
      <c r="A66" s="2">
        <v>65</v>
      </c>
      <c r="B66" s="1">
        <v>40546</v>
      </c>
      <c r="C66">
        <v>19</v>
      </c>
      <c r="D66" s="2" t="b">
        <v>0</v>
      </c>
      <c r="E66" s="2" t="s">
        <v>24</v>
      </c>
      <c r="F66" s="2" t="s">
        <v>30</v>
      </c>
      <c r="G66" s="2">
        <v>0.2</v>
      </c>
    </row>
    <row r="67" spans="1:7" x14ac:dyDescent="0.3">
      <c r="A67" s="2">
        <v>66</v>
      </c>
      <c r="B67" s="1">
        <v>40546</v>
      </c>
      <c r="C67">
        <v>20</v>
      </c>
      <c r="D67" s="2" t="b">
        <v>0</v>
      </c>
      <c r="E67" s="2" t="s">
        <v>24</v>
      </c>
      <c r="F67" s="2" t="s">
        <v>30</v>
      </c>
      <c r="G67" s="2">
        <v>0.2</v>
      </c>
    </row>
    <row r="68" spans="1:7" x14ac:dyDescent="0.3">
      <c r="A68" s="2">
        <v>67</v>
      </c>
      <c r="B68" s="1">
        <v>40546</v>
      </c>
      <c r="C68">
        <v>21</v>
      </c>
      <c r="D68" s="2" t="b">
        <v>0</v>
      </c>
      <c r="E68" s="2" t="s">
        <v>24</v>
      </c>
      <c r="F68" s="2" t="s">
        <v>30</v>
      </c>
      <c r="G68" s="2">
        <v>0.18</v>
      </c>
    </row>
    <row r="69" spans="1:7" x14ac:dyDescent="0.3">
      <c r="A69" s="2">
        <v>68</v>
      </c>
      <c r="B69" s="1">
        <v>40546</v>
      </c>
      <c r="C69">
        <v>22</v>
      </c>
      <c r="D69" s="2" t="b">
        <v>0</v>
      </c>
      <c r="E69" s="2" t="s">
        <v>24</v>
      </c>
      <c r="F69" s="2" t="s">
        <v>30</v>
      </c>
      <c r="G69" s="2">
        <v>0.14000000000000001</v>
      </c>
    </row>
    <row r="70" spans="1:7" x14ac:dyDescent="0.3">
      <c r="A70" s="2">
        <v>69</v>
      </c>
      <c r="B70" s="1">
        <v>40546</v>
      </c>
      <c r="C70">
        <v>23</v>
      </c>
      <c r="D70" s="2" t="b">
        <v>0</v>
      </c>
      <c r="E70" s="2" t="s">
        <v>24</v>
      </c>
      <c r="F70" s="2" t="s">
        <v>30</v>
      </c>
      <c r="G70" s="2">
        <v>0.18</v>
      </c>
    </row>
    <row r="71" spans="1:7" x14ac:dyDescent="0.3">
      <c r="A71" s="2">
        <v>70</v>
      </c>
      <c r="B71" s="1">
        <v>40547</v>
      </c>
      <c r="C71">
        <v>0</v>
      </c>
      <c r="D71" s="2" t="b">
        <v>0</v>
      </c>
      <c r="E71" s="2" t="s">
        <v>25</v>
      </c>
      <c r="F71" s="2" t="s">
        <v>30</v>
      </c>
      <c r="G71" s="2">
        <v>0.16</v>
      </c>
    </row>
    <row r="72" spans="1:7" x14ac:dyDescent="0.3">
      <c r="A72" s="2">
        <v>71</v>
      </c>
      <c r="B72" s="1">
        <v>40547</v>
      </c>
      <c r="C72">
        <v>1</v>
      </c>
      <c r="D72" s="2" t="b">
        <v>0</v>
      </c>
      <c r="E72" s="2" t="s">
        <v>25</v>
      </c>
      <c r="F72" s="2" t="s">
        <v>30</v>
      </c>
      <c r="G72" s="2">
        <v>0.16</v>
      </c>
    </row>
    <row r="73" spans="1:7" x14ac:dyDescent="0.3">
      <c r="A73" s="2">
        <v>72</v>
      </c>
      <c r="B73" s="1">
        <v>40547</v>
      </c>
      <c r="C73">
        <v>2</v>
      </c>
      <c r="D73" s="2" t="b">
        <v>0</v>
      </c>
      <c r="E73" s="2" t="s">
        <v>25</v>
      </c>
      <c r="F73" s="2" t="s">
        <v>30</v>
      </c>
      <c r="G73" s="2">
        <v>0.14000000000000001</v>
      </c>
    </row>
    <row r="74" spans="1:7" x14ac:dyDescent="0.3">
      <c r="A74" s="2">
        <v>73</v>
      </c>
      <c r="B74" s="1">
        <v>40547</v>
      </c>
      <c r="C74">
        <v>4</v>
      </c>
      <c r="D74" s="2" t="b">
        <v>0</v>
      </c>
      <c r="E74" s="2" t="s">
        <v>25</v>
      </c>
      <c r="F74" s="2" t="s">
        <v>30</v>
      </c>
      <c r="G74" s="2">
        <v>0.14000000000000001</v>
      </c>
    </row>
    <row r="75" spans="1:7" x14ac:dyDescent="0.3">
      <c r="A75" s="2">
        <v>74</v>
      </c>
      <c r="B75" s="1">
        <v>40547</v>
      </c>
      <c r="C75">
        <v>5</v>
      </c>
      <c r="D75" s="2" t="b">
        <v>0</v>
      </c>
      <c r="E75" s="2" t="s">
        <v>25</v>
      </c>
      <c r="F75" s="2" t="s">
        <v>30</v>
      </c>
      <c r="G75" s="2">
        <v>0.12</v>
      </c>
    </row>
    <row r="76" spans="1:7" x14ac:dyDescent="0.3">
      <c r="A76" s="2">
        <v>75</v>
      </c>
      <c r="B76" s="1">
        <v>40547</v>
      </c>
      <c r="C76">
        <v>6</v>
      </c>
      <c r="D76" s="2" t="b">
        <v>0</v>
      </c>
      <c r="E76" s="2" t="s">
        <v>25</v>
      </c>
      <c r="F76" s="2" t="s">
        <v>30</v>
      </c>
      <c r="G76" s="2">
        <v>0.12</v>
      </c>
    </row>
    <row r="77" spans="1:7" x14ac:dyDescent="0.3">
      <c r="A77" s="2">
        <v>76</v>
      </c>
      <c r="B77" s="1">
        <v>40547</v>
      </c>
      <c r="C77">
        <v>7</v>
      </c>
      <c r="D77" s="2" t="b">
        <v>0</v>
      </c>
      <c r="E77" s="2" t="s">
        <v>25</v>
      </c>
      <c r="F77" s="2" t="s">
        <v>30</v>
      </c>
      <c r="G77" s="2">
        <v>0.12</v>
      </c>
    </row>
    <row r="78" spans="1:7" x14ac:dyDescent="0.3">
      <c r="A78" s="2">
        <v>77</v>
      </c>
      <c r="B78" s="1">
        <v>40547</v>
      </c>
      <c r="C78">
        <v>8</v>
      </c>
      <c r="D78" s="2" t="b">
        <v>0</v>
      </c>
      <c r="E78" s="2" t="s">
        <v>25</v>
      </c>
      <c r="F78" s="2" t="s">
        <v>30</v>
      </c>
      <c r="G78" s="2">
        <v>0.14000000000000001</v>
      </c>
    </row>
    <row r="79" spans="1:7" x14ac:dyDescent="0.3">
      <c r="A79" s="2">
        <v>78</v>
      </c>
      <c r="B79" s="1">
        <v>40547</v>
      </c>
      <c r="C79">
        <v>9</v>
      </c>
      <c r="D79" s="2" t="b">
        <v>0</v>
      </c>
      <c r="E79" s="2" t="s">
        <v>25</v>
      </c>
      <c r="F79" s="2" t="s">
        <v>30</v>
      </c>
      <c r="G79" s="2">
        <v>0.16</v>
      </c>
    </row>
    <row r="80" spans="1:7" x14ac:dyDescent="0.3">
      <c r="A80" s="2">
        <v>79</v>
      </c>
      <c r="B80" s="1">
        <v>40547</v>
      </c>
      <c r="C80">
        <v>10</v>
      </c>
      <c r="D80" s="2" t="b">
        <v>0</v>
      </c>
      <c r="E80" s="2" t="s">
        <v>25</v>
      </c>
      <c r="F80" s="2" t="s">
        <v>31</v>
      </c>
      <c r="G80" s="2">
        <v>0.16</v>
      </c>
    </row>
    <row r="81" spans="1:7" x14ac:dyDescent="0.3">
      <c r="A81" s="2">
        <v>80</v>
      </c>
      <c r="B81" s="1">
        <v>40547</v>
      </c>
      <c r="C81">
        <v>11</v>
      </c>
      <c r="D81" s="2" t="b">
        <v>0</v>
      </c>
      <c r="E81" s="2" t="s">
        <v>25</v>
      </c>
      <c r="F81" s="2" t="s">
        <v>30</v>
      </c>
      <c r="G81" s="2">
        <v>0.22</v>
      </c>
    </row>
    <row r="82" spans="1:7" x14ac:dyDescent="0.3">
      <c r="A82" s="2">
        <v>81</v>
      </c>
      <c r="B82" s="1">
        <v>40547</v>
      </c>
      <c r="C82">
        <v>12</v>
      </c>
      <c r="D82" s="2" t="b">
        <v>0</v>
      </c>
      <c r="E82" s="2" t="s">
        <v>25</v>
      </c>
      <c r="F82" s="2" t="s">
        <v>30</v>
      </c>
      <c r="G82" s="2">
        <v>0.22</v>
      </c>
    </row>
    <row r="83" spans="1:7" x14ac:dyDescent="0.3">
      <c r="A83" s="2">
        <v>82</v>
      </c>
      <c r="B83" s="1">
        <v>40547</v>
      </c>
      <c r="C83">
        <v>13</v>
      </c>
      <c r="D83" s="2" t="b">
        <v>0</v>
      </c>
      <c r="E83" s="2" t="s">
        <v>25</v>
      </c>
      <c r="F83" s="2" t="s">
        <v>30</v>
      </c>
      <c r="G83" s="2">
        <v>0.24</v>
      </c>
    </row>
    <row r="84" spans="1:7" x14ac:dyDescent="0.3">
      <c r="A84" s="2">
        <v>83</v>
      </c>
      <c r="B84" s="1">
        <v>40547</v>
      </c>
      <c r="C84">
        <v>14</v>
      </c>
      <c r="D84" s="2" t="b">
        <v>0</v>
      </c>
      <c r="E84" s="2" t="s">
        <v>25</v>
      </c>
      <c r="F84" s="2" t="s">
        <v>30</v>
      </c>
      <c r="G84" s="2">
        <v>0.26</v>
      </c>
    </row>
    <row r="85" spans="1:7" x14ac:dyDescent="0.3">
      <c r="A85" s="2">
        <v>84</v>
      </c>
      <c r="B85" s="1">
        <v>40547</v>
      </c>
      <c r="C85">
        <v>15</v>
      </c>
      <c r="D85" s="2" t="b">
        <v>0</v>
      </c>
      <c r="E85" s="2" t="s">
        <v>25</v>
      </c>
      <c r="F85" s="2" t="s">
        <v>30</v>
      </c>
      <c r="G85" s="2">
        <v>0.28000000000000003</v>
      </c>
    </row>
    <row r="86" spans="1:7" x14ac:dyDescent="0.3">
      <c r="A86" s="2">
        <v>85</v>
      </c>
      <c r="B86" s="1">
        <v>40547</v>
      </c>
      <c r="C86">
        <v>16</v>
      </c>
      <c r="D86" s="2" t="b">
        <v>0</v>
      </c>
      <c r="E86" s="2" t="s">
        <v>25</v>
      </c>
      <c r="F86" s="2" t="s">
        <v>30</v>
      </c>
      <c r="G86" s="2">
        <v>0.3</v>
      </c>
    </row>
    <row r="87" spans="1:7" x14ac:dyDescent="0.3">
      <c r="A87" s="2">
        <v>86</v>
      </c>
      <c r="B87" s="1">
        <v>40547</v>
      </c>
      <c r="C87">
        <v>17</v>
      </c>
      <c r="D87" s="2" t="b">
        <v>0</v>
      </c>
      <c r="E87" s="2" t="s">
        <v>25</v>
      </c>
      <c r="F87" s="2" t="s">
        <v>30</v>
      </c>
      <c r="G87" s="2">
        <v>0.28000000000000003</v>
      </c>
    </row>
    <row r="88" spans="1:7" x14ac:dyDescent="0.3">
      <c r="A88" s="2">
        <v>87</v>
      </c>
      <c r="B88" s="1">
        <v>40547</v>
      </c>
      <c r="C88">
        <v>18</v>
      </c>
      <c r="D88" s="2" t="b">
        <v>0</v>
      </c>
      <c r="E88" s="2" t="s">
        <v>25</v>
      </c>
      <c r="F88" s="2" t="s">
        <v>30</v>
      </c>
      <c r="G88" s="2">
        <v>0.26</v>
      </c>
    </row>
    <row r="89" spans="1:7" x14ac:dyDescent="0.3">
      <c r="A89" s="2">
        <v>88</v>
      </c>
      <c r="B89" s="1">
        <v>40547</v>
      </c>
      <c r="C89">
        <v>19</v>
      </c>
      <c r="D89" s="2" t="b">
        <v>0</v>
      </c>
      <c r="E89" s="2" t="s">
        <v>25</v>
      </c>
      <c r="F89" s="2" t="s">
        <v>30</v>
      </c>
      <c r="G89" s="2">
        <v>0.24</v>
      </c>
    </row>
    <row r="90" spans="1:7" x14ac:dyDescent="0.3">
      <c r="A90" s="2">
        <v>89</v>
      </c>
      <c r="B90" s="1">
        <v>40547</v>
      </c>
      <c r="C90">
        <v>20</v>
      </c>
      <c r="D90" s="2" t="b">
        <v>0</v>
      </c>
      <c r="E90" s="2" t="s">
        <v>25</v>
      </c>
      <c r="F90" s="2" t="s">
        <v>30</v>
      </c>
      <c r="G90" s="2">
        <v>0.24</v>
      </c>
    </row>
    <row r="91" spans="1:7" x14ac:dyDescent="0.3">
      <c r="A91" s="2">
        <v>90</v>
      </c>
      <c r="B91" s="1">
        <v>40547</v>
      </c>
      <c r="C91">
        <v>21</v>
      </c>
      <c r="D91" s="2" t="b">
        <v>0</v>
      </c>
      <c r="E91" s="2" t="s">
        <v>25</v>
      </c>
      <c r="F91" s="2" t="s">
        <v>30</v>
      </c>
      <c r="G91" s="2">
        <v>0.22</v>
      </c>
    </row>
    <row r="92" spans="1:7" x14ac:dyDescent="0.3">
      <c r="A92" s="2">
        <v>91</v>
      </c>
      <c r="B92" s="1">
        <v>40547</v>
      </c>
      <c r="C92">
        <v>22</v>
      </c>
      <c r="D92" s="2" t="b">
        <v>0</v>
      </c>
      <c r="E92" s="2" t="s">
        <v>25</v>
      </c>
      <c r="F92" s="2" t="s">
        <v>30</v>
      </c>
      <c r="G92" s="2">
        <v>0.22</v>
      </c>
    </row>
    <row r="93" spans="1:7" x14ac:dyDescent="0.3">
      <c r="A93" s="2">
        <v>92</v>
      </c>
      <c r="B93" s="1">
        <v>40547</v>
      </c>
      <c r="C93">
        <v>23</v>
      </c>
      <c r="D93" s="2" t="b">
        <v>0</v>
      </c>
      <c r="E93" s="2" t="s">
        <v>25</v>
      </c>
      <c r="F93" s="2" t="s">
        <v>30</v>
      </c>
      <c r="G93" s="2">
        <v>0.2</v>
      </c>
    </row>
    <row r="94" spans="1:7" x14ac:dyDescent="0.3">
      <c r="A94" s="2">
        <v>93</v>
      </c>
      <c r="B94" s="1">
        <v>40548</v>
      </c>
      <c r="C94">
        <v>0</v>
      </c>
      <c r="D94" s="2" t="b">
        <v>0</v>
      </c>
      <c r="E94" s="2" t="s">
        <v>26</v>
      </c>
      <c r="F94" s="2" t="s">
        <v>30</v>
      </c>
      <c r="G94" s="2">
        <v>0.2</v>
      </c>
    </row>
    <row r="95" spans="1:7" x14ac:dyDescent="0.3">
      <c r="A95" s="2">
        <v>94</v>
      </c>
      <c r="B95" s="1">
        <v>40548</v>
      </c>
      <c r="C95">
        <v>1</v>
      </c>
      <c r="D95" s="2" t="b">
        <v>0</v>
      </c>
      <c r="E95" s="2" t="s">
        <v>26</v>
      </c>
      <c r="F95" s="2" t="s">
        <v>30</v>
      </c>
      <c r="G95" s="2">
        <v>0.16</v>
      </c>
    </row>
    <row r="96" spans="1:7" x14ac:dyDescent="0.3">
      <c r="A96" s="2">
        <v>95</v>
      </c>
      <c r="B96" s="1">
        <v>40548</v>
      </c>
      <c r="C96">
        <v>2</v>
      </c>
      <c r="D96" s="2" t="b">
        <v>0</v>
      </c>
      <c r="E96" s="2" t="s">
        <v>26</v>
      </c>
      <c r="F96" s="2" t="s">
        <v>30</v>
      </c>
      <c r="G96" s="2">
        <v>0.16</v>
      </c>
    </row>
    <row r="97" spans="1:7" x14ac:dyDescent="0.3">
      <c r="A97" s="2">
        <v>96</v>
      </c>
      <c r="B97" s="1">
        <v>40548</v>
      </c>
      <c r="C97">
        <v>4</v>
      </c>
      <c r="D97" s="2" t="b">
        <v>0</v>
      </c>
      <c r="E97" s="2" t="s">
        <v>26</v>
      </c>
      <c r="F97" s="2" t="s">
        <v>30</v>
      </c>
      <c r="G97" s="2">
        <v>0.24</v>
      </c>
    </row>
    <row r="98" spans="1:7" x14ac:dyDescent="0.3">
      <c r="A98" s="2">
        <v>97</v>
      </c>
      <c r="B98" s="1">
        <v>40548</v>
      </c>
      <c r="C98">
        <v>5</v>
      </c>
      <c r="D98" s="2" t="b">
        <v>0</v>
      </c>
      <c r="E98" s="2" t="s">
        <v>26</v>
      </c>
      <c r="F98" s="2" t="s">
        <v>30</v>
      </c>
      <c r="G98" s="2">
        <v>0.22</v>
      </c>
    </row>
    <row r="99" spans="1:7" x14ac:dyDescent="0.3">
      <c r="A99" s="2">
        <v>98</v>
      </c>
      <c r="B99" s="1">
        <v>40548</v>
      </c>
      <c r="C99">
        <v>6</v>
      </c>
      <c r="D99" s="2" t="b">
        <v>0</v>
      </c>
      <c r="E99" s="2" t="s">
        <v>26</v>
      </c>
      <c r="F99" s="2" t="s">
        <v>30</v>
      </c>
      <c r="G99" s="2">
        <v>0.2</v>
      </c>
    </row>
    <row r="100" spans="1:7" x14ac:dyDescent="0.3">
      <c r="A100" s="2">
        <v>99</v>
      </c>
      <c r="B100" s="1">
        <v>40548</v>
      </c>
      <c r="C100">
        <v>7</v>
      </c>
      <c r="D100" s="2" t="b">
        <v>0</v>
      </c>
      <c r="E100" s="2" t="s">
        <v>26</v>
      </c>
      <c r="F100" s="2" t="s">
        <v>30</v>
      </c>
      <c r="G100" s="2">
        <v>0.18</v>
      </c>
    </row>
    <row r="101" spans="1:7" x14ac:dyDescent="0.3">
      <c r="A101" s="2">
        <v>100</v>
      </c>
      <c r="B101" s="1">
        <v>40548</v>
      </c>
      <c r="C101">
        <v>8</v>
      </c>
      <c r="D101" s="2" t="b">
        <v>0</v>
      </c>
      <c r="E101" s="2" t="s">
        <v>26</v>
      </c>
      <c r="F101" s="2" t="s">
        <v>30</v>
      </c>
      <c r="G101" s="2">
        <v>0.2</v>
      </c>
    </row>
    <row r="102" spans="1:7" x14ac:dyDescent="0.3">
      <c r="A102" s="2">
        <v>101</v>
      </c>
      <c r="B102" s="1">
        <v>40548</v>
      </c>
      <c r="C102">
        <v>9</v>
      </c>
      <c r="D102" s="2" t="b">
        <v>0</v>
      </c>
      <c r="E102" s="2" t="s">
        <v>26</v>
      </c>
      <c r="F102" s="2" t="s">
        <v>30</v>
      </c>
      <c r="G102" s="2">
        <v>0.22</v>
      </c>
    </row>
    <row r="103" spans="1:7" x14ac:dyDescent="0.3">
      <c r="A103" s="2">
        <v>102</v>
      </c>
      <c r="B103" s="1">
        <v>40548</v>
      </c>
      <c r="C103">
        <v>10</v>
      </c>
      <c r="D103" s="2" t="b">
        <v>0</v>
      </c>
      <c r="E103" s="2" t="s">
        <v>26</v>
      </c>
      <c r="F103" s="2" t="s">
        <v>30</v>
      </c>
      <c r="G103" s="2">
        <v>0.22</v>
      </c>
    </row>
    <row r="104" spans="1:7" x14ac:dyDescent="0.3">
      <c r="A104" s="2">
        <v>103</v>
      </c>
      <c r="B104" s="1">
        <v>40548</v>
      </c>
      <c r="C104">
        <v>11</v>
      </c>
      <c r="D104" s="2" t="b">
        <v>0</v>
      </c>
      <c r="E104" s="2" t="s">
        <v>26</v>
      </c>
      <c r="F104" s="2" t="s">
        <v>30</v>
      </c>
      <c r="G104" s="2">
        <v>0.26</v>
      </c>
    </row>
    <row r="105" spans="1:7" x14ac:dyDescent="0.3">
      <c r="A105" s="2">
        <v>104</v>
      </c>
      <c r="B105" s="1">
        <v>40548</v>
      </c>
      <c r="C105">
        <v>12</v>
      </c>
      <c r="D105" s="2" t="b">
        <v>0</v>
      </c>
      <c r="E105" s="2" t="s">
        <v>26</v>
      </c>
      <c r="F105" s="2" t="s">
        <v>30</v>
      </c>
      <c r="G105" s="2">
        <v>0.26</v>
      </c>
    </row>
    <row r="106" spans="1:7" x14ac:dyDescent="0.3">
      <c r="A106" s="2">
        <v>105</v>
      </c>
      <c r="B106" s="1">
        <v>40548</v>
      </c>
      <c r="C106">
        <v>13</v>
      </c>
      <c r="D106" s="2" t="b">
        <v>0</v>
      </c>
      <c r="E106" s="2" t="s">
        <v>26</v>
      </c>
      <c r="F106" s="2" t="s">
        <v>30</v>
      </c>
      <c r="G106" s="2">
        <v>0.28000000000000003</v>
      </c>
    </row>
    <row r="107" spans="1:7" x14ac:dyDescent="0.3">
      <c r="A107" s="2">
        <v>106</v>
      </c>
      <c r="B107" s="1">
        <v>40548</v>
      </c>
      <c r="C107">
        <v>14</v>
      </c>
      <c r="D107" s="2" t="b">
        <v>0</v>
      </c>
      <c r="E107" s="2" t="s">
        <v>26</v>
      </c>
      <c r="F107" s="2" t="s">
        <v>30</v>
      </c>
      <c r="G107" s="2">
        <v>0.3</v>
      </c>
    </row>
    <row r="108" spans="1:7" x14ac:dyDescent="0.3">
      <c r="A108" s="2">
        <v>107</v>
      </c>
      <c r="B108" s="1">
        <v>40548</v>
      </c>
      <c r="C108">
        <v>15</v>
      </c>
      <c r="D108" s="2" t="b">
        <v>0</v>
      </c>
      <c r="E108" s="2" t="s">
        <v>26</v>
      </c>
      <c r="F108" s="2" t="s">
        <v>30</v>
      </c>
      <c r="G108" s="2">
        <v>0.3</v>
      </c>
    </row>
    <row r="109" spans="1:7" x14ac:dyDescent="0.3">
      <c r="A109" s="2">
        <v>108</v>
      </c>
      <c r="B109" s="1">
        <v>40548</v>
      </c>
      <c r="C109">
        <v>16</v>
      </c>
      <c r="D109" s="2" t="b">
        <v>0</v>
      </c>
      <c r="E109" s="2" t="s">
        <v>26</v>
      </c>
      <c r="F109" s="2" t="s">
        <v>30</v>
      </c>
      <c r="G109" s="2">
        <v>0.3</v>
      </c>
    </row>
    <row r="110" spans="1:7" x14ac:dyDescent="0.3">
      <c r="A110" s="2">
        <v>109</v>
      </c>
      <c r="B110" s="1">
        <v>40548</v>
      </c>
      <c r="C110">
        <v>17</v>
      </c>
      <c r="D110" s="2" t="b">
        <v>0</v>
      </c>
      <c r="E110" s="2" t="s">
        <v>26</v>
      </c>
      <c r="F110" s="2" t="s">
        <v>30</v>
      </c>
      <c r="G110" s="2">
        <v>0.24</v>
      </c>
    </row>
    <row r="111" spans="1:7" x14ac:dyDescent="0.3">
      <c r="A111" s="2">
        <v>110</v>
      </c>
      <c r="B111" s="1">
        <v>40548</v>
      </c>
      <c r="C111">
        <v>18</v>
      </c>
      <c r="D111" s="2" t="b">
        <v>0</v>
      </c>
      <c r="E111" s="2" t="s">
        <v>26</v>
      </c>
      <c r="F111" s="2" t="s">
        <v>30</v>
      </c>
      <c r="G111" s="2">
        <v>0.24</v>
      </c>
    </row>
    <row r="112" spans="1:7" x14ac:dyDescent="0.3">
      <c r="A112" s="2">
        <v>111</v>
      </c>
      <c r="B112" s="1">
        <v>40548</v>
      </c>
      <c r="C112">
        <v>19</v>
      </c>
      <c r="D112" s="2" t="b">
        <v>0</v>
      </c>
      <c r="E112" s="2" t="s">
        <v>26</v>
      </c>
      <c r="F112" s="2" t="s">
        <v>30</v>
      </c>
      <c r="G112" s="2">
        <v>0.24</v>
      </c>
    </row>
    <row r="113" spans="1:7" x14ac:dyDescent="0.3">
      <c r="A113" s="2">
        <v>112</v>
      </c>
      <c r="B113" s="1">
        <v>40548</v>
      </c>
      <c r="C113">
        <v>20</v>
      </c>
      <c r="D113" s="2" t="b">
        <v>0</v>
      </c>
      <c r="E113" s="2" t="s">
        <v>26</v>
      </c>
      <c r="F113" s="2" t="s">
        <v>30</v>
      </c>
      <c r="G113" s="2">
        <v>0.22</v>
      </c>
    </row>
    <row r="114" spans="1:7" x14ac:dyDescent="0.3">
      <c r="A114" s="2">
        <v>113</v>
      </c>
      <c r="B114" s="1">
        <v>40548</v>
      </c>
      <c r="C114">
        <v>21</v>
      </c>
      <c r="D114" s="2" t="b">
        <v>0</v>
      </c>
      <c r="E114" s="2" t="s">
        <v>26</v>
      </c>
      <c r="F114" s="2" t="s">
        <v>30</v>
      </c>
      <c r="G114" s="2">
        <v>0.2</v>
      </c>
    </row>
    <row r="115" spans="1:7" x14ac:dyDescent="0.3">
      <c r="A115" s="2">
        <v>114</v>
      </c>
      <c r="B115" s="1">
        <v>40548</v>
      </c>
      <c r="C115">
        <v>22</v>
      </c>
      <c r="D115" s="2" t="b">
        <v>0</v>
      </c>
      <c r="E115" s="2" t="s">
        <v>26</v>
      </c>
      <c r="F115" s="2" t="s">
        <v>30</v>
      </c>
      <c r="G115" s="2">
        <v>0.18</v>
      </c>
    </row>
    <row r="116" spans="1:7" x14ac:dyDescent="0.3">
      <c r="A116" s="2">
        <v>115</v>
      </c>
      <c r="B116" s="1">
        <v>40548</v>
      </c>
      <c r="C116">
        <v>23</v>
      </c>
      <c r="D116" s="2" t="b">
        <v>0</v>
      </c>
      <c r="E116" s="2" t="s">
        <v>26</v>
      </c>
      <c r="F116" s="2" t="s">
        <v>30</v>
      </c>
      <c r="G116" s="2">
        <v>0.2</v>
      </c>
    </row>
    <row r="117" spans="1:7" x14ac:dyDescent="0.3">
      <c r="A117" s="2">
        <v>116</v>
      </c>
      <c r="B117" s="1">
        <v>40549</v>
      </c>
      <c r="C117">
        <v>0</v>
      </c>
      <c r="D117" s="2" t="b">
        <v>0</v>
      </c>
      <c r="E117" s="2" t="s">
        <v>27</v>
      </c>
      <c r="F117" s="2" t="s">
        <v>30</v>
      </c>
      <c r="G117" s="2">
        <v>0.18</v>
      </c>
    </row>
    <row r="118" spans="1:7" x14ac:dyDescent="0.3">
      <c r="A118" s="2">
        <v>117</v>
      </c>
      <c r="B118" s="1">
        <v>40549</v>
      </c>
      <c r="C118">
        <v>1</v>
      </c>
      <c r="D118" s="2" t="b">
        <v>0</v>
      </c>
      <c r="E118" s="2" t="s">
        <v>27</v>
      </c>
      <c r="F118" s="2" t="s">
        <v>30</v>
      </c>
      <c r="G118" s="2">
        <v>0.16</v>
      </c>
    </row>
    <row r="119" spans="1:7" x14ac:dyDescent="0.3">
      <c r="A119" s="2">
        <v>118</v>
      </c>
      <c r="B119" s="1">
        <v>40549</v>
      </c>
      <c r="C119">
        <v>2</v>
      </c>
      <c r="D119" s="2" t="b">
        <v>0</v>
      </c>
      <c r="E119" s="2" t="s">
        <v>27</v>
      </c>
      <c r="F119" s="2" t="s">
        <v>30</v>
      </c>
      <c r="G119" s="2">
        <v>0.16</v>
      </c>
    </row>
    <row r="120" spans="1:7" x14ac:dyDescent="0.3">
      <c r="A120" s="2">
        <v>119</v>
      </c>
      <c r="B120" s="1">
        <v>40549</v>
      </c>
      <c r="C120">
        <v>4</v>
      </c>
      <c r="D120" s="2" t="b">
        <v>0</v>
      </c>
      <c r="E120" s="2" t="s">
        <v>27</v>
      </c>
      <c r="F120" s="2" t="s">
        <v>31</v>
      </c>
      <c r="G120" s="2">
        <v>0.16</v>
      </c>
    </row>
    <row r="121" spans="1:7" x14ac:dyDescent="0.3">
      <c r="A121" s="2">
        <v>120</v>
      </c>
      <c r="B121" s="1">
        <v>40549</v>
      </c>
      <c r="C121">
        <v>5</v>
      </c>
      <c r="D121" s="2" t="b">
        <v>0</v>
      </c>
      <c r="E121" s="2" t="s">
        <v>27</v>
      </c>
      <c r="F121" s="2" t="s">
        <v>31</v>
      </c>
      <c r="G121" s="2">
        <v>0.14000000000000001</v>
      </c>
    </row>
    <row r="122" spans="1:7" x14ac:dyDescent="0.3">
      <c r="A122" s="2">
        <v>121</v>
      </c>
      <c r="B122" s="1">
        <v>40549</v>
      </c>
      <c r="C122">
        <v>6</v>
      </c>
      <c r="D122" s="2" t="b">
        <v>0</v>
      </c>
      <c r="E122" s="2" t="s">
        <v>27</v>
      </c>
      <c r="F122" s="2" t="s">
        <v>31</v>
      </c>
      <c r="G122" s="2">
        <v>0.14000000000000001</v>
      </c>
    </row>
    <row r="123" spans="1:7" x14ac:dyDescent="0.3">
      <c r="A123" s="2">
        <v>122</v>
      </c>
      <c r="B123" s="1">
        <v>40549</v>
      </c>
      <c r="C123">
        <v>7</v>
      </c>
      <c r="D123" s="2" t="b">
        <v>0</v>
      </c>
      <c r="E123" s="2" t="s">
        <v>27</v>
      </c>
      <c r="F123" s="2" t="s">
        <v>31</v>
      </c>
      <c r="G123" s="2">
        <v>0.16</v>
      </c>
    </row>
    <row r="124" spans="1:7" x14ac:dyDescent="0.3">
      <c r="A124" s="2">
        <v>123</v>
      </c>
      <c r="B124" s="1">
        <v>40549</v>
      </c>
      <c r="C124">
        <v>8</v>
      </c>
      <c r="D124" s="2" t="b">
        <v>0</v>
      </c>
      <c r="E124" s="2" t="s">
        <v>27</v>
      </c>
      <c r="F124" s="2" t="s">
        <v>30</v>
      </c>
      <c r="G124" s="2">
        <v>0.16</v>
      </c>
    </row>
    <row r="125" spans="1:7" x14ac:dyDescent="0.3">
      <c r="A125" s="2">
        <v>124</v>
      </c>
      <c r="B125" s="1">
        <v>40549</v>
      </c>
      <c r="C125">
        <v>9</v>
      </c>
      <c r="D125" s="2" t="b">
        <v>0</v>
      </c>
      <c r="E125" s="2" t="s">
        <v>27</v>
      </c>
      <c r="F125" s="2" t="s">
        <v>31</v>
      </c>
      <c r="G125" s="2">
        <v>0.18</v>
      </c>
    </row>
    <row r="126" spans="1:7" x14ac:dyDescent="0.3">
      <c r="A126" s="2">
        <v>125</v>
      </c>
      <c r="B126" s="1">
        <v>40549</v>
      </c>
      <c r="C126">
        <v>10</v>
      </c>
      <c r="D126" s="2" t="b">
        <v>0</v>
      </c>
      <c r="E126" s="2" t="s">
        <v>27</v>
      </c>
      <c r="F126" s="2" t="s">
        <v>30</v>
      </c>
      <c r="G126" s="2">
        <v>0.2</v>
      </c>
    </row>
    <row r="127" spans="1:7" x14ac:dyDescent="0.3">
      <c r="A127" s="2">
        <v>126</v>
      </c>
      <c r="B127" s="1">
        <v>40549</v>
      </c>
      <c r="C127">
        <v>11</v>
      </c>
      <c r="D127" s="2" t="b">
        <v>0</v>
      </c>
      <c r="E127" s="2" t="s">
        <v>27</v>
      </c>
      <c r="F127" s="2" t="s">
        <v>30</v>
      </c>
      <c r="G127" s="2">
        <v>0.22</v>
      </c>
    </row>
    <row r="128" spans="1:7" x14ac:dyDescent="0.3">
      <c r="A128" s="2">
        <v>127</v>
      </c>
      <c r="B128" s="1">
        <v>40549</v>
      </c>
      <c r="C128">
        <v>12</v>
      </c>
      <c r="D128" s="2" t="b">
        <v>0</v>
      </c>
      <c r="E128" s="2" t="s">
        <v>27</v>
      </c>
      <c r="F128" s="2" t="s">
        <v>30</v>
      </c>
      <c r="G128" s="2">
        <v>0.26</v>
      </c>
    </row>
    <row r="129" spans="1:7" x14ac:dyDescent="0.3">
      <c r="A129" s="2">
        <v>128</v>
      </c>
      <c r="B129" s="1">
        <v>40549</v>
      </c>
      <c r="C129">
        <v>13</v>
      </c>
      <c r="D129" s="2" t="b">
        <v>0</v>
      </c>
      <c r="E129" s="2" t="s">
        <v>27</v>
      </c>
      <c r="F129" s="2" t="s">
        <v>30</v>
      </c>
      <c r="G129" s="2">
        <v>0.26</v>
      </c>
    </row>
    <row r="130" spans="1:7" x14ac:dyDescent="0.3">
      <c r="A130" s="2">
        <v>129</v>
      </c>
      <c r="B130" s="1">
        <v>40549</v>
      </c>
      <c r="C130">
        <v>14</v>
      </c>
      <c r="D130" s="2" t="b">
        <v>0</v>
      </c>
      <c r="E130" s="2" t="s">
        <v>27</v>
      </c>
      <c r="F130" s="2" t="s">
        <v>30</v>
      </c>
      <c r="G130" s="2">
        <v>0.28000000000000003</v>
      </c>
    </row>
    <row r="131" spans="1:7" x14ac:dyDescent="0.3">
      <c r="A131" s="2">
        <v>130</v>
      </c>
      <c r="B131" s="1">
        <v>40549</v>
      </c>
      <c r="C131">
        <v>15</v>
      </c>
      <c r="D131" s="2" t="b">
        <v>0</v>
      </c>
      <c r="E131" s="2" t="s">
        <v>27</v>
      </c>
      <c r="F131" s="2" t="s">
        <v>30</v>
      </c>
      <c r="G131" s="2">
        <v>0.28000000000000003</v>
      </c>
    </row>
    <row r="132" spans="1:7" x14ac:dyDescent="0.3">
      <c r="A132" s="2">
        <v>131</v>
      </c>
      <c r="B132" s="1">
        <v>40549</v>
      </c>
      <c r="C132">
        <v>16</v>
      </c>
      <c r="D132" s="2" t="b">
        <v>0</v>
      </c>
      <c r="E132" s="2" t="s">
        <v>27</v>
      </c>
      <c r="F132" s="2" t="s">
        <v>30</v>
      </c>
      <c r="G132" s="2">
        <v>0.26</v>
      </c>
    </row>
    <row r="133" spans="1:7" x14ac:dyDescent="0.3">
      <c r="A133" s="2">
        <v>132</v>
      </c>
      <c r="B133" s="1">
        <v>40549</v>
      </c>
      <c r="C133">
        <v>17</v>
      </c>
      <c r="D133" s="2" t="b">
        <v>0</v>
      </c>
      <c r="E133" s="2" t="s">
        <v>27</v>
      </c>
      <c r="F133" s="2" t="s">
        <v>30</v>
      </c>
      <c r="G133" s="2">
        <v>0.22</v>
      </c>
    </row>
    <row r="134" spans="1:7" x14ac:dyDescent="0.3">
      <c r="A134" s="2">
        <v>133</v>
      </c>
      <c r="B134" s="1">
        <v>40549</v>
      </c>
      <c r="C134">
        <v>18</v>
      </c>
      <c r="D134" s="2" t="b">
        <v>0</v>
      </c>
      <c r="E134" s="2" t="s">
        <v>27</v>
      </c>
      <c r="F134" s="2" t="s">
        <v>30</v>
      </c>
      <c r="G134" s="2">
        <v>0.22</v>
      </c>
    </row>
    <row r="135" spans="1:7" x14ac:dyDescent="0.3">
      <c r="A135" s="2">
        <v>134</v>
      </c>
      <c r="B135" s="1">
        <v>40549</v>
      </c>
      <c r="C135">
        <v>19</v>
      </c>
      <c r="D135" s="2" t="b">
        <v>0</v>
      </c>
      <c r="E135" s="2" t="s">
        <v>27</v>
      </c>
      <c r="F135" s="2" t="s">
        <v>30</v>
      </c>
      <c r="G135" s="2">
        <v>0.22</v>
      </c>
    </row>
    <row r="136" spans="1:7" x14ac:dyDescent="0.3">
      <c r="A136" s="2">
        <v>135</v>
      </c>
      <c r="B136" s="1">
        <v>40549</v>
      </c>
      <c r="C136">
        <v>20</v>
      </c>
      <c r="D136" s="2" t="b">
        <v>0</v>
      </c>
      <c r="E136" s="2" t="s">
        <v>27</v>
      </c>
      <c r="F136" s="2" t="s">
        <v>30</v>
      </c>
      <c r="G136" s="2">
        <v>0.2</v>
      </c>
    </row>
    <row r="137" spans="1:7" x14ac:dyDescent="0.3">
      <c r="A137" s="2">
        <v>136</v>
      </c>
      <c r="B137" s="1">
        <v>40549</v>
      </c>
      <c r="C137">
        <v>21</v>
      </c>
      <c r="D137" s="2" t="b">
        <v>0</v>
      </c>
      <c r="E137" s="2" t="s">
        <v>27</v>
      </c>
      <c r="F137" s="2" t="s">
        <v>31</v>
      </c>
      <c r="G137" s="2">
        <v>0.22</v>
      </c>
    </row>
    <row r="138" spans="1:7" x14ac:dyDescent="0.3">
      <c r="A138" s="2">
        <v>137</v>
      </c>
      <c r="B138" s="1">
        <v>40549</v>
      </c>
      <c r="C138">
        <v>22</v>
      </c>
      <c r="D138" s="2" t="b">
        <v>0</v>
      </c>
      <c r="E138" s="2" t="s">
        <v>27</v>
      </c>
      <c r="F138" s="2" t="s">
        <v>31</v>
      </c>
      <c r="G138" s="2">
        <v>0.22</v>
      </c>
    </row>
    <row r="139" spans="1:7" x14ac:dyDescent="0.3">
      <c r="A139" s="2">
        <v>138</v>
      </c>
      <c r="B139" s="1">
        <v>40549</v>
      </c>
      <c r="C139">
        <v>23</v>
      </c>
      <c r="D139" s="2" t="b">
        <v>0</v>
      </c>
      <c r="E139" s="2" t="s">
        <v>27</v>
      </c>
      <c r="F139" s="2" t="s">
        <v>31</v>
      </c>
      <c r="G139" s="2">
        <v>0.2</v>
      </c>
    </row>
    <row r="140" spans="1:7" x14ac:dyDescent="0.3">
      <c r="A140" s="2">
        <v>139</v>
      </c>
      <c r="B140" s="1">
        <v>40550</v>
      </c>
      <c r="C140">
        <v>0</v>
      </c>
      <c r="D140" s="2" t="b">
        <v>0</v>
      </c>
      <c r="E140" s="2" t="s">
        <v>28</v>
      </c>
      <c r="F140" s="2" t="s">
        <v>31</v>
      </c>
      <c r="G140" s="2">
        <v>0.2</v>
      </c>
    </row>
    <row r="141" spans="1:7" x14ac:dyDescent="0.3">
      <c r="A141" s="2">
        <v>140</v>
      </c>
      <c r="B141" s="1">
        <v>40550</v>
      </c>
      <c r="C141">
        <v>1</v>
      </c>
      <c r="D141" s="2" t="b">
        <v>0</v>
      </c>
      <c r="E141" s="2" t="s">
        <v>28</v>
      </c>
      <c r="F141" s="2" t="s">
        <v>31</v>
      </c>
      <c r="G141" s="2">
        <v>0.2</v>
      </c>
    </row>
    <row r="142" spans="1:7" x14ac:dyDescent="0.3">
      <c r="A142" s="2">
        <v>141</v>
      </c>
      <c r="B142" s="1">
        <v>40550</v>
      </c>
      <c r="C142">
        <v>2</v>
      </c>
      <c r="D142" s="2" t="b">
        <v>0</v>
      </c>
      <c r="E142" s="2" t="s">
        <v>28</v>
      </c>
      <c r="F142" s="2" t="s">
        <v>31</v>
      </c>
      <c r="G142" s="2">
        <v>0.2</v>
      </c>
    </row>
    <row r="143" spans="1:7" x14ac:dyDescent="0.3">
      <c r="A143" s="2">
        <v>142</v>
      </c>
      <c r="B143" s="1">
        <v>40550</v>
      </c>
      <c r="C143">
        <v>4</v>
      </c>
      <c r="D143" s="2" t="b">
        <v>0</v>
      </c>
      <c r="E143" s="2" t="s">
        <v>28</v>
      </c>
      <c r="F143" s="2" t="s">
        <v>31</v>
      </c>
      <c r="G143" s="2">
        <v>0.2</v>
      </c>
    </row>
    <row r="144" spans="1:7" x14ac:dyDescent="0.3">
      <c r="A144" s="2">
        <v>143</v>
      </c>
      <c r="B144" s="1">
        <v>40550</v>
      </c>
      <c r="C144">
        <v>5</v>
      </c>
      <c r="D144" s="2" t="b">
        <v>0</v>
      </c>
      <c r="E144" s="2" t="s">
        <v>28</v>
      </c>
      <c r="F144" s="2" t="s">
        <v>32</v>
      </c>
      <c r="G144" s="2">
        <v>0.22</v>
      </c>
    </row>
    <row r="145" spans="1:7" x14ac:dyDescent="0.3">
      <c r="A145" s="2">
        <v>144</v>
      </c>
      <c r="B145" s="1">
        <v>40550</v>
      </c>
      <c r="C145">
        <v>6</v>
      </c>
      <c r="D145" s="2" t="b">
        <v>0</v>
      </c>
      <c r="E145" s="2" t="s">
        <v>28</v>
      </c>
      <c r="F145" s="2" t="s">
        <v>31</v>
      </c>
      <c r="G145" s="2">
        <v>0.2</v>
      </c>
    </row>
    <row r="146" spans="1:7" x14ac:dyDescent="0.3">
      <c r="A146" s="2">
        <v>145</v>
      </c>
      <c r="B146" s="1">
        <v>40550</v>
      </c>
      <c r="C146">
        <v>7</v>
      </c>
      <c r="D146" s="2" t="b">
        <v>0</v>
      </c>
      <c r="E146" s="2" t="s">
        <v>28</v>
      </c>
      <c r="F146" s="2" t="s">
        <v>30</v>
      </c>
      <c r="G146" s="2">
        <v>0.2</v>
      </c>
    </row>
    <row r="147" spans="1:7" x14ac:dyDescent="0.3">
      <c r="A147" s="2">
        <v>146</v>
      </c>
      <c r="B147" s="1">
        <v>40550</v>
      </c>
      <c r="C147">
        <v>8</v>
      </c>
      <c r="D147" s="2" t="b">
        <v>0</v>
      </c>
      <c r="E147" s="2" t="s">
        <v>28</v>
      </c>
      <c r="F147" s="2" t="s">
        <v>30</v>
      </c>
      <c r="G147" s="2">
        <v>0.2</v>
      </c>
    </row>
    <row r="148" spans="1:7" x14ac:dyDescent="0.3">
      <c r="A148" s="2">
        <v>147</v>
      </c>
      <c r="B148" s="1">
        <v>40550</v>
      </c>
      <c r="C148">
        <v>9</v>
      </c>
      <c r="D148" s="2" t="b">
        <v>0</v>
      </c>
      <c r="E148" s="2" t="s">
        <v>28</v>
      </c>
      <c r="F148" s="2" t="s">
        <v>30</v>
      </c>
      <c r="G148" s="2">
        <v>0.2</v>
      </c>
    </row>
    <row r="149" spans="1:7" x14ac:dyDescent="0.3">
      <c r="A149" s="2">
        <v>148</v>
      </c>
      <c r="B149" s="1">
        <v>40550</v>
      </c>
      <c r="C149">
        <v>10</v>
      </c>
      <c r="D149" s="2" t="b">
        <v>0</v>
      </c>
      <c r="E149" s="2" t="s">
        <v>28</v>
      </c>
      <c r="F149" s="2" t="s">
        <v>30</v>
      </c>
      <c r="G149" s="2">
        <v>0.22</v>
      </c>
    </row>
    <row r="150" spans="1:7" x14ac:dyDescent="0.3">
      <c r="A150" s="2">
        <v>149</v>
      </c>
      <c r="B150" s="1">
        <v>40550</v>
      </c>
      <c r="C150">
        <v>11</v>
      </c>
      <c r="D150" s="2" t="b">
        <v>0</v>
      </c>
      <c r="E150" s="2" t="s">
        <v>28</v>
      </c>
      <c r="F150" s="2" t="s">
        <v>31</v>
      </c>
      <c r="G150" s="2">
        <v>0.2</v>
      </c>
    </row>
    <row r="151" spans="1:7" x14ac:dyDescent="0.3">
      <c r="A151" s="2">
        <v>150</v>
      </c>
      <c r="B151" s="1">
        <v>40550</v>
      </c>
      <c r="C151">
        <v>12</v>
      </c>
      <c r="D151" s="2" t="b">
        <v>0</v>
      </c>
      <c r="E151" s="2" t="s">
        <v>28</v>
      </c>
      <c r="F151" s="2" t="s">
        <v>31</v>
      </c>
      <c r="G151" s="2">
        <v>0.2</v>
      </c>
    </row>
    <row r="152" spans="1:7" x14ac:dyDescent="0.3">
      <c r="A152" s="2">
        <v>151</v>
      </c>
      <c r="B152" s="1">
        <v>40550</v>
      </c>
      <c r="C152">
        <v>13</v>
      </c>
      <c r="D152" s="2" t="b">
        <v>0</v>
      </c>
      <c r="E152" s="2" t="s">
        <v>28</v>
      </c>
      <c r="F152" s="2" t="s">
        <v>31</v>
      </c>
      <c r="G152" s="2">
        <v>0.2</v>
      </c>
    </row>
    <row r="153" spans="1:7" x14ac:dyDescent="0.3">
      <c r="A153" s="2">
        <v>152</v>
      </c>
      <c r="B153" s="1">
        <v>40550</v>
      </c>
      <c r="C153">
        <v>14</v>
      </c>
      <c r="D153" s="2" t="b">
        <v>0</v>
      </c>
      <c r="E153" s="2" t="s">
        <v>28</v>
      </c>
      <c r="F153" s="2" t="s">
        <v>31</v>
      </c>
      <c r="G153" s="2">
        <v>0.2</v>
      </c>
    </row>
    <row r="154" spans="1:7" x14ac:dyDescent="0.3">
      <c r="A154" s="2">
        <v>153</v>
      </c>
      <c r="B154" s="1">
        <v>40550</v>
      </c>
      <c r="C154">
        <v>15</v>
      </c>
      <c r="D154" s="2" t="b">
        <v>0</v>
      </c>
      <c r="E154" s="2" t="s">
        <v>28</v>
      </c>
      <c r="F154" s="2" t="s">
        <v>31</v>
      </c>
      <c r="G154" s="2">
        <v>0.2</v>
      </c>
    </row>
    <row r="155" spans="1:7" x14ac:dyDescent="0.3">
      <c r="A155" s="2">
        <v>154</v>
      </c>
      <c r="B155" s="1">
        <v>40550</v>
      </c>
      <c r="C155">
        <v>16</v>
      </c>
      <c r="D155" s="2" t="b">
        <v>0</v>
      </c>
      <c r="E155" s="2" t="s">
        <v>28</v>
      </c>
      <c r="F155" s="2" t="s">
        <v>31</v>
      </c>
      <c r="G155" s="2">
        <v>0.2</v>
      </c>
    </row>
    <row r="156" spans="1:7" x14ac:dyDescent="0.3">
      <c r="A156" s="2">
        <v>155</v>
      </c>
      <c r="B156" s="1">
        <v>40550</v>
      </c>
      <c r="C156">
        <v>17</v>
      </c>
      <c r="D156" s="2" t="b">
        <v>0</v>
      </c>
      <c r="E156" s="2" t="s">
        <v>28</v>
      </c>
      <c r="F156" s="2" t="s">
        <v>31</v>
      </c>
      <c r="G156" s="2">
        <v>0.2</v>
      </c>
    </row>
    <row r="157" spans="1:7" x14ac:dyDescent="0.3">
      <c r="A157" s="2">
        <v>156</v>
      </c>
      <c r="B157" s="1">
        <v>40550</v>
      </c>
      <c r="C157">
        <v>18</v>
      </c>
      <c r="D157" s="2" t="b">
        <v>0</v>
      </c>
      <c r="E157" s="2" t="s">
        <v>28</v>
      </c>
      <c r="F157" s="2" t="s">
        <v>30</v>
      </c>
      <c r="G157" s="2">
        <v>0.2</v>
      </c>
    </row>
    <row r="158" spans="1:7" x14ac:dyDescent="0.3">
      <c r="A158" s="2">
        <v>157</v>
      </c>
      <c r="B158" s="1">
        <v>40550</v>
      </c>
      <c r="C158">
        <v>19</v>
      </c>
      <c r="D158" s="2" t="b">
        <v>0</v>
      </c>
      <c r="E158" s="2" t="s">
        <v>28</v>
      </c>
      <c r="F158" s="2" t="s">
        <v>30</v>
      </c>
      <c r="G158" s="2">
        <v>0.16</v>
      </c>
    </row>
    <row r="159" spans="1:7" x14ac:dyDescent="0.3">
      <c r="A159" s="2">
        <v>158</v>
      </c>
      <c r="B159" s="1">
        <v>40550</v>
      </c>
      <c r="C159">
        <v>20</v>
      </c>
      <c r="D159" s="2" t="b">
        <v>0</v>
      </c>
      <c r="E159" s="2" t="s">
        <v>28</v>
      </c>
      <c r="F159" s="2" t="s">
        <v>30</v>
      </c>
      <c r="G159" s="2">
        <v>0.18</v>
      </c>
    </row>
    <row r="160" spans="1:7" x14ac:dyDescent="0.3">
      <c r="A160" s="2">
        <v>159</v>
      </c>
      <c r="B160" s="1">
        <v>40550</v>
      </c>
      <c r="C160">
        <v>21</v>
      </c>
      <c r="D160" s="2" t="b">
        <v>0</v>
      </c>
      <c r="E160" s="2" t="s">
        <v>28</v>
      </c>
      <c r="F160" s="2" t="s">
        <v>30</v>
      </c>
      <c r="G160" s="2">
        <v>0.18</v>
      </c>
    </row>
    <row r="161" spans="1:7" x14ac:dyDescent="0.3">
      <c r="A161" s="2">
        <v>160</v>
      </c>
      <c r="B161" s="1">
        <v>40550</v>
      </c>
      <c r="C161">
        <v>22</v>
      </c>
      <c r="D161" s="2" t="b">
        <v>0</v>
      </c>
      <c r="E161" s="2" t="s">
        <v>28</v>
      </c>
      <c r="F161" s="2" t="s">
        <v>31</v>
      </c>
      <c r="G161" s="2">
        <v>0.18</v>
      </c>
    </row>
    <row r="162" spans="1:7" x14ac:dyDescent="0.3">
      <c r="A162" s="2">
        <v>161</v>
      </c>
      <c r="B162" s="1">
        <v>40550</v>
      </c>
      <c r="C162">
        <v>23</v>
      </c>
      <c r="D162" s="2" t="b">
        <v>0</v>
      </c>
      <c r="E162" s="2" t="s">
        <v>28</v>
      </c>
      <c r="F162" s="2" t="s">
        <v>31</v>
      </c>
      <c r="G162" s="2">
        <v>0.18</v>
      </c>
    </row>
    <row r="163" spans="1:7" x14ac:dyDescent="0.3">
      <c r="A163" s="2">
        <v>162</v>
      </c>
      <c r="B163" s="1">
        <v>40551</v>
      </c>
      <c r="C163">
        <v>0</v>
      </c>
      <c r="D163" s="2" t="b">
        <v>0</v>
      </c>
      <c r="E163" s="2" t="s">
        <v>29</v>
      </c>
      <c r="F163" s="2" t="s">
        <v>31</v>
      </c>
      <c r="G163" s="2">
        <v>0.18</v>
      </c>
    </row>
    <row r="164" spans="1:7" x14ac:dyDescent="0.3">
      <c r="A164" s="2">
        <v>163</v>
      </c>
      <c r="B164" s="1">
        <v>40551</v>
      </c>
      <c r="C164">
        <v>1</v>
      </c>
      <c r="D164" s="2" t="b">
        <v>0</v>
      </c>
      <c r="E164" s="2" t="s">
        <v>29</v>
      </c>
      <c r="F164" s="2" t="s">
        <v>31</v>
      </c>
      <c r="G164" s="2">
        <v>0.18</v>
      </c>
    </row>
    <row r="165" spans="1:7" x14ac:dyDescent="0.3">
      <c r="A165" s="2">
        <v>164</v>
      </c>
      <c r="B165" s="1">
        <v>40551</v>
      </c>
      <c r="C165">
        <v>2</v>
      </c>
      <c r="D165" s="2" t="b">
        <v>0</v>
      </c>
      <c r="E165" s="2" t="s">
        <v>29</v>
      </c>
      <c r="F165" s="2" t="s">
        <v>31</v>
      </c>
      <c r="G165" s="2">
        <v>0.18</v>
      </c>
    </row>
    <row r="166" spans="1:7" x14ac:dyDescent="0.3">
      <c r="A166" s="2">
        <v>165</v>
      </c>
      <c r="B166" s="1">
        <v>40551</v>
      </c>
      <c r="C166">
        <v>3</v>
      </c>
      <c r="D166" s="2" t="b">
        <v>0</v>
      </c>
      <c r="E166" s="2" t="s">
        <v>29</v>
      </c>
      <c r="F166" s="2" t="s">
        <v>32</v>
      </c>
      <c r="G166" s="2">
        <v>0.18</v>
      </c>
    </row>
    <row r="167" spans="1:7" x14ac:dyDescent="0.3">
      <c r="A167" s="2">
        <v>166</v>
      </c>
      <c r="B167" s="1">
        <v>40551</v>
      </c>
      <c r="C167">
        <v>4</v>
      </c>
      <c r="D167" s="2" t="b">
        <v>0</v>
      </c>
      <c r="E167" s="2" t="s">
        <v>29</v>
      </c>
      <c r="F167" s="2" t="s">
        <v>32</v>
      </c>
      <c r="G167" s="2">
        <v>0.18</v>
      </c>
    </row>
    <row r="168" spans="1:7" x14ac:dyDescent="0.3">
      <c r="A168" s="2">
        <v>167</v>
      </c>
      <c r="B168" s="1">
        <v>40551</v>
      </c>
      <c r="C168">
        <v>5</v>
      </c>
      <c r="D168" s="2" t="b">
        <v>0</v>
      </c>
      <c r="E168" s="2" t="s">
        <v>29</v>
      </c>
      <c r="F168" s="2" t="s">
        <v>31</v>
      </c>
      <c r="G168" s="2">
        <v>0.16</v>
      </c>
    </row>
    <row r="169" spans="1:7" x14ac:dyDescent="0.3">
      <c r="A169" s="2">
        <v>168</v>
      </c>
      <c r="B169" s="1">
        <v>40551</v>
      </c>
      <c r="C169">
        <v>6</v>
      </c>
      <c r="D169" s="2" t="b">
        <v>0</v>
      </c>
      <c r="E169" s="2" t="s">
        <v>29</v>
      </c>
      <c r="F169" s="2" t="s">
        <v>31</v>
      </c>
      <c r="G169" s="2">
        <v>0.16</v>
      </c>
    </row>
    <row r="170" spans="1:7" x14ac:dyDescent="0.3">
      <c r="A170" s="2">
        <v>169</v>
      </c>
      <c r="B170" s="1">
        <v>40551</v>
      </c>
      <c r="C170">
        <v>7</v>
      </c>
      <c r="D170" s="2" t="b">
        <v>0</v>
      </c>
      <c r="E170" s="2" t="s">
        <v>29</v>
      </c>
      <c r="F170" s="2" t="s">
        <v>31</v>
      </c>
      <c r="G170" s="2">
        <v>0.16</v>
      </c>
    </row>
    <row r="171" spans="1:7" x14ac:dyDescent="0.3">
      <c r="A171" s="2">
        <v>170</v>
      </c>
      <c r="B171" s="1">
        <v>40551</v>
      </c>
      <c r="C171">
        <v>8</v>
      </c>
      <c r="D171" s="2" t="b">
        <v>0</v>
      </c>
      <c r="E171" s="2" t="s">
        <v>29</v>
      </c>
      <c r="F171" s="2" t="s">
        <v>32</v>
      </c>
      <c r="G171" s="2">
        <v>0.16</v>
      </c>
    </row>
    <row r="172" spans="1:7" x14ac:dyDescent="0.3">
      <c r="A172" s="2">
        <v>171</v>
      </c>
      <c r="B172" s="1">
        <v>40551</v>
      </c>
      <c r="C172">
        <v>9</v>
      </c>
      <c r="D172" s="2" t="b">
        <v>0</v>
      </c>
      <c r="E172" s="2" t="s">
        <v>29</v>
      </c>
      <c r="F172" s="2" t="s">
        <v>32</v>
      </c>
      <c r="G172" s="2">
        <v>0.16</v>
      </c>
    </row>
    <row r="173" spans="1:7" x14ac:dyDescent="0.3">
      <c r="A173" s="2">
        <v>172</v>
      </c>
      <c r="B173" s="1">
        <v>40551</v>
      </c>
      <c r="C173">
        <v>10</v>
      </c>
      <c r="D173" s="2" t="b">
        <v>0</v>
      </c>
      <c r="E173" s="2" t="s">
        <v>29</v>
      </c>
      <c r="F173" s="2" t="s">
        <v>31</v>
      </c>
      <c r="G173" s="2">
        <v>0.18</v>
      </c>
    </row>
    <row r="174" spans="1:7" x14ac:dyDescent="0.3">
      <c r="A174" s="2">
        <v>173</v>
      </c>
      <c r="B174" s="1">
        <v>40551</v>
      </c>
      <c r="C174">
        <v>11</v>
      </c>
      <c r="D174" s="2" t="b">
        <v>0</v>
      </c>
      <c r="E174" s="2" t="s">
        <v>29</v>
      </c>
      <c r="F174" s="2" t="s">
        <v>31</v>
      </c>
      <c r="G174" s="2">
        <v>0.2</v>
      </c>
    </row>
    <row r="175" spans="1:7" x14ac:dyDescent="0.3">
      <c r="A175" s="2">
        <v>174</v>
      </c>
      <c r="B175" s="1">
        <v>40551</v>
      </c>
      <c r="C175">
        <v>12</v>
      </c>
      <c r="D175" s="2" t="b">
        <v>0</v>
      </c>
      <c r="E175" s="2" t="s">
        <v>29</v>
      </c>
      <c r="F175" s="2" t="s">
        <v>31</v>
      </c>
      <c r="G175" s="2">
        <v>0.2</v>
      </c>
    </row>
    <row r="176" spans="1:7" x14ac:dyDescent="0.3">
      <c r="A176" s="2">
        <v>175</v>
      </c>
      <c r="B176" s="1">
        <v>40551</v>
      </c>
      <c r="C176">
        <v>13</v>
      </c>
      <c r="D176" s="2" t="b">
        <v>0</v>
      </c>
      <c r="E176" s="2" t="s">
        <v>29</v>
      </c>
      <c r="F176" s="2" t="s">
        <v>30</v>
      </c>
      <c r="G176" s="2">
        <v>0.2</v>
      </c>
    </row>
    <row r="177" spans="1:7" x14ac:dyDescent="0.3">
      <c r="A177" s="2">
        <v>176</v>
      </c>
      <c r="B177" s="1">
        <v>40551</v>
      </c>
      <c r="C177">
        <v>14</v>
      </c>
      <c r="D177" s="2" t="b">
        <v>0</v>
      </c>
      <c r="E177" s="2" t="s">
        <v>29</v>
      </c>
      <c r="F177" s="2" t="s">
        <v>30</v>
      </c>
      <c r="G177" s="2">
        <v>0.2</v>
      </c>
    </row>
    <row r="178" spans="1:7" x14ac:dyDescent="0.3">
      <c r="A178" s="2">
        <v>177</v>
      </c>
      <c r="B178" s="1">
        <v>40551</v>
      </c>
      <c r="C178">
        <v>15</v>
      </c>
      <c r="D178" s="2" t="b">
        <v>0</v>
      </c>
      <c r="E178" s="2" t="s">
        <v>29</v>
      </c>
      <c r="F178" s="2" t="s">
        <v>30</v>
      </c>
      <c r="G178" s="2">
        <v>0.2</v>
      </c>
    </row>
    <row r="179" spans="1:7" x14ac:dyDescent="0.3">
      <c r="A179" s="2">
        <v>178</v>
      </c>
      <c r="B179" s="1">
        <v>40551</v>
      </c>
      <c r="C179">
        <v>16</v>
      </c>
      <c r="D179" s="2" t="b">
        <v>0</v>
      </c>
      <c r="E179" s="2" t="s">
        <v>29</v>
      </c>
      <c r="F179" s="2" t="s">
        <v>30</v>
      </c>
      <c r="G179" s="2">
        <v>0.18</v>
      </c>
    </row>
    <row r="180" spans="1:7" x14ac:dyDescent="0.3">
      <c r="A180" s="2">
        <v>179</v>
      </c>
      <c r="B180" s="1">
        <v>40551</v>
      </c>
      <c r="C180">
        <v>17</v>
      </c>
      <c r="D180" s="2" t="b">
        <v>0</v>
      </c>
      <c r="E180" s="2" t="s">
        <v>29</v>
      </c>
      <c r="F180" s="2" t="s">
        <v>30</v>
      </c>
      <c r="G180" s="2">
        <v>0.16</v>
      </c>
    </row>
    <row r="181" spans="1:7" x14ac:dyDescent="0.3">
      <c r="A181" s="2">
        <v>180</v>
      </c>
      <c r="B181" s="1">
        <v>40551</v>
      </c>
      <c r="C181">
        <v>18</v>
      </c>
      <c r="D181" s="2" t="b">
        <v>0</v>
      </c>
      <c r="E181" s="2" t="s">
        <v>29</v>
      </c>
      <c r="F181" s="2" t="s">
        <v>30</v>
      </c>
      <c r="G181" s="2">
        <v>0.14000000000000001</v>
      </c>
    </row>
    <row r="182" spans="1:7" x14ac:dyDescent="0.3">
      <c r="A182" s="2">
        <v>181</v>
      </c>
      <c r="B182" s="1">
        <v>40551</v>
      </c>
      <c r="C182">
        <v>19</v>
      </c>
      <c r="D182" s="2" t="b">
        <v>0</v>
      </c>
      <c r="E182" s="2" t="s">
        <v>29</v>
      </c>
      <c r="F182" s="2" t="s">
        <v>30</v>
      </c>
      <c r="G182" s="2">
        <v>0.14000000000000001</v>
      </c>
    </row>
    <row r="183" spans="1:7" x14ac:dyDescent="0.3">
      <c r="A183" s="2">
        <v>182</v>
      </c>
      <c r="B183" s="1">
        <v>40551</v>
      </c>
      <c r="C183">
        <v>20</v>
      </c>
      <c r="D183" s="2" t="b">
        <v>0</v>
      </c>
      <c r="E183" s="2" t="s">
        <v>29</v>
      </c>
      <c r="F183" s="2" t="s">
        <v>30</v>
      </c>
      <c r="G183" s="2">
        <v>0.12</v>
      </c>
    </row>
    <row r="184" spans="1:7" x14ac:dyDescent="0.3">
      <c r="A184" s="2">
        <v>183</v>
      </c>
      <c r="B184" s="1">
        <v>40551</v>
      </c>
      <c r="C184">
        <v>21</v>
      </c>
      <c r="D184" s="2" t="b">
        <v>0</v>
      </c>
      <c r="E184" s="2" t="s">
        <v>29</v>
      </c>
      <c r="F184" s="2" t="s">
        <v>30</v>
      </c>
      <c r="G184" s="2">
        <v>0.12</v>
      </c>
    </row>
    <row r="185" spans="1:7" x14ac:dyDescent="0.3">
      <c r="A185" s="2">
        <v>184</v>
      </c>
      <c r="B185" s="1">
        <v>40551</v>
      </c>
      <c r="C185">
        <v>22</v>
      </c>
      <c r="D185" s="2" t="b">
        <v>0</v>
      </c>
      <c r="E185" s="2" t="s">
        <v>29</v>
      </c>
      <c r="F185" s="2" t="s">
        <v>30</v>
      </c>
      <c r="G185" s="2">
        <v>0.12</v>
      </c>
    </row>
    <row r="186" spans="1:7" x14ac:dyDescent="0.3">
      <c r="A186" s="2">
        <v>185</v>
      </c>
      <c r="B186" s="1">
        <v>40551</v>
      </c>
      <c r="C186">
        <v>23</v>
      </c>
      <c r="D186" s="2" t="b">
        <v>0</v>
      </c>
      <c r="E186" s="2" t="s">
        <v>29</v>
      </c>
      <c r="F186" s="2" t="s">
        <v>30</v>
      </c>
      <c r="G186" s="2">
        <v>0.1</v>
      </c>
    </row>
    <row r="187" spans="1:7" x14ac:dyDescent="0.3">
      <c r="A187" s="2">
        <v>186</v>
      </c>
      <c r="B187" s="1">
        <v>40552</v>
      </c>
      <c r="C187">
        <v>0</v>
      </c>
      <c r="D187" s="2" t="b">
        <v>0</v>
      </c>
      <c r="E187" s="2" t="s">
        <v>23</v>
      </c>
      <c r="F187" s="2" t="s">
        <v>30</v>
      </c>
      <c r="G187" s="2">
        <v>0.1</v>
      </c>
    </row>
    <row r="188" spans="1:7" x14ac:dyDescent="0.3">
      <c r="A188" s="2">
        <v>187</v>
      </c>
      <c r="B188" s="1">
        <v>40552</v>
      </c>
      <c r="C188">
        <v>1</v>
      </c>
      <c r="D188" s="2" t="b">
        <v>0</v>
      </c>
      <c r="E188" s="2" t="s">
        <v>23</v>
      </c>
      <c r="F188" s="2" t="s">
        <v>30</v>
      </c>
      <c r="G188" s="2">
        <v>0.1</v>
      </c>
    </row>
    <row r="189" spans="1:7" x14ac:dyDescent="0.3">
      <c r="A189" s="2">
        <v>188</v>
      </c>
      <c r="B189" s="1">
        <v>40552</v>
      </c>
      <c r="C189">
        <v>2</v>
      </c>
      <c r="D189" s="2" t="b">
        <v>0</v>
      </c>
      <c r="E189" s="2" t="s">
        <v>23</v>
      </c>
      <c r="F189" s="2" t="s">
        <v>30</v>
      </c>
      <c r="G189" s="2">
        <v>0.1</v>
      </c>
    </row>
    <row r="190" spans="1:7" x14ac:dyDescent="0.3">
      <c r="A190" s="2">
        <v>189</v>
      </c>
      <c r="B190" s="1">
        <v>40552</v>
      </c>
      <c r="C190">
        <v>3</v>
      </c>
      <c r="D190" s="2" t="b">
        <v>0</v>
      </c>
      <c r="E190" s="2" t="s">
        <v>23</v>
      </c>
      <c r="F190" s="2" t="s">
        <v>30</v>
      </c>
      <c r="G190" s="2">
        <v>0.1</v>
      </c>
    </row>
    <row r="191" spans="1:7" x14ac:dyDescent="0.3">
      <c r="A191" s="2">
        <v>190</v>
      </c>
      <c r="B191" s="1">
        <v>40552</v>
      </c>
      <c r="C191">
        <v>4</v>
      </c>
      <c r="D191" s="2" t="b">
        <v>0</v>
      </c>
      <c r="E191" s="2" t="s">
        <v>23</v>
      </c>
      <c r="F191" s="2" t="s">
        <v>30</v>
      </c>
      <c r="G191" s="2">
        <v>0.08</v>
      </c>
    </row>
    <row r="192" spans="1:7" x14ac:dyDescent="0.3">
      <c r="A192" s="2">
        <v>191</v>
      </c>
      <c r="B192" s="1">
        <v>40552</v>
      </c>
      <c r="C192">
        <v>5</v>
      </c>
      <c r="D192" s="2" t="b">
        <v>0</v>
      </c>
      <c r="E192" s="2" t="s">
        <v>23</v>
      </c>
      <c r="F192" s="2" t="s">
        <v>30</v>
      </c>
      <c r="G192" s="2">
        <v>0.08</v>
      </c>
    </row>
    <row r="193" spans="1:7" x14ac:dyDescent="0.3">
      <c r="A193" s="2">
        <v>192</v>
      </c>
      <c r="B193" s="1">
        <v>40552</v>
      </c>
      <c r="C193">
        <v>6</v>
      </c>
      <c r="D193" s="2" t="b">
        <v>0</v>
      </c>
      <c r="E193" s="2" t="s">
        <v>23</v>
      </c>
      <c r="F193" s="2" t="s">
        <v>30</v>
      </c>
      <c r="G193" s="2">
        <v>0.1</v>
      </c>
    </row>
    <row r="194" spans="1:7" x14ac:dyDescent="0.3">
      <c r="A194" s="2">
        <v>193</v>
      </c>
      <c r="B194" s="1">
        <v>40552</v>
      </c>
      <c r="C194">
        <v>7</v>
      </c>
      <c r="D194" s="2" t="b">
        <v>0</v>
      </c>
      <c r="E194" s="2" t="s">
        <v>23</v>
      </c>
      <c r="F194" s="2" t="s">
        <v>30</v>
      </c>
      <c r="G194" s="2">
        <v>0.08</v>
      </c>
    </row>
    <row r="195" spans="1:7" x14ac:dyDescent="0.3">
      <c r="A195" s="2">
        <v>194</v>
      </c>
      <c r="B195" s="1">
        <v>40552</v>
      </c>
      <c r="C195">
        <v>8</v>
      </c>
      <c r="D195" s="2" t="b">
        <v>0</v>
      </c>
      <c r="E195" s="2" t="s">
        <v>23</v>
      </c>
      <c r="F195" s="2" t="s">
        <v>30</v>
      </c>
      <c r="G195" s="2">
        <v>0.1</v>
      </c>
    </row>
    <row r="196" spans="1:7" x14ac:dyDescent="0.3">
      <c r="A196" s="2">
        <v>195</v>
      </c>
      <c r="B196" s="1">
        <v>40552</v>
      </c>
      <c r="C196">
        <v>9</v>
      </c>
      <c r="D196" s="2" t="b">
        <v>0</v>
      </c>
      <c r="E196" s="2" t="s">
        <v>23</v>
      </c>
      <c r="F196" s="2" t="s">
        <v>30</v>
      </c>
      <c r="G196" s="2">
        <v>0.12</v>
      </c>
    </row>
    <row r="197" spans="1:7" x14ac:dyDescent="0.3">
      <c r="A197" s="2">
        <v>196</v>
      </c>
      <c r="B197" s="1">
        <v>40552</v>
      </c>
      <c r="C197">
        <v>10</v>
      </c>
      <c r="D197" s="2" t="b">
        <v>0</v>
      </c>
      <c r="E197" s="2" t="s">
        <v>23</v>
      </c>
      <c r="F197" s="2" t="s">
        <v>30</v>
      </c>
      <c r="G197" s="2">
        <v>0.14000000000000001</v>
      </c>
    </row>
    <row r="198" spans="1:7" x14ac:dyDescent="0.3">
      <c r="A198" s="2">
        <v>197</v>
      </c>
      <c r="B198" s="1">
        <v>40552</v>
      </c>
      <c r="C198">
        <v>11</v>
      </c>
      <c r="D198" s="2" t="b">
        <v>0</v>
      </c>
      <c r="E198" s="2" t="s">
        <v>23</v>
      </c>
      <c r="F198" s="2" t="s">
        <v>30</v>
      </c>
      <c r="G198" s="2">
        <v>0.16</v>
      </c>
    </row>
    <row r="199" spans="1:7" x14ac:dyDescent="0.3">
      <c r="A199" s="2">
        <v>198</v>
      </c>
      <c r="B199" s="1">
        <v>40552</v>
      </c>
      <c r="C199">
        <v>12</v>
      </c>
      <c r="D199" s="2" t="b">
        <v>0</v>
      </c>
      <c r="E199" s="2" t="s">
        <v>23</v>
      </c>
      <c r="F199" s="2" t="s">
        <v>30</v>
      </c>
      <c r="G199" s="2">
        <v>0.18</v>
      </c>
    </row>
    <row r="200" spans="1:7" x14ac:dyDescent="0.3">
      <c r="A200" s="2">
        <v>199</v>
      </c>
      <c r="B200" s="1">
        <v>40552</v>
      </c>
      <c r="C200">
        <v>13</v>
      </c>
      <c r="D200" s="2" t="b">
        <v>0</v>
      </c>
      <c r="E200" s="2" t="s">
        <v>23</v>
      </c>
      <c r="F200" s="2" t="s">
        <v>30</v>
      </c>
      <c r="G200" s="2">
        <v>0.2</v>
      </c>
    </row>
    <row r="201" spans="1:7" x14ac:dyDescent="0.3">
      <c r="A201" s="2">
        <v>200</v>
      </c>
      <c r="B201" s="1">
        <v>40552</v>
      </c>
      <c r="C201">
        <v>14</v>
      </c>
      <c r="D201" s="2" t="b">
        <v>0</v>
      </c>
      <c r="E201" s="2" t="s">
        <v>23</v>
      </c>
      <c r="F201" s="2" t="s">
        <v>30</v>
      </c>
      <c r="G201" s="2">
        <v>0.22</v>
      </c>
    </row>
    <row r="202" spans="1:7" x14ac:dyDescent="0.3">
      <c r="A202" s="2">
        <v>201</v>
      </c>
      <c r="B202" s="1">
        <v>40552</v>
      </c>
      <c r="C202">
        <v>15</v>
      </c>
      <c r="D202" s="2" t="b">
        <v>0</v>
      </c>
      <c r="E202" s="2" t="s">
        <v>23</v>
      </c>
      <c r="F202" s="2" t="s">
        <v>30</v>
      </c>
      <c r="G202" s="2">
        <v>0.22</v>
      </c>
    </row>
    <row r="203" spans="1:7" x14ac:dyDescent="0.3">
      <c r="A203" s="2">
        <v>202</v>
      </c>
      <c r="B203" s="1">
        <v>40552</v>
      </c>
      <c r="C203">
        <v>16</v>
      </c>
      <c r="D203" s="2" t="b">
        <v>0</v>
      </c>
      <c r="E203" s="2" t="s">
        <v>23</v>
      </c>
      <c r="F203" s="2" t="s">
        <v>30</v>
      </c>
      <c r="G203" s="2">
        <v>0.2</v>
      </c>
    </row>
    <row r="204" spans="1:7" x14ac:dyDescent="0.3">
      <c r="A204" s="2">
        <v>203</v>
      </c>
      <c r="B204" s="1">
        <v>40552</v>
      </c>
      <c r="C204">
        <v>17</v>
      </c>
      <c r="D204" s="2" t="b">
        <v>0</v>
      </c>
      <c r="E204" s="2" t="s">
        <v>23</v>
      </c>
      <c r="F204" s="2" t="s">
        <v>30</v>
      </c>
      <c r="G204" s="2">
        <v>0.18</v>
      </c>
    </row>
    <row r="205" spans="1:7" x14ac:dyDescent="0.3">
      <c r="A205" s="2">
        <v>204</v>
      </c>
      <c r="B205" s="1">
        <v>40552</v>
      </c>
      <c r="C205">
        <v>18</v>
      </c>
      <c r="D205" s="2" t="b">
        <v>0</v>
      </c>
      <c r="E205" s="2" t="s">
        <v>23</v>
      </c>
      <c r="F205" s="2" t="s">
        <v>30</v>
      </c>
      <c r="G205" s="2">
        <v>0.16</v>
      </c>
    </row>
    <row r="206" spans="1:7" x14ac:dyDescent="0.3">
      <c r="A206" s="2">
        <v>205</v>
      </c>
      <c r="B206" s="1">
        <v>40552</v>
      </c>
      <c r="C206">
        <v>19</v>
      </c>
      <c r="D206" s="2" t="b">
        <v>0</v>
      </c>
      <c r="E206" s="2" t="s">
        <v>23</v>
      </c>
      <c r="F206" s="2" t="s">
        <v>30</v>
      </c>
      <c r="G206" s="2">
        <v>0.16</v>
      </c>
    </row>
    <row r="207" spans="1:7" x14ac:dyDescent="0.3">
      <c r="A207" s="2">
        <v>206</v>
      </c>
      <c r="B207" s="1">
        <v>40552</v>
      </c>
      <c r="C207">
        <v>20</v>
      </c>
      <c r="D207" s="2" t="b">
        <v>0</v>
      </c>
      <c r="E207" s="2" t="s">
        <v>23</v>
      </c>
      <c r="F207" s="2" t="s">
        <v>30</v>
      </c>
      <c r="G207" s="2">
        <v>0.14000000000000001</v>
      </c>
    </row>
    <row r="208" spans="1:7" x14ac:dyDescent="0.3">
      <c r="A208" s="2">
        <v>207</v>
      </c>
      <c r="B208" s="1">
        <v>40552</v>
      </c>
      <c r="C208">
        <v>21</v>
      </c>
      <c r="D208" s="2" t="b">
        <v>0</v>
      </c>
      <c r="E208" s="2" t="s">
        <v>23</v>
      </c>
      <c r="F208" s="2" t="s">
        <v>30</v>
      </c>
      <c r="G208" s="2">
        <v>0.14000000000000001</v>
      </c>
    </row>
    <row r="209" spans="1:7" x14ac:dyDescent="0.3">
      <c r="A209" s="2">
        <v>208</v>
      </c>
      <c r="B209" s="1">
        <v>40552</v>
      </c>
      <c r="C209">
        <v>22</v>
      </c>
      <c r="D209" s="2" t="b">
        <v>0</v>
      </c>
      <c r="E209" s="2" t="s">
        <v>23</v>
      </c>
      <c r="F209" s="2" t="s">
        <v>30</v>
      </c>
      <c r="G209" s="2">
        <v>0.14000000000000001</v>
      </c>
    </row>
    <row r="210" spans="1:7" x14ac:dyDescent="0.3">
      <c r="A210" s="2">
        <v>209</v>
      </c>
      <c r="B210" s="1">
        <v>40552</v>
      </c>
      <c r="C210">
        <v>23</v>
      </c>
      <c r="D210" s="2" t="b">
        <v>0</v>
      </c>
      <c r="E210" s="2" t="s">
        <v>23</v>
      </c>
      <c r="F210" s="2" t="s">
        <v>30</v>
      </c>
      <c r="G210" s="2">
        <v>0.12</v>
      </c>
    </row>
    <row r="211" spans="1:7" x14ac:dyDescent="0.3">
      <c r="A211" s="2">
        <v>210</v>
      </c>
      <c r="B211" s="1">
        <v>40553</v>
      </c>
      <c r="C211">
        <v>0</v>
      </c>
      <c r="D211" s="2" t="b">
        <v>0</v>
      </c>
      <c r="E211" s="2" t="s">
        <v>24</v>
      </c>
      <c r="F211" s="2" t="s">
        <v>30</v>
      </c>
      <c r="G211" s="2">
        <v>0.12</v>
      </c>
    </row>
    <row r="212" spans="1:7" x14ac:dyDescent="0.3">
      <c r="A212" s="2">
        <v>211</v>
      </c>
      <c r="B212" s="1">
        <v>40553</v>
      </c>
      <c r="C212">
        <v>1</v>
      </c>
      <c r="D212" s="2" t="b">
        <v>0</v>
      </c>
      <c r="E212" s="2" t="s">
        <v>24</v>
      </c>
      <c r="F212" s="2" t="s">
        <v>30</v>
      </c>
      <c r="G212" s="2">
        <v>0.12</v>
      </c>
    </row>
    <row r="213" spans="1:7" x14ac:dyDescent="0.3">
      <c r="A213" s="2">
        <v>212</v>
      </c>
      <c r="B213" s="1">
        <v>40553</v>
      </c>
      <c r="C213">
        <v>2</v>
      </c>
      <c r="D213" s="2" t="b">
        <v>0</v>
      </c>
      <c r="E213" s="2" t="s">
        <v>24</v>
      </c>
      <c r="F213" s="2" t="s">
        <v>30</v>
      </c>
      <c r="G213" s="2">
        <v>0.12</v>
      </c>
    </row>
    <row r="214" spans="1:7" x14ac:dyDescent="0.3">
      <c r="A214" s="2">
        <v>213</v>
      </c>
      <c r="B214" s="1">
        <v>40553</v>
      </c>
      <c r="C214">
        <v>3</v>
      </c>
      <c r="D214" s="2" t="b">
        <v>0</v>
      </c>
      <c r="E214" s="2" t="s">
        <v>24</v>
      </c>
      <c r="F214" s="2" t="s">
        <v>30</v>
      </c>
      <c r="G214" s="2">
        <v>0.12</v>
      </c>
    </row>
    <row r="215" spans="1:7" x14ac:dyDescent="0.3">
      <c r="A215" s="2">
        <v>214</v>
      </c>
      <c r="B215" s="1">
        <v>40553</v>
      </c>
      <c r="C215">
        <v>4</v>
      </c>
      <c r="D215" s="2" t="b">
        <v>0</v>
      </c>
      <c r="E215" s="2" t="s">
        <v>24</v>
      </c>
      <c r="F215" s="2" t="s">
        <v>30</v>
      </c>
      <c r="G215" s="2">
        <v>0.1</v>
      </c>
    </row>
    <row r="216" spans="1:7" x14ac:dyDescent="0.3">
      <c r="A216" s="2">
        <v>215</v>
      </c>
      <c r="B216" s="1">
        <v>40553</v>
      </c>
      <c r="C216">
        <v>5</v>
      </c>
      <c r="D216" s="2" t="b">
        <v>0</v>
      </c>
      <c r="E216" s="2" t="s">
        <v>24</v>
      </c>
      <c r="F216" s="2" t="s">
        <v>30</v>
      </c>
      <c r="G216" s="2">
        <v>0.1</v>
      </c>
    </row>
    <row r="217" spans="1:7" x14ac:dyDescent="0.3">
      <c r="A217" s="2">
        <v>216</v>
      </c>
      <c r="B217" s="1">
        <v>40553</v>
      </c>
      <c r="C217">
        <v>6</v>
      </c>
      <c r="D217" s="2" t="b">
        <v>0</v>
      </c>
      <c r="E217" s="2" t="s">
        <v>24</v>
      </c>
      <c r="F217" s="2" t="s">
        <v>30</v>
      </c>
      <c r="G217" s="2">
        <v>0.12</v>
      </c>
    </row>
    <row r="218" spans="1:7" x14ac:dyDescent="0.3">
      <c r="A218" s="2">
        <v>217</v>
      </c>
      <c r="B218" s="1">
        <v>40553</v>
      </c>
      <c r="C218">
        <v>7</v>
      </c>
      <c r="D218" s="2" t="b">
        <v>0</v>
      </c>
      <c r="E218" s="2" t="s">
        <v>24</v>
      </c>
      <c r="F218" s="2" t="s">
        <v>30</v>
      </c>
      <c r="G218" s="2">
        <v>0.12</v>
      </c>
    </row>
    <row r="219" spans="1:7" x14ac:dyDescent="0.3">
      <c r="A219" s="2">
        <v>218</v>
      </c>
      <c r="B219" s="1">
        <v>40553</v>
      </c>
      <c r="C219">
        <v>8</v>
      </c>
      <c r="D219" s="2" t="b">
        <v>0</v>
      </c>
      <c r="E219" s="2" t="s">
        <v>24</v>
      </c>
      <c r="F219" s="2" t="s">
        <v>31</v>
      </c>
      <c r="G219" s="2">
        <v>0.12</v>
      </c>
    </row>
    <row r="220" spans="1:7" x14ac:dyDescent="0.3">
      <c r="A220" s="2">
        <v>219</v>
      </c>
      <c r="B220" s="1">
        <v>40553</v>
      </c>
      <c r="C220">
        <v>9</v>
      </c>
      <c r="D220" s="2" t="b">
        <v>0</v>
      </c>
      <c r="E220" s="2" t="s">
        <v>24</v>
      </c>
      <c r="F220" s="2" t="s">
        <v>31</v>
      </c>
      <c r="G220" s="2">
        <v>0.14000000000000001</v>
      </c>
    </row>
    <row r="221" spans="1:7" x14ac:dyDescent="0.3">
      <c r="A221" s="2">
        <v>220</v>
      </c>
      <c r="B221" s="1">
        <v>40553</v>
      </c>
      <c r="C221">
        <v>10</v>
      </c>
      <c r="D221" s="2" t="b">
        <v>0</v>
      </c>
      <c r="E221" s="2" t="s">
        <v>24</v>
      </c>
      <c r="F221" s="2" t="s">
        <v>31</v>
      </c>
      <c r="G221" s="2">
        <v>0.14000000000000001</v>
      </c>
    </row>
    <row r="222" spans="1:7" x14ac:dyDescent="0.3">
      <c r="A222" s="2">
        <v>221</v>
      </c>
      <c r="B222" s="1">
        <v>40553</v>
      </c>
      <c r="C222">
        <v>11</v>
      </c>
      <c r="D222" s="2" t="b">
        <v>0</v>
      </c>
      <c r="E222" s="2" t="s">
        <v>24</v>
      </c>
      <c r="F222" s="2" t="s">
        <v>31</v>
      </c>
      <c r="G222" s="2">
        <v>0.16</v>
      </c>
    </row>
    <row r="223" spans="1:7" x14ac:dyDescent="0.3">
      <c r="A223" s="2">
        <v>222</v>
      </c>
      <c r="B223" s="1">
        <v>40553</v>
      </c>
      <c r="C223">
        <v>12</v>
      </c>
      <c r="D223" s="2" t="b">
        <v>0</v>
      </c>
      <c r="E223" s="2" t="s">
        <v>24</v>
      </c>
      <c r="F223" s="2" t="s">
        <v>31</v>
      </c>
      <c r="G223" s="2">
        <v>0.2</v>
      </c>
    </row>
    <row r="224" spans="1:7" x14ac:dyDescent="0.3">
      <c r="A224" s="2">
        <v>223</v>
      </c>
      <c r="B224" s="1">
        <v>40553</v>
      </c>
      <c r="C224">
        <v>13</v>
      </c>
      <c r="D224" s="2" t="b">
        <v>0</v>
      </c>
      <c r="E224" s="2" t="s">
        <v>24</v>
      </c>
      <c r="F224" s="2" t="s">
        <v>31</v>
      </c>
      <c r="G224" s="2">
        <v>0.2</v>
      </c>
    </row>
    <row r="225" spans="1:7" x14ac:dyDescent="0.3">
      <c r="A225" s="2">
        <v>224</v>
      </c>
      <c r="B225" s="1">
        <v>40553</v>
      </c>
      <c r="C225">
        <v>14</v>
      </c>
      <c r="D225" s="2" t="b">
        <v>0</v>
      </c>
      <c r="E225" s="2" t="s">
        <v>24</v>
      </c>
      <c r="F225" s="2" t="s">
        <v>31</v>
      </c>
      <c r="G225" s="2">
        <v>0.2</v>
      </c>
    </row>
    <row r="226" spans="1:7" x14ac:dyDescent="0.3">
      <c r="A226" s="2">
        <v>225</v>
      </c>
      <c r="B226" s="1">
        <v>40553</v>
      </c>
      <c r="C226">
        <v>15</v>
      </c>
      <c r="D226" s="2" t="b">
        <v>0</v>
      </c>
      <c r="E226" s="2" t="s">
        <v>24</v>
      </c>
      <c r="F226" s="2" t="s">
        <v>31</v>
      </c>
      <c r="G226" s="2">
        <v>0.2</v>
      </c>
    </row>
    <row r="227" spans="1:7" x14ac:dyDescent="0.3">
      <c r="A227" s="2">
        <v>226</v>
      </c>
      <c r="B227" s="1">
        <v>40553</v>
      </c>
      <c r="C227">
        <v>16</v>
      </c>
      <c r="D227" s="2" t="b">
        <v>0</v>
      </c>
      <c r="E227" s="2" t="s">
        <v>24</v>
      </c>
      <c r="F227" s="2" t="s">
        <v>30</v>
      </c>
      <c r="G227" s="2">
        <v>0.2</v>
      </c>
    </row>
    <row r="228" spans="1:7" x14ac:dyDescent="0.3">
      <c r="A228" s="2">
        <v>227</v>
      </c>
      <c r="B228" s="1">
        <v>40553</v>
      </c>
      <c r="C228">
        <v>17</v>
      </c>
      <c r="D228" s="2" t="b">
        <v>0</v>
      </c>
      <c r="E228" s="2" t="s">
        <v>24</v>
      </c>
      <c r="F228" s="2" t="s">
        <v>30</v>
      </c>
      <c r="G228" s="2">
        <v>0.2</v>
      </c>
    </row>
    <row r="229" spans="1:7" x14ac:dyDescent="0.3">
      <c r="A229" s="2">
        <v>228</v>
      </c>
      <c r="B229" s="1">
        <v>40553</v>
      </c>
      <c r="C229">
        <v>18</v>
      </c>
      <c r="D229" s="2" t="b">
        <v>0</v>
      </c>
      <c r="E229" s="2" t="s">
        <v>24</v>
      </c>
      <c r="F229" s="2" t="s">
        <v>30</v>
      </c>
      <c r="G229" s="2">
        <v>0.2</v>
      </c>
    </row>
    <row r="230" spans="1:7" x14ac:dyDescent="0.3">
      <c r="A230" s="2">
        <v>229</v>
      </c>
      <c r="B230" s="1">
        <v>40553</v>
      </c>
      <c r="C230">
        <v>19</v>
      </c>
      <c r="D230" s="2" t="b">
        <v>0</v>
      </c>
      <c r="E230" s="2" t="s">
        <v>24</v>
      </c>
      <c r="F230" s="2" t="s">
        <v>30</v>
      </c>
      <c r="G230" s="2">
        <v>0.16</v>
      </c>
    </row>
    <row r="231" spans="1:7" x14ac:dyDescent="0.3">
      <c r="A231" s="2">
        <v>230</v>
      </c>
      <c r="B231" s="1">
        <v>40553</v>
      </c>
      <c r="C231">
        <v>20</v>
      </c>
      <c r="D231" s="2" t="b">
        <v>0</v>
      </c>
      <c r="E231" s="2" t="s">
        <v>24</v>
      </c>
      <c r="F231" s="2" t="s">
        <v>30</v>
      </c>
      <c r="G231" s="2">
        <v>0.16</v>
      </c>
    </row>
    <row r="232" spans="1:7" x14ac:dyDescent="0.3">
      <c r="A232" s="2">
        <v>231</v>
      </c>
      <c r="B232" s="1">
        <v>40553</v>
      </c>
      <c r="C232">
        <v>21</v>
      </c>
      <c r="D232" s="2" t="b">
        <v>0</v>
      </c>
      <c r="E232" s="2" t="s">
        <v>24</v>
      </c>
      <c r="F232" s="2" t="s">
        <v>30</v>
      </c>
      <c r="G232" s="2">
        <v>0.14000000000000001</v>
      </c>
    </row>
    <row r="233" spans="1:7" x14ac:dyDescent="0.3">
      <c r="A233" s="2">
        <v>232</v>
      </c>
      <c r="B233" s="1">
        <v>40553</v>
      </c>
      <c r="C233">
        <v>22</v>
      </c>
      <c r="D233" s="2" t="b">
        <v>0</v>
      </c>
      <c r="E233" s="2" t="s">
        <v>24</v>
      </c>
      <c r="F233" s="2" t="s">
        <v>30</v>
      </c>
      <c r="G233" s="2">
        <v>0.14000000000000001</v>
      </c>
    </row>
    <row r="234" spans="1:7" x14ac:dyDescent="0.3">
      <c r="A234" s="2">
        <v>233</v>
      </c>
      <c r="B234" s="1">
        <v>40553</v>
      </c>
      <c r="C234">
        <v>23</v>
      </c>
      <c r="D234" s="2" t="b">
        <v>0</v>
      </c>
      <c r="E234" s="2" t="s">
        <v>24</v>
      </c>
      <c r="F234" s="2" t="s">
        <v>30</v>
      </c>
      <c r="G234" s="2">
        <v>0.14000000000000001</v>
      </c>
    </row>
    <row r="235" spans="1:7" x14ac:dyDescent="0.3">
      <c r="A235" s="2">
        <v>234</v>
      </c>
      <c r="B235" s="1">
        <v>40554</v>
      </c>
      <c r="C235">
        <v>0</v>
      </c>
      <c r="D235" s="2" t="b">
        <v>0</v>
      </c>
      <c r="E235" s="2" t="s">
        <v>25</v>
      </c>
      <c r="F235" s="2" t="s">
        <v>30</v>
      </c>
      <c r="G235" s="2">
        <v>0.14000000000000001</v>
      </c>
    </row>
    <row r="236" spans="1:7" x14ac:dyDescent="0.3">
      <c r="A236" s="2">
        <v>235</v>
      </c>
      <c r="B236" s="1">
        <v>40554</v>
      </c>
      <c r="C236">
        <v>1</v>
      </c>
      <c r="D236" s="2" t="b">
        <v>0</v>
      </c>
      <c r="E236" s="2" t="s">
        <v>25</v>
      </c>
      <c r="F236" s="2" t="s">
        <v>30</v>
      </c>
      <c r="G236" s="2">
        <v>0.14000000000000001</v>
      </c>
    </row>
    <row r="237" spans="1:7" x14ac:dyDescent="0.3">
      <c r="A237" s="2">
        <v>236</v>
      </c>
      <c r="B237" s="1">
        <v>40554</v>
      </c>
      <c r="C237">
        <v>2</v>
      </c>
      <c r="D237" s="2" t="b">
        <v>0</v>
      </c>
      <c r="E237" s="2" t="s">
        <v>25</v>
      </c>
      <c r="F237" s="2" t="s">
        <v>31</v>
      </c>
      <c r="G237" s="2">
        <v>0.16</v>
      </c>
    </row>
    <row r="238" spans="1:7" x14ac:dyDescent="0.3">
      <c r="A238" s="2">
        <v>237</v>
      </c>
      <c r="B238" s="1">
        <v>40554</v>
      </c>
      <c r="C238">
        <v>5</v>
      </c>
      <c r="D238" s="2" t="b">
        <v>0</v>
      </c>
      <c r="E238" s="2" t="s">
        <v>25</v>
      </c>
      <c r="F238" s="2" t="s">
        <v>31</v>
      </c>
      <c r="G238" s="2">
        <v>0.16</v>
      </c>
    </row>
    <row r="239" spans="1:7" x14ac:dyDescent="0.3">
      <c r="A239" s="2">
        <v>238</v>
      </c>
      <c r="B239" s="1">
        <v>40554</v>
      </c>
      <c r="C239">
        <v>6</v>
      </c>
      <c r="D239" s="2" t="b">
        <v>0</v>
      </c>
      <c r="E239" s="2" t="s">
        <v>25</v>
      </c>
      <c r="F239" s="2" t="s">
        <v>31</v>
      </c>
      <c r="G239" s="2">
        <v>0.16</v>
      </c>
    </row>
    <row r="240" spans="1:7" x14ac:dyDescent="0.3">
      <c r="A240" s="2">
        <v>239</v>
      </c>
      <c r="B240" s="1">
        <v>40554</v>
      </c>
      <c r="C240">
        <v>7</v>
      </c>
      <c r="D240" s="2" t="b">
        <v>0</v>
      </c>
      <c r="E240" s="2" t="s">
        <v>25</v>
      </c>
      <c r="F240" s="2" t="s">
        <v>31</v>
      </c>
      <c r="G240" s="2">
        <v>0.16</v>
      </c>
    </row>
    <row r="241" spans="1:7" x14ac:dyDescent="0.3">
      <c r="A241" s="2">
        <v>240</v>
      </c>
      <c r="B241" s="1">
        <v>40554</v>
      </c>
      <c r="C241">
        <v>8</v>
      </c>
      <c r="D241" s="2" t="b">
        <v>0</v>
      </c>
      <c r="E241" s="2" t="s">
        <v>25</v>
      </c>
      <c r="F241" s="2" t="s">
        <v>31</v>
      </c>
      <c r="G241" s="2">
        <v>0.18</v>
      </c>
    </row>
    <row r="242" spans="1:7" x14ac:dyDescent="0.3">
      <c r="A242" s="2">
        <v>241</v>
      </c>
      <c r="B242" s="1">
        <v>40554</v>
      </c>
      <c r="C242">
        <v>9</v>
      </c>
      <c r="D242" s="2" t="b">
        <v>0</v>
      </c>
      <c r="E242" s="2" t="s">
        <v>25</v>
      </c>
      <c r="F242" s="2" t="s">
        <v>31</v>
      </c>
      <c r="G242" s="2">
        <v>0.18</v>
      </c>
    </row>
    <row r="243" spans="1:7" x14ac:dyDescent="0.3">
      <c r="A243" s="2">
        <v>242</v>
      </c>
      <c r="B243" s="1">
        <v>40554</v>
      </c>
      <c r="C243">
        <v>10</v>
      </c>
      <c r="D243" s="2" t="b">
        <v>0</v>
      </c>
      <c r="E243" s="2" t="s">
        <v>25</v>
      </c>
      <c r="F243" s="2" t="s">
        <v>31</v>
      </c>
      <c r="G243" s="2">
        <v>0.2</v>
      </c>
    </row>
    <row r="244" spans="1:7" x14ac:dyDescent="0.3">
      <c r="A244" s="2">
        <v>243</v>
      </c>
      <c r="B244" s="1">
        <v>40554</v>
      </c>
      <c r="C244">
        <v>11</v>
      </c>
      <c r="D244" s="2" t="b">
        <v>0</v>
      </c>
      <c r="E244" s="2" t="s">
        <v>25</v>
      </c>
      <c r="F244" s="2" t="s">
        <v>31</v>
      </c>
      <c r="G244" s="2">
        <v>0.2</v>
      </c>
    </row>
    <row r="245" spans="1:7" x14ac:dyDescent="0.3">
      <c r="A245" s="2">
        <v>244</v>
      </c>
      <c r="B245" s="1">
        <v>40554</v>
      </c>
      <c r="C245">
        <v>12</v>
      </c>
      <c r="D245" s="2" t="b">
        <v>0</v>
      </c>
      <c r="E245" s="2" t="s">
        <v>25</v>
      </c>
      <c r="F245" s="2" t="s">
        <v>31</v>
      </c>
      <c r="G245" s="2">
        <v>0.2</v>
      </c>
    </row>
    <row r="246" spans="1:7" x14ac:dyDescent="0.3">
      <c r="A246" s="2">
        <v>245</v>
      </c>
      <c r="B246" s="1">
        <v>40554</v>
      </c>
      <c r="C246">
        <v>13</v>
      </c>
      <c r="D246" s="2" t="b">
        <v>0</v>
      </c>
      <c r="E246" s="2" t="s">
        <v>25</v>
      </c>
      <c r="F246" s="2" t="s">
        <v>31</v>
      </c>
      <c r="G246" s="2">
        <v>0.2</v>
      </c>
    </row>
    <row r="247" spans="1:7" x14ac:dyDescent="0.3">
      <c r="A247" s="2">
        <v>246</v>
      </c>
      <c r="B247" s="1">
        <v>40554</v>
      </c>
      <c r="C247">
        <v>14</v>
      </c>
      <c r="D247" s="2" t="b">
        <v>0</v>
      </c>
      <c r="E247" s="2" t="s">
        <v>25</v>
      </c>
      <c r="F247" s="2" t="s">
        <v>31</v>
      </c>
      <c r="G247" s="2">
        <v>0.2</v>
      </c>
    </row>
    <row r="248" spans="1:7" x14ac:dyDescent="0.3">
      <c r="A248" s="2">
        <v>247</v>
      </c>
      <c r="B248" s="1">
        <v>40554</v>
      </c>
      <c r="C248">
        <v>15</v>
      </c>
      <c r="D248" s="2" t="b">
        <v>0</v>
      </c>
      <c r="E248" s="2" t="s">
        <v>25</v>
      </c>
      <c r="F248" s="2" t="s">
        <v>31</v>
      </c>
      <c r="G248" s="2">
        <v>0.16</v>
      </c>
    </row>
    <row r="249" spans="1:7" x14ac:dyDescent="0.3">
      <c r="A249" s="2">
        <v>248</v>
      </c>
      <c r="B249" s="1">
        <v>40554</v>
      </c>
      <c r="C249">
        <v>16</v>
      </c>
      <c r="D249" s="2" t="b">
        <v>0</v>
      </c>
      <c r="E249" s="2" t="s">
        <v>25</v>
      </c>
      <c r="F249" s="2" t="s">
        <v>31</v>
      </c>
      <c r="G249" s="2">
        <v>0.16</v>
      </c>
    </row>
    <row r="250" spans="1:7" x14ac:dyDescent="0.3">
      <c r="A250" s="2">
        <v>249</v>
      </c>
      <c r="B250" s="1">
        <v>40554</v>
      </c>
      <c r="C250">
        <v>17</v>
      </c>
      <c r="D250" s="2" t="b">
        <v>0</v>
      </c>
      <c r="E250" s="2" t="s">
        <v>25</v>
      </c>
      <c r="F250" s="2" t="s">
        <v>31</v>
      </c>
      <c r="G250" s="2">
        <v>0.16</v>
      </c>
    </row>
    <row r="251" spans="1:7" x14ac:dyDescent="0.3">
      <c r="A251" s="2">
        <v>250</v>
      </c>
      <c r="B251" s="1">
        <v>40554</v>
      </c>
      <c r="C251">
        <v>18</v>
      </c>
      <c r="D251" s="2" t="b">
        <v>0</v>
      </c>
      <c r="E251" s="2" t="s">
        <v>25</v>
      </c>
      <c r="F251" s="2" t="s">
        <v>32</v>
      </c>
      <c r="G251" s="2">
        <v>0.16</v>
      </c>
    </row>
    <row r="252" spans="1:7" x14ac:dyDescent="0.3">
      <c r="A252" s="2">
        <v>251</v>
      </c>
      <c r="B252" s="1">
        <v>40554</v>
      </c>
      <c r="C252">
        <v>19</v>
      </c>
      <c r="D252" s="2" t="b">
        <v>0</v>
      </c>
      <c r="E252" s="2" t="s">
        <v>25</v>
      </c>
      <c r="F252" s="2" t="s">
        <v>32</v>
      </c>
      <c r="G252" s="2">
        <v>0.16</v>
      </c>
    </row>
    <row r="253" spans="1:7" x14ac:dyDescent="0.3">
      <c r="A253" s="2">
        <v>252</v>
      </c>
      <c r="B253" s="1">
        <v>40554</v>
      </c>
      <c r="C253">
        <v>20</v>
      </c>
      <c r="D253" s="2" t="b">
        <v>0</v>
      </c>
      <c r="E253" s="2" t="s">
        <v>25</v>
      </c>
      <c r="F253" s="2" t="s">
        <v>32</v>
      </c>
      <c r="G253" s="2">
        <v>0.16</v>
      </c>
    </row>
    <row r="254" spans="1:7" x14ac:dyDescent="0.3">
      <c r="A254" s="2">
        <v>253</v>
      </c>
      <c r="B254" s="1">
        <v>40554</v>
      </c>
      <c r="C254">
        <v>21</v>
      </c>
      <c r="D254" s="2" t="b">
        <v>0</v>
      </c>
      <c r="E254" s="2" t="s">
        <v>25</v>
      </c>
      <c r="F254" s="2" t="s">
        <v>32</v>
      </c>
      <c r="G254" s="2">
        <v>0.16</v>
      </c>
    </row>
    <row r="255" spans="1:7" x14ac:dyDescent="0.3">
      <c r="A255" s="2">
        <v>254</v>
      </c>
      <c r="B255" s="1">
        <v>40554</v>
      </c>
      <c r="C255">
        <v>22</v>
      </c>
      <c r="D255" s="2" t="b">
        <v>0</v>
      </c>
      <c r="E255" s="2" t="s">
        <v>25</v>
      </c>
      <c r="F255" s="2" t="s">
        <v>32</v>
      </c>
      <c r="G255" s="2">
        <v>0.16</v>
      </c>
    </row>
    <row r="256" spans="1:7" x14ac:dyDescent="0.3">
      <c r="A256" s="2">
        <v>255</v>
      </c>
      <c r="B256" s="1">
        <v>40554</v>
      </c>
      <c r="C256">
        <v>23</v>
      </c>
      <c r="D256" s="2" t="b">
        <v>0</v>
      </c>
      <c r="E256" s="2" t="s">
        <v>25</v>
      </c>
      <c r="F256" s="2" t="s">
        <v>32</v>
      </c>
      <c r="G256" s="2">
        <v>0.16</v>
      </c>
    </row>
    <row r="257" spans="1:7" x14ac:dyDescent="0.3">
      <c r="A257" s="2">
        <v>256</v>
      </c>
      <c r="B257" s="1">
        <v>40555</v>
      </c>
      <c r="C257">
        <v>0</v>
      </c>
      <c r="D257" s="2" t="b">
        <v>0</v>
      </c>
      <c r="E257" s="2" t="s">
        <v>26</v>
      </c>
      <c r="F257" s="2" t="s">
        <v>31</v>
      </c>
      <c r="G257" s="2">
        <v>0.16</v>
      </c>
    </row>
    <row r="258" spans="1:7" x14ac:dyDescent="0.3">
      <c r="A258" s="2">
        <v>257</v>
      </c>
      <c r="B258" s="1">
        <v>40555</v>
      </c>
      <c r="C258">
        <v>1</v>
      </c>
      <c r="D258" s="2" t="b">
        <v>0</v>
      </c>
      <c r="E258" s="2" t="s">
        <v>26</v>
      </c>
      <c r="F258" s="2" t="s">
        <v>31</v>
      </c>
      <c r="G258" s="2">
        <v>0.16</v>
      </c>
    </row>
    <row r="259" spans="1:7" x14ac:dyDescent="0.3">
      <c r="A259" s="2">
        <v>258</v>
      </c>
      <c r="B259" s="1">
        <v>40555</v>
      </c>
      <c r="C259">
        <v>2</v>
      </c>
      <c r="D259" s="2" t="b">
        <v>0</v>
      </c>
      <c r="E259" s="2" t="s">
        <v>26</v>
      </c>
      <c r="F259" s="2" t="s">
        <v>30</v>
      </c>
      <c r="G259" s="2">
        <v>0.14000000000000001</v>
      </c>
    </row>
    <row r="260" spans="1:7" x14ac:dyDescent="0.3">
      <c r="A260" s="2">
        <v>259</v>
      </c>
      <c r="B260" s="1">
        <v>40555</v>
      </c>
      <c r="C260">
        <v>5</v>
      </c>
      <c r="D260" s="2" t="b">
        <v>0</v>
      </c>
      <c r="E260" s="2" t="s">
        <v>26</v>
      </c>
      <c r="F260" s="2" t="s">
        <v>30</v>
      </c>
      <c r="G260" s="2">
        <v>0.14000000000000001</v>
      </c>
    </row>
    <row r="261" spans="1:7" x14ac:dyDescent="0.3">
      <c r="A261" s="2">
        <v>260</v>
      </c>
      <c r="B261" s="1">
        <v>40555</v>
      </c>
      <c r="C261">
        <v>6</v>
      </c>
      <c r="D261" s="2" t="b">
        <v>0</v>
      </c>
      <c r="E261" s="2" t="s">
        <v>26</v>
      </c>
      <c r="F261" s="2" t="s">
        <v>30</v>
      </c>
      <c r="G261" s="2">
        <v>0.12</v>
      </c>
    </row>
    <row r="262" spans="1:7" x14ac:dyDescent="0.3">
      <c r="A262" s="2">
        <v>261</v>
      </c>
      <c r="B262" s="1">
        <v>40555</v>
      </c>
      <c r="C262">
        <v>7</v>
      </c>
      <c r="D262" s="2" t="b">
        <v>0</v>
      </c>
      <c r="E262" s="2" t="s">
        <v>26</v>
      </c>
      <c r="F262" s="2" t="s">
        <v>30</v>
      </c>
      <c r="G262" s="2">
        <v>0.14000000000000001</v>
      </c>
    </row>
    <row r="263" spans="1:7" x14ac:dyDescent="0.3">
      <c r="A263" s="2">
        <v>262</v>
      </c>
      <c r="B263" s="1">
        <v>40555</v>
      </c>
      <c r="C263">
        <v>8</v>
      </c>
      <c r="D263" s="2" t="b">
        <v>0</v>
      </c>
      <c r="E263" s="2" t="s">
        <v>26</v>
      </c>
      <c r="F263" s="2" t="s">
        <v>30</v>
      </c>
      <c r="G263" s="2">
        <v>0.16</v>
      </c>
    </row>
    <row r="264" spans="1:7" x14ac:dyDescent="0.3">
      <c r="A264" s="2">
        <v>263</v>
      </c>
      <c r="B264" s="1">
        <v>40555</v>
      </c>
      <c r="C264">
        <v>9</v>
      </c>
      <c r="D264" s="2" t="b">
        <v>0</v>
      </c>
      <c r="E264" s="2" t="s">
        <v>26</v>
      </c>
      <c r="F264" s="2" t="s">
        <v>30</v>
      </c>
      <c r="G264" s="2">
        <v>0.16</v>
      </c>
    </row>
    <row r="265" spans="1:7" x14ac:dyDescent="0.3">
      <c r="A265" s="2">
        <v>264</v>
      </c>
      <c r="B265" s="1">
        <v>40555</v>
      </c>
      <c r="C265">
        <v>10</v>
      </c>
      <c r="D265" s="2" t="b">
        <v>0</v>
      </c>
      <c r="E265" s="2" t="s">
        <v>26</v>
      </c>
      <c r="F265" s="2" t="s">
        <v>30</v>
      </c>
      <c r="G265" s="2">
        <v>0.18</v>
      </c>
    </row>
    <row r="266" spans="1:7" x14ac:dyDescent="0.3">
      <c r="A266" s="2">
        <v>265</v>
      </c>
      <c r="B266" s="1">
        <v>40555</v>
      </c>
      <c r="C266">
        <v>11</v>
      </c>
      <c r="D266" s="2" t="b">
        <v>0</v>
      </c>
      <c r="E266" s="2" t="s">
        <v>26</v>
      </c>
      <c r="F266" s="2" t="s">
        <v>30</v>
      </c>
      <c r="G266" s="2">
        <v>0.2</v>
      </c>
    </row>
    <row r="267" spans="1:7" x14ac:dyDescent="0.3">
      <c r="A267" s="2">
        <v>266</v>
      </c>
      <c r="B267" s="1">
        <v>40555</v>
      </c>
      <c r="C267">
        <v>12</v>
      </c>
      <c r="D267" s="2" t="b">
        <v>0</v>
      </c>
      <c r="E267" s="2" t="s">
        <v>26</v>
      </c>
      <c r="F267" s="2" t="s">
        <v>30</v>
      </c>
      <c r="G267" s="2">
        <v>0.2</v>
      </c>
    </row>
    <row r="268" spans="1:7" x14ac:dyDescent="0.3">
      <c r="A268" s="2">
        <v>267</v>
      </c>
      <c r="B268" s="1">
        <v>40555</v>
      </c>
      <c r="C268">
        <v>13</v>
      </c>
      <c r="D268" s="2" t="b">
        <v>0</v>
      </c>
      <c r="E268" s="2" t="s">
        <v>26</v>
      </c>
      <c r="F268" s="2" t="s">
        <v>30</v>
      </c>
      <c r="G268" s="2">
        <v>0.22</v>
      </c>
    </row>
    <row r="269" spans="1:7" x14ac:dyDescent="0.3">
      <c r="A269" s="2">
        <v>268</v>
      </c>
      <c r="B269" s="1">
        <v>40555</v>
      </c>
      <c r="C269">
        <v>14</v>
      </c>
      <c r="D269" s="2" t="b">
        <v>0</v>
      </c>
      <c r="E269" s="2" t="s">
        <v>26</v>
      </c>
      <c r="F269" s="2" t="s">
        <v>30</v>
      </c>
      <c r="G269" s="2">
        <v>0.2</v>
      </c>
    </row>
    <row r="270" spans="1:7" x14ac:dyDescent="0.3">
      <c r="A270" s="2">
        <v>269</v>
      </c>
      <c r="B270" s="1">
        <v>40555</v>
      </c>
      <c r="C270">
        <v>15</v>
      </c>
      <c r="D270" s="2" t="b">
        <v>0</v>
      </c>
      <c r="E270" s="2" t="s">
        <v>26</v>
      </c>
      <c r="F270" s="2" t="s">
        <v>30</v>
      </c>
      <c r="G270" s="2">
        <v>0.2</v>
      </c>
    </row>
    <row r="271" spans="1:7" x14ac:dyDescent="0.3">
      <c r="A271" s="2">
        <v>270</v>
      </c>
      <c r="B271" s="1">
        <v>40555</v>
      </c>
      <c r="C271">
        <v>16</v>
      </c>
      <c r="D271" s="2" t="b">
        <v>0</v>
      </c>
      <c r="E271" s="2" t="s">
        <v>26</v>
      </c>
      <c r="F271" s="2" t="s">
        <v>30</v>
      </c>
      <c r="G271" s="2">
        <v>0.22</v>
      </c>
    </row>
    <row r="272" spans="1:7" x14ac:dyDescent="0.3">
      <c r="A272" s="2">
        <v>271</v>
      </c>
      <c r="B272" s="1">
        <v>40555</v>
      </c>
      <c r="C272">
        <v>17</v>
      </c>
      <c r="D272" s="2" t="b">
        <v>0</v>
      </c>
      <c r="E272" s="2" t="s">
        <v>26</v>
      </c>
      <c r="F272" s="2" t="s">
        <v>30</v>
      </c>
      <c r="G272" s="2">
        <v>0.2</v>
      </c>
    </row>
    <row r="273" spans="1:7" x14ac:dyDescent="0.3">
      <c r="A273" s="2">
        <v>272</v>
      </c>
      <c r="B273" s="1">
        <v>40555</v>
      </c>
      <c r="C273">
        <v>18</v>
      </c>
      <c r="D273" s="2" t="b">
        <v>0</v>
      </c>
      <c r="E273" s="2" t="s">
        <v>26</v>
      </c>
      <c r="F273" s="2" t="s">
        <v>30</v>
      </c>
      <c r="G273" s="2">
        <v>0.2</v>
      </c>
    </row>
    <row r="274" spans="1:7" x14ac:dyDescent="0.3">
      <c r="A274" s="2">
        <v>273</v>
      </c>
      <c r="B274" s="1">
        <v>40555</v>
      </c>
      <c r="C274">
        <v>19</v>
      </c>
      <c r="D274" s="2" t="b">
        <v>0</v>
      </c>
      <c r="E274" s="2" t="s">
        <v>26</v>
      </c>
      <c r="F274" s="2" t="s">
        <v>30</v>
      </c>
      <c r="G274" s="2">
        <v>0.18</v>
      </c>
    </row>
    <row r="275" spans="1:7" x14ac:dyDescent="0.3">
      <c r="A275" s="2">
        <v>274</v>
      </c>
      <c r="B275" s="1">
        <v>40555</v>
      </c>
      <c r="C275">
        <v>20</v>
      </c>
      <c r="D275" s="2" t="b">
        <v>0</v>
      </c>
      <c r="E275" s="2" t="s">
        <v>26</v>
      </c>
      <c r="F275" s="2" t="s">
        <v>30</v>
      </c>
      <c r="G275" s="2">
        <v>0.16</v>
      </c>
    </row>
    <row r="276" spans="1:7" x14ac:dyDescent="0.3">
      <c r="A276" s="2">
        <v>275</v>
      </c>
      <c r="B276" s="1">
        <v>40555</v>
      </c>
      <c r="C276">
        <v>21</v>
      </c>
      <c r="D276" s="2" t="b">
        <v>0</v>
      </c>
      <c r="E276" s="2" t="s">
        <v>26</v>
      </c>
      <c r="F276" s="2" t="s">
        <v>30</v>
      </c>
      <c r="G276" s="2">
        <v>0.16</v>
      </c>
    </row>
    <row r="277" spans="1:7" x14ac:dyDescent="0.3">
      <c r="A277" s="2">
        <v>276</v>
      </c>
      <c r="B277" s="1">
        <v>40555</v>
      </c>
      <c r="C277">
        <v>22</v>
      </c>
      <c r="D277" s="2" t="b">
        <v>0</v>
      </c>
      <c r="E277" s="2" t="s">
        <v>26</v>
      </c>
      <c r="F277" s="2" t="s">
        <v>30</v>
      </c>
      <c r="G277" s="2">
        <v>0.16</v>
      </c>
    </row>
    <row r="278" spans="1:7" x14ac:dyDescent="0.3">
      <c r="A278" s="2">
        <v>277</v>
      </c>
      <c r="B278" s="1">
        <v>40555</v>
      </c>
      <c r="C278">
        <v>23</v>
      </c>
      <c r="D278" s="2" t="b">
        <v>0</v>
      </c>
      <c r="E278" s="2" t="s">
        <v>26</v>
      </c>
      <c r="F278" s="2" t="s">
        <v>30</v>
      </c>
      <c r="G278" s="2">
        <v>0.14000000000000001</v>
      </c>
    </row>
    <row r="279" spans="1:7" x14ac:dyDescent="0.3">
      <c r="A279" s="2">
        <v>278</v>
      </c>
      <c r="B279" s="1">
        <v>40556</v>
      </c>
      <c r="C279">
        <v>0</v>
      </c>
      <c r="D279" s="2" t="b">
        <v>0</v>
      </c>
      <c r="E279" s="2" t="s">
        <v>27</v>
      </c>
      <c r="F279" s="2" t="s">
        <v>30</v>
      </c>
      <c r="G279" s="2">
        <v>0.14000000000000001</v>
      </c>
    </row>
    <row r="280" spans="1:7" x14ac:dyDescent="0.3">
      <c r="A280" s="2">
        <v>279</v>
      </c>
      <c r="B280" s="1">
        <v>40556</v>
      </c>
      <c r="C280">
        <v>1</v>
      </c>
      <c r="D280" s="2" t="b">
        <v>0</v>
      </c>
      <c r="E280" s="2" t="s">
        <v>27</v>
      </c>
      <c r="F280" s="2" t="s">
        <v>30</v>
      </c>
      <c r="G280" s="2">
        <v>0.14000000000000001</v>
      </c>
    </row>
    <row r="281" spans="1:7" x14ac:dyDescent="0.3">
      <c r="A281" s="2">
        <v>280</v>
      </c>
      <c r="B281" s="1">
        <v>40556</v>
      </c>
      <c r="C281">
        <v>2</v>
      </c>
      <c r="D281" s="2" t="b">
        <v>0</v>
      </c>
      <c r="E281" s="2" t="s">
        <v>27</v>
      </c>
      <c r="F281" s="2" t="s">
        <v>30</v>
      </c>
      <c r="G281" s="2">
        <v>0.14000000000000001</v>
      </c>
    </row>
    <row r="282" spans="1:7" x14ac:dyDescent="0.3">
      <c r="A282" s="2">
        <v>281</v>
      </c>
      <c r="B282" s="1">
        <v>40556</v>
      </c>
      <c r="C282">
        <v>3</v>
      </c>
      <c r="D282" s="2" t="b">
        <v>0</v>
      </c>
      <c r="E282" s="2" t="s">
        <v>27</v>
      </c>
      <c r="F282" s="2" t="s">
        <v>30</v>
      </c>
      <c r="G282" s="2">
        <v>0.14000000000000001</v>
      </c>
    </row>
    <row r="283" spans="1:7" x14ac:dyDescent="0.3">
      <c r="A283" s="2">
        <v>282</v>
      </c>
      <c r="B283" s="1">
        <v>40556</v>
      </c>
      <c r="C283">
        <v>4</v>
      </c>
      <c r="D283" s="2" t="b">
        <v>0</v>
      </c>
      <c r="E283" s="2" t="s">
        <v>27</v>
      </c>
      <c r="F283" s="2" t="s">
        <v>30</v>
      </c>
      <c r="G283" s="2">
        <v>0.14000000000000001</v>
      </c>
    </row>
    <row r="284" spans="1:7" x14ac:dyDescent="0.3">
      <c r="A284" s="2">
        <v>283</v>
      </c>
      <c r="B284" s="1">
        <v>40556</v>
      </c>
      <c r="C284">
        <v>5</v>
      </c>
      <c r="D284" s="2" t="b">
        <v>0</v>
      </c>
      <c r="E284" s="2" t="s">
        <v>27</v>
      </c>
      <c r="F284" s="2" t="s">
        <v>30</v>
      </c>
      <c r="G284" s="2">
        <v>0.14000000000000001</v>
      </c>
    </row>
    <row r="285" spans="1:7" x14ac:dyDescent="0.3">
      <c r="A285" s="2">
        <v>284</v>
      </c>
      <c r="B285" s="1">
        <v>40556</v>
      </c>
      <c r="C285">
        <v>6</v>
      </c>
      <c r="D285" s="2" t="b">
        <v>0</v>
      </c>
      <c r="E285" s="2" t="s">
        <v>27</v>
      </c>
      <c r="F285" s="2" t="s">
        <v>30</v>
      </c>
      <c r="G285" s="2">
        <v>0.12</v>
      </c>
    </row>
    <row r="286" spans="1:7" x14ac:dyDescent="0.3">
      <c r="A286" s="2">
        <v>285</v>
      </c>
      <c r="B286" s="1">
        <v>40556</v>
      </c>
      <c r="C286">
        <v>7</v>
      </c>
      <c r="D286" s="2" t="b">
        <v>0</v>
      </c>
      <c r="E286" s="2" t="s">
        <v>27</v>
      </c>
      <c r="F286" s="2" t="s">
        <v>30</v>
      </c>
      <c r="G286" s="2">
        <v>0.12</v>
      </c>
    </row>
    <row r="287" spans="1:7" x14ac:dyDescent="0.3">
      <c r="A287" s="2">
        <v>286</v>
      </c>
      <c r="B287" s="1">
        <v>40556</v>
      </c>
      <c r="C287">
        <v>8</v>
      </c>
      <c r="D287" s="2" t="b">
        <v>0</v>
      </c>
      <c r="E287" s="2" t="s">
        <v>27</v>
      </c>
      <c r="F287" s="2" t="s">
        <v>30</v>
      </c>
      <c r="G287" s="2">
        <v>0.14000000000000001</v>
      </c>
    </row>
    <row r="288" spans="1:7" x14ac:dyDescent="0.3">
      <c r="A288" s="2">
        <v>287</v>
      </c>
      <c r="B288" s="1">
        <v>40556</v>
      </c>
      <c r="C288">
        <v>9</v>
      </c>
      <c r="D288" s="2" t="b">
        <v>0</v>
      </c>
      <c r="E288" s="2" t="s">
        <v>27</v>
      </c>
      <c r="F288" s="2" t="s">
        <v>30</v>
      </c>
      <c r="G288" s="2">
        <v>0.14000000000000001</v>
      </c>
    </row>
    <row r="289" spans="1:7" x14ac:dyDescent="0.3">
      <c r="A289" s="2">
        <v>288</v>
      </c>
      <c r="B289" s="1">
        <v>40556</v>
      </c>
      <c r="C289">
        <v>10</v>
      </c>
      <c r="D289" s="2" t="b">
        <v>0</v>
      </c>
      <c r="E289" s="2" t="s">
        <v>27</v>
      </c>
      <c r="F289" s="2" t="s">
        <v>31</v>
      </c>
      <c r="G289" s="2">
        <v>0.16</v>
      </c>
    </row>
    <row r="290" spans="1:7" x14ac:dyDescent="0.3">
      <c r="A290" s="2">
        <v>289</v>
      </c>
      <c r="B290" s="1">
        <v>40556</v>
      </c>
      <c r="C290">
        <v>11</v>
      </c>
      <c r="D290" s="2" t="b">
        <v>0</v>
      </c>
      <c r="E290" s="2" t="s">
        <v>27</v>
      </c>
      <c r="F290" s="2" t="s">
        <v>31</v>
      </c>
      <c r="G290" s="2">
        <v>0.2</v>
      </c>
    </row>
    <row r="291" spans="1:7" x14ac:dyDescent="0.3">
      <c r="A291" s="2">
        <v>290</v>
      </c>
      <c r="B291" s="1">
        <v>40556</v>
      </c>
      <c r="C291">
        <v>12</v>
      </c>
      <c r="D291" s="2" t="b">
        <v>0</v>
      </c>
      <c r="E291" s="2" t="s">
        <v>27</v>
      </c>
      <c r="F291" s="2" t="s">
        <v>30</v>
      </c>
      <c r="G291" s="2">
        <v>0.2</v>
      </c>
    </row>
    <row r="292" spans="1:7" x14ac:dyDescent="0.3">
      <c r="A292" s="2">
        <v>291</v>
      </c>
      <c r="B292" s="1">
        <v>40556</v>
      </c>
      <c r="C292">
        <v>13</v>
      </c>
      <c r="D292" s="2" t="b">
        <v>0</v>
      </c>
      <c r="E292" s="2" t="s">
        <v>27</v>
      </c>
      <c r="F292" s="2" t="s">
        <v>30</v>
      </c>
      <c r="G292" s="2">
        <v>0.22</v>
      </c>
    </row>
    <row r="293" spans="1:7" x14ac:dyDescent="0.3">
      <c r="A293" s="2">
        <v>292</v>
      </c>
      <c r="B293" s="1">
        <v>40556</v>
      </c>
      <c r="C293">
        <v>14</v>
      </c>
      <c r="D293" s="2" t="b">
        <v>0</v>
      </c>
      <c r="E293" s="2" t="s">
        <v>27</v>
      </c>
      <c r="F293" s="2" t="s">
        <v>30</v>
      </c>
      <c r="G293" s="2">
        <v>0.22</v>
      </c>
    </row>
    <row r="294" spans="1:7" x14ac:dyDescent="0.3">
      <c r="A294" s="2">
        <v>293</v>
      </c>
      <c r="B294" s="1">
        <v>40556</v>
      </c>
      <c r="C294">
        <v>15</v>
      </c>
      <c r="D294" s="2" t="b">
        <v>0</v>
      </c>
      <c r="E294" s="2" t="s">
        <v>27</v>
      </c>
      <c r="F294" s="2" t="s">
        <v>30</v>
      </c>
      <c r="G294" s="2">
        <v>0.24</v>
      </c>
    </row>
    <row r="295" spans="1:7" x14ac:dyDescent="0.3">
      <c r="A295" s="2">
        <v>294</v>
      </c>
      <c r="B295" s="1">
        <v>40556</v>
      </c>
      <c r="C295">
        <v>16</v>
      </c>
      <c r="D295" s="2" t="b">
        <v>0</v>
      </c>
      <c r="E295" s="2" t="s">
        <v>27</v>
      </c>
      <c r="F295" s="2" t="s">
        <v>30</v>
      </c>
      <c r="G295" s="2">
        <v>0.24</v>
      </c>
    </row>
    <row r="296" spans="1:7" x14ac:dyDescent="0.3">
      <c r="A296" s="2">
        <v>295</v>
      </c>
      <c r="B296" s="1">
        <v>40556</v>
      </c>
      <c r="C296">
        <v>17</v>
      </c>
      <c r="D296" s="2" t="b">
        <v>0</v>
      </c>
      <c r="E296" s="2" t="s">
        <v>27</v>
      </c>
      <c r="F296" s="2" t="s">
        <v>30</v>
      </c>
      <c r="G296" s="2">
        <v>0.2</v>
      </c>
    </row>
    <row r="297" spans="1:7" x14ac:dyDescent="0.3">
      <c r="A297" s="2">
        <v>296</v>
      </c>
      <c r="B297" s="1">
        <v>40556</v>
      </c>
      <c r="C297">
        <v>18</v>
      </c>
      <c r="D297" s="2" t="b">
        <v>0</v>
      </c>
      <c r="E297" s="2" t="s">
        <v>27</v>
      </c>
      <c r="F297" s="2" t="s">
        <v>30</v>
      </c>
      <c r="G297" s="2">
        <v>0.2</v>
      </c>
    </row>
    <row r="298" spans="1:7" x14ac:dyDescent="0.3">
      <c r="A298" s="2">
        <v>297</v>
      </c>
      <c r="B298" s="1">
        <v>40556</v>
      </c>
      <c r="C298">
        <v>19</v>
      </c>
      <c r="D298" s="2" t="b">
        <v>0</v>
      </c>
      <c r="E298" s="2" t="s">
        <v>27</v>
      </c>
      <c r="F298" s="2" t="s">
        <v>30</v>
      </c>
      <c r="G298" s="2">
        <v>0.16</v>
      </c>
    </row>
    <row r="299" spans="1:7" x14ac:dyDescent="0.3">
      <c r="A299" s="2">
        <v>298</v>
      </c>
      <c r="B299" s="1">
        <v>40556</v>
      </c>
      <c r="C299">
        <v>20</v>
      </c>
      <c r="D299" s="2" t="b">
        <v>0</v>
      </c>
      <c r="E299" s="2" t="s">
        <v>27</v>
      </c>
      <c r="F299" s="2" t="s">
        <v>30</v>
      </c>
      <c r="G299" s="2">
        <v>0.16</v>
      </c>
    </row>
    <row r="300" spans="1:7" x14ac:dyDescent="0.3">
      <c r="A300" s="2">
        <v>299</v>
      </c>
      <c r="B300" s="1">
        <v>40556</v>
      </c>
      <c r="C300">
        <v>21</v>
      </c>
      <c r="D300" s="2" t="b">
        <v>0</v>
      </c>
      <c r="E300" s="2" t="s">
        <v>27</v>
      </c>
      <c r="F300" s="2" t="s">
        <v>30</v>
      </c>
      <c r="G300" s="2">
        <v>0.14000000000000001</v>
      </c>
    </row>
    <row r="301" spans="1:7" x14ac:dyDescent="0.3">
      <c r="A301" s="2">
        <v>300</v>
      </c>
      <c r="B301" s="1">
        <v>40556</v>
      </c>
      <c r="C301">
        <v>22</v>
      </c>
      <c r="D301" s="2" t="b">
        <v>0</v>
      </c>
      <c r="E301" s="2" t="s">
        <v>27</v>
      </c>
      <c r="F301" s="2" t="s">
        <v>30</v>
      </c>
      <c r="G301" s="2">
        <v>0.14000000000000001</v>
      </c>
    </row>
    <row r="302" spans="1:7" x14ac:dyDescent="0.3">
      <c r="A302" s="2">
        <v>301</v>
      </c>
      <c r="B302" s="1">
        <v>40556</v>
      </c>
      <c r="C302">
        <v>23</v>
      </c>
      <c r="D302" s="2" t="b">
        <v>0</v>
      </c>
      <c r="E302" s="2" t="s">
        <v>27</v>
      </c>
      <c r="F302" s="2" t="s">
        <v>30</v>
      </c>
      <c r="G302" s="2">
        <v>0.12</v>
      </c>
    </row>
    <row r="303" spans="1:7" x14ac:dyDescent="0.3">
      <c r="A303" s="2">
        <v>302</v>
      </c>
      <c r="B303" s="1">
        <v>40557</v>
      </c>
      <c r="C303">
        <v>0</v>
      </c>
      <c r="D303" s="2" t="b">
        <v>0</v>
      </c>
      <c r="E303" s="2" t="s">
        <v>28</v>
      </c>
      <c r="F303" s="2" t="s">
        <v>30</v>
      </c>
      <c r="G303" s="2">
        <v>0.12</v>
      </c>
    </row>
    <row r="304" spans="1:7" x14ac:dyDescent="0.3">
      <c r="A304" s="2">
        <v>303</v>
      </c>
      <c r="B304" s="1">
        <v>40557</v>
      </c>
      <c r="C304">
        <v>1</v>
      </c>
      <c r="D304" s="2" t="b">
        <v>0</v>
      </c>
      <c r="E304" s="2" t="s">
        <v>28</v>
      </c>
      <c r="F304" s="2" t="s">
        <v>30</v>
      </c>
      <c r="G304" s="2">
        <v>0.1</v>
      </c>
    </row>
    <row r="305" spans="1:7" x14ac:dyDescent="0.3">
      <c r="A305" s="2">
        <v>304</v>
      </c>
      <c r="B305" s="1">
        <v>40557</v>
      </c>
      <c r="C305">
        <v>2</v>
      </c>
      <c r="D305" s="2" t="b">
        <v>0</v>
      </c>
      <c r="E305" s="2" t="s">
        <v>28</v>
      </c>
      <c r="F305" s="2" t="s">
        <v>30</v>
      </c>
      <c r="G305" s="2">
        <v>0.1</v>
      </c>
    </row>
    <row r="306" spans="1:7" x14ac:dyDescent="0.3">
      <c r="A306" s="2">
        <v>305</v>
      </c>
      <c r="B306" s="1">
        <v>40557</v>
      </c>
      <c r="C306">
        <v>3</v>
      </c>
      <c r="D306" s="2" t="b">
        <v>0</v>
      </c>
      <c r="E306" s="2" t="s">
        <v>28</v>
      </c>
      <c r="F306" s="2" t="s">
        <v>30</v>
      </c>
      <c r="G306" s="2">
        <v>0.1</v>
      </c>
    </row>
    <row r="307" spans="1:7" x14ac:dyDescent="0.3">
      <c r="A307" s="2">
        <v>306</v>
      </c>
      <c r="B307" s="1">
        <v>40557</v>
      </c>
      <c r="C307">
        <v>5</v>
      </c>
      <c r="D307" s="2" t="b">
        <v>0</v>
      </c>
      <c r="E307" s="2" t="s">
        <v>28</v>
      </c>
      <c r="F307" s="2" t="s">
        <v>30</v>
      </c>
      <c r="G307" s="2">
        <v>0.1</v>
      </c>
    </row>
    <row r="308" spans="1:7" x14ac:dyDescent="0.3">
      <c r="A308" s="2">
        <v>307</v>
      </c>
      <c r="B308" s="1">
        <v>40557</v>
      </c>
      <c r="C308">
        <v>6</v>
      </c>
      <c r="D308" s="2" t="b">
        <v>0</v>
      </c>
      <c r="E308" s="2" t="s">
        <v>28</v>
      </c>
      <c r="F308" s="2" t="s">
        <v>30</v>
      </c>
      <c r="G308" s="2">
        <v>0.1</v>
      </c>
    </row>
    <row r="309" spans="1:7" x14ac:dyDescent="0.3">
      <c r="A309" s="2">
        <v>308</v>
      </c>
      <c r="B309" s="1">
        <v>40557</v>
      </c>
      <c r="C309">
        <v>7</v>
      </c>
      <c r="D309" s="2" t="b">
        <v>0</v>
      </c>
      <c r="E309" s="2" t="s">
        <v>28</v>
      </c>
      <c r="F309" s="2" t="s">
        <v>30</v>
      </c>
      <c r="G309" s="2">
        <v>0.1</v>
      </c>
    </row>
    <row r="310" spans="1:7" x14ac:dyDescent="0.3">
      <c r="A310" s="2">
        <v>309</v>
      </c>
      <c r="B310" s="1">
        <v>40557</v>
      </c>
      <c r="C310">
        <v>8</v>
      </c>
      <c r="D310" s="2" t="b">
        <v>0</v>
      </c>
      <c r="E310" s="2" t="s">
        <v>28</v>
      </c>
      <c r="F310" s="2" t="s">
        <v>30</v>
      </c>
      <c r="G310" s="2">
        <v>0.12</v>
      </c>
    </row>
    <row r="311" spans="1:7" x14ac:dyDescent="0.3">
      <c r="A311" s="2">
        <v>310</v>
      </c>
      <c r="B311" s="1">
        <v>40557</v>
      </c>
      <c r="C311">
        <v>9</v>
      </c>
      <c r="D311" s="2" t="b">
        <v>0</v>
      </c>
      <c r="E311" s="2" t="s">
        <v>28</v>
      </c>
      <c r="F311" s="2" t="s">
        <v>30</v>
      </c>
      <c r="G311" s="2">
        <v>0.14000000000000001</v>
      </c>
    </row>
    <row r="312" spans="1:7" x14ac:dyDescent="0.3">
      <c r="A312" s="2">
        <v>311</v>
      </c>
      <c r="B312" s="1">
        <v>40557</v>
      </c>
      <c r="C312">
        <v>10</v>
      </c>
      <c r="D312" s="2" t="b">
        <v>0</v>
      </c>
      <c r="E312" s="2" t="s">
        <v>28</v>
      </c>
      <c r="F312" s="2" t="s">
        <v>30</v>
      </c>
      <c r="G312" s="2">
        <v>0.18</v>
      </c>
    </row>
    <row r="313" spans="1:7" x14ac:dyDescent="0.3">
      <c r="A313" s="2">
        <v>312</v>
      </c>
      <c r="B313" s="1">
        <v>40557</v>
      </c>
      <c r="C313">
        <v>11</v>
      </c>
      <c r="D313" s="2" t="b">
        <v>0</v>
      </c>
      <c r="E313" s="2" t="s">
        <v>28</v>
      </c>
      <c r="F313" s="2" t="s">
        <v>30</v>
      </c>
      <c r="G313" s="2">
        <v>0.18</v>
      </c>
    </row>
    <row r="314" spans="1:7" x14ac:dyDescent="0.3">
      <c r="A314" s="2">
        <v>313</v>
      </c>
      <c r="B314" s="1">
        <v>40557</v>
      </c>
      <c r="C314">
        <v>12</v>
      </c>
      <c r="D314" s="2" t="b">
        <v>0</v>
      </c>
      <c r="E314" s="2" t="s">
        <v>28</v>
      </c>
      <c r="F314" s="2" t="s">
        <v>30</v>
      </c>
      <c r="G314" s="2">
        <v>0.2</v>
      </c>
    </row>
    <row r="315" spans="1:7" x14ac:dyDescent="0.3">
      <c r="A315" s="2">
        <v>314</v>
      </c>
      <c r="B315" s="1">
        <v>40557</v>
      </c>
      <c r="C315">
        <v>13</v>
      </c>
      <c r="D315" s="2" t="b">
        <v>0</v>
      </c>
      <c r="E315" s="2" t="s">
        <v>28</v>
      </c>
      <c r="F315" s="2" t="s">
        <v>30</v>
      </c>
      <c r="G315" s="2">
        <v>0.22</v>
      </c>
    </row>
    <row r="316" spans="1:7" x14ac:dyDescent="0.3">
      <c r="A316" s="2">
        <v>315</v>
      </c>
      <c r="B316" s="1">
        <v>40557</v>
      </c>
      <c r="C316">
        <v>14</v>
      </c>
      <c r="D316" s="2" t="b">
        <v>0</v>
      </c>
      <c r="E316" s="2" t="s">
        <v>28</v>
      </c>
      <c r="F316" s="2" t="s">
        <v>30</v>
      </c>
      <c r="G316" s="2">
        <v>0.22</v>
      </c>
    </row>
    <row r="317" spans="1:7" x14ac:dyDescent="0.3">
      <c r="A317" s="2">
        <v>316</v>
      </c>
      <c r="B317" s="1">
        <v>40557</v>
      </c>
      <c r="C317">
        <v>15</v>
      </c>
      <c r="D317" s="2" t="b">
        <v>0</v>
      </c>
      <c r="E317" s="2" t="s">
        <v>28</v>
      </c>
      <c r="F317" s="2" t="s">
        <v>30</v>
      </c>
      <c r="G317" s="2">
        <v>0.24</v>
      </c>
    </row>
    <row r="318" spans="1:7" x14ac:dyDescent="0.3">
      <c r="A318" s="2">
        <v>317</v>
      </c>
      <c r="B318" s="1">
        <v>40557</v>
      </c>
      <c r="C318">
        <v>16</v>
      </c>
      <c r="D318" s="2" t="b">
        <v>0</v>
      </c>
      <c r="E318" s="2" t="s">
        <v>28</v>
      </c>
      <c r="F318" s="2" t="s">
        <v>30</v>
      </c>
      <c r="G318" s="2">
        <v>0.22</v>
      </c>
    </row>
    <row r="319" spans="1:7" x14ac:dyDescent="0.3">
      <c r="A319" s="2">
        <v>318</v>
      </c>
      <c r="B319" s="1">
        <v>40557</v>
      </c>
      <c r="C319">
        <v>17</v>
      </c>
      <c r="D319" s="2" t="b">
        <v>0</v>
      </c>
      <c r="E319" s="2" t="s">
        <v>28</v>
      </c>
      <c r="F319" s="2" t="s">
        <v>30</v>
      </c>
      <c r="G319" s="2">
        <v>0.22</v>
      </c>
    </row>
    <row r="320" spans="1:7" x14ac:dyDescent="0.3">
      <c r="A320" s="2">
        <v>319</v>
      </c>
      <c r="B320" s="1">
        <v>40557</v>
      </c>
      <c r="C320">
        <v>18</v>
      </c>
      <c r="D320" s="2" t="b">
        <v>0</v>
      </c>
      <c r="E320" s="2" t="s">
        <v>28</v>
      </c>
      <c r="F320" s="2" t="s">
        <v>30</v>
      </c>
      <c r="G320" s="2">
        <v>0.2</v>
      </c>
    </row>
    <row r="321" spans="1:7" x14ac:dyDescent="0.3">
      <c r="A321" s="2">
        <v>320</v>
      </c>
      <c r="B321" s="1">
        <v>40557</v>
      </c>
      <c r="C321">
        <v>19</v>
      </c>
      <c r="D321" s="2" t="b">
        <v>0</v>
      </c>
      <c r="E321" s="2" t="s">
        <v>28</v>
      </c>
      <c r="F321" s="2" t="s">
        <v>30</v>
      </c>
      <c r="G321" s="2">
        <v>0.16</v>
      </c>
    </row>
    <row r="322" spans="1:7" x14ac:dyDescent="0.3">
      <c r="A322" s="2">
        <v>321</v>
      </c>
      <c r="B322" s="1">
        <v>40557</v>
      </c>
      <c r="C322">
        <v>20</v>
      </c>
      <c r="D322" s="2" t="b">
        <v>0</v>
      </c>
      <c r="E322" s="2" t="s">
        <v>28</v>
      </c>
      <c r="F322" s="2" t="s">
        <v>30</v>
      </c>
      <c r="G322" s="2">
        <v>0.18</v>
      </c>
    </row>
    <row r="323" spans="1:7" x14ac:dyDescent="0.3">
      <c r="A323" s="2">
        <v>322</v>
      </c>
      <c r="B323" s="1">
        <v>40557</v>
      </c>
      <c r="C323">
        <v>21</v>
      </c>
      <c r="D323" s="2" t="b">
        <v>0</v>
      </c>
      <c r="E323" s="2" t="s">
        <v>28</v>
      </c>
      <c r="F323" s="2" t="s">
        <v>30</v>
      </c>
      <c r="G323" s="2">
        <v>0.16</v>
      </c>
    </row>
    <row r="324" spans="1:7" x14ac:dyDescent="0.3">
      <c r="A324" s="2">
        <v>323</v>
      </c>
      <c r="B324" s="1">
        <v>40557</v>
      </c>
      <c r="C324">
        <v>22</v>
      </c>
      <c r="D324" s="2" t="b">
        <v>0</v>
      </c>
      <c r="E324" s="2" t="s">
        <v>28</v>
      </c>
      <c r="F324" s="2" t="s">
        <v>31</v>
      </c>
      <c r="G324" s="2">
        <v>0.16</v>
      </c>
    </row>
    <row r="325" spans="1:7" x14ac:dyDescent="0.3">
      <c r="A325" s="2">
        <v>324</v>
      </c>
      <c r="B325" s="1">
        <v>40557</v>
      </c>
      <c r="C325">
        <v>23</v>
      </c>
      <c r="D325" s="2" t="b">
        <v>0</v>
      </c>
      <c r="E325" s="2" t="s">
        <v>28</v>
      </c>
      <c r="F325" s="2" t="s">
        <v>31</v>
      </c>
      <c r="G325" s="2">
        <v>0.18</v>
      </c>
    </row>
    <row r="326" spans="1:7" x14ac:dyDescent="0.3">
      <c r="A326" s="2">
        <v>325</v>
      </c>
      <c r="B326" s="1">
        <v>40558</v>
      </c>
      <c r="C326">
        <v>0</v>
      </c>
      <c r="D326" s="2" t="b">
        <v>0</v>
      </c>
      <c r="E326" s="2" t="s">
        <v>29</v>
      </c>
      <c r="F326" s="2" t="s">
        <v>30</v>
      </c>
      <c r="G326" s="2">
        <v>0.18</v>
      </c>
    </row>
    <row r="327" spans="1:7" x14ac:dyDescent="0.3">
      <c r="A327" s="2">
        <v>326</v>
      </c>
      <c r="B327" s="1">
        <v>40558</v>
      </c>
      <c r="C327">
        <v>1</v>
      </c>
      <c r="D327" s="2" t="b">
        <v>0</v>
      </c>
      <c r="E327" s="2" t="s">
        <v>29</v>
      </c>
      <c r="F327" s="2" t="s">
        <v>31</v>
      </c>
      <c r="G327" s="2">
        <v>0.16</v>
      </c>
    </row>
    <row r="328" spans="1:7" x14ac:dyDescent="0.3">
      <c r="A328" s="2">
        <v>327</v>
      </c>
      <c r="B328" s="1">
        <v>40558</v>
      </c>
      <c r="C328">
        <v>2</v>
      </c>
      <c r="D328" s="2" t="b">
        <v>0</v>
      </c>
      <c r="E328" s="2" t="s">
        <v>29</v>
      </c>
      <c r="F328" s="2" t="s">
        <v>31</v>
      </c>
      <c r="G328" s="2">
        <v>0.16</v>
      </c>
    </row>
    <row r="329" spans="1:7" x14ac:dyDescent="0.3">
      <c r="A329" s="2">
        <v>328</v>
      </c>
      <c r="B329" s="1">
        <v>40558</v>
      </c>
      <c r="C329">
        <v>3</v>
      </c>
      <c r="D329" s="2" t="b">
        <v>0</v>
      </c>
      <c r="E329" s="2" t="s">
        <v>29</v>
      </c>
      <c r="F329" s="2" t="s">
        <v>31</v>
      </c>
      <c r="G329" s="2">
        <v>0.16</v>
      </c>
    </row>
    <row r="330" spans="1:7" x14ac:dyDescent="0.3">
      <c r="A330" s="2">
        <v>329</v>
      </c>
      <c r="B330" s="1">
        <v>40558</v>
      </c>
      <c r="C330">
        <v>4</v>
      </c>
      <c r="D330" s="2" t="b">
        <v>0</v>
      </c>
      <c r="E330" s="2" t="s">
        <v>29</v>
      </c>
      <c r="F330" s="2" t="s">
        <v>31</v>
      </c>
      <c r="G330" s="2">
        <v>0.16</v>
      </c>
    </row>
    <row r="331" spans="1:7" x14ac:dyDescent="0.3">
      <c r="A331" s="2">
        <v>330</v>
      </c>
      <c r="B331" s="1">
        <v>40558</v>
      </c>
      <c r="C331">
        <v>5</v>
      </c>
      <c r="D331" s="2" t="b">
        <v>0</v>
      </c>
      <c r="E331" s="2" t="s">
        <v>29</v>
      </c>
      <c r="F331" s="2" t="s">
        <v>30</v>
      </c>
      <c r="G331" s="2">
        <v>0.16</v>
      </c>
    </row>
    <row r="332" spans="1:7" x14ac:dyDescent="0.3">
      <c r="A332" s="2">
        <v>331</v>
      </c>
      <c r="B332" s="1">
        <v>40558</v>
      </c>
      <c r="C332">
        <v>6</v>
      </c>
      <c r="D332" s="2" t="b">
        <v>0</v>
      </c>
      <c r="E332" s="2" t="s">
        <v>29</v>
      </c>
      <c r="F332" s="2" t="s">
        <v>30</v>
      </c>
      <c r="G332" s="2">
        <v>0.14000000000000001</v>
      </c>
    </row>
    <row r="333" spans="1:7" x14ac:dyDescent="0.3">
      <c r="A333" s="2">
        <v>332</v>
      </c>
      <c r="B333" s="1">
        <v>40558</v>
      </c>
      <c r="C333">
        <v>7</v>
      </c>
      <c r="D333" s="2" t="b">
        <v>0</v>
      </c>
      <c r="E333" s="2" t="s">
        <v>29</v>
      </c>
      <c r="F333" s="2" t="s">
        <v>30</v>
      </c>
      <c r="G333" s="2">
        <v>0.14000000000000001</v>
      </c>
    </row>
    <row r="334" spans="1:7" x14ac:dyDescent="0.3">
      <c r="A334" s="2">
        <v>333</v>
      </c>
      <c r="B334" s="1">
        <v>40558</v>
      </c>
      <c r="C334">
        <v>8</v>
      </c>
      <c r="D334" s="2" t="b">
        <v>0</v>
      </c>
      <c r="E334" s="2" t="s">
        <v>29</v>
      </c>
      <c r="F334" s="2" t="s">
        <v>30</v>
      </c>
      <c r="G334" s="2">
        <v>0.14000000000000001</v>
      </c>
    </row>
    <row r="335" spans="1:7" x14ac:dyDescent="0.3">
      <c r="A335" s="2">
        <v>334</v>
      </c>
      <c r="B335" s="1">
        <v>40558</v>
      </c>
      <c r="C335">
        <v>9</v>
      </c>
      <c r="D335" s="2" t="b">
        <v>0</v>
      </c>
      <c r="E335" s="2" t="s">
        <v>29</v>
      </c>
      <c r="F335" s="2" t="s">
        <v>30</v>
      </c>
      <c r="G335" s="2">
        <v>0.16</v>
      </c>
    </row>
    <row r="336" spans="1:7" x14ac:dyDescent="0.3">
      <c r="A336" s="2">
        <v>335</v>
      </c>
      <c r="B336" s="1">
        <v>40558</v>
      </c>
      <c r="C336">
        <v>10</v>
      </c>
      <c r="D336" s="2" t="b">
        <v>0</v>
      </c>
      <c r="E336" s="2" t="s">
        <v>29</v>
      </c>
      <c r="F336" s="2" t="s">
        <v>30</v>
      </c>
      <c r="G336" s="2">
        <v>0.18</v>
      </c>
    </row>
    <row r="337" spans="1:7" x14ac:dyDescent="0.3">
      <c r="A337" s="2">
        <v>336</v>
      </c>
      <c r="B337" s="1">
        <v>40558</v>
      </c>
      <c r="C337">
        <v>11</v>
      </c>
      <c r="D337" s="2" t="b">
        <v>0</v>
      </c>
      <c r="E337" s="2" t="s">
        <v>29</v>
      </c>
      <c r="F337" s="2" t="s">
        <v>30</v>
      </c>
      <c r="G337" s="2">
        <v>0.2</v>
      </c>
    </row>
    <row r="338" spans="1:7" x14ac:dyDescent="0.3">
      <c r="A338" s="2">
        <v>337</v>
      </c>
      <c r="B338" s="1">
        <v>40558</v>
      </c>
      <c r="C338">
        <v>12</v>
      </c>
      <c r="D338" s="2" t="b">
        <v>0</v>
      </c>
      <c r="E338" s="2" t="s">
        <v>29</v>
      </c>
      <c r="F338" s="2" t="s">
        <v>30</v>
      </c>
      <c r="G338" s="2">
        <v>0.24</v>
      </c>
    </row>
    <row r="339" spans="1:7" x14ac:dyDescent="0.3">
      <c r="A339" s="2">
        <v>338</v>
      </c>
      <c r="B339" s="1">
        <v>40558</v>
      </c>
      <c r="C339">
        <v>13</v>
      </c>
      <c r="D339" s="2" t="b">
        <v>0</v>
      </c>
      <c r="E339" s="2" t="s">
        <v>29</v>
      </c>
      <c r="F339" s="2" t="s">
        <v>30</v>
      </c>
      <c r="G339" s="2">
        <v>0.28000000000000003</v>
      </c>
    </row>
    <row r="340" spans="1:7" x14ac:dyDescent="0.3">
      <c r="A340" s="2">
        <v>339</v>
      </c>
      <c r="B340" s="1">
        <v>40558</v>
      </c>
      <c r="C340">
        <v>14</v>
      </c>
      <c r="D340" s="2" t="b">
        <v>0</v>
      </c>
      <c r="E340" s="2" t="s">
        <v>29</v>
      </c>
      <c r="F340" s="2" t="s">
        <v>30</v>
      </c>
      <c r="G340" s="2">
        <v>0.3</v>
      </c>
    </row>
    <row r="341" spans="1:7" x14ac:dyDescent="0.3">
      <c r="A341" s="2">
        <v>340</v>
      </c>
      <c r="B341" s="1">
        <v>40558</v>
      </c>
      <c r="C341">
        <v>15</v>
      </c>
      <c r="D341" s="2" t="b">
        <v>0</v>
      </c>
      <c r="E341" s="2" t="s">
        <v>29</v>
      </c>
      <c r="F341" s="2" t="s">
        <v>31</v>
      </c>
      <c r="G341" s="2">
        <v>0.32</v>
      </c>
    </row>
    <row r="342" spans="1:7" x14ac:dyDescent="0.3">
      <c r="A342" s="2">
        <v>341</v>
      </c>
      <c r="B342" s="1">
        <v>40558</v>
      </c>
      <c r="C342">
        <v>16</v>
      </c>
      <c r="D342" s="2" t="b">
        <v>0</v>
      </c>
      <c r="E342" s="2" t="s">
        <v>29</v>
      </c>
      <c r="F342" s="2" t="s">
        <v>31</v>
      </c>
      <c r="G342" s="2">
        <v>0.34</v>
      </c>
    </row>
    <row r="343" spans="1:7" x14ac:dyDescent="0.3">
      <c r="A343" s="2">
        <v>342</v>
      </c>
      <c r="B343" s="1">
        <v>40558</v>
      </c>
      <c r="C343">
        <v>17</v>
      </c>
      <c r="D343" s="2" t="b">
        <v>0</v>
      </c>
      <c r="E343" s="2" t="s">
        <v>29</v>
      </c>
      <c r="F343" s="2" t="s">
        <v>31</v>
      </c>
      <c r="G343" s="2">
        <v>0.32</v>
      </c>
    </row>
    <row r="344" spans="1:7" x14ac:dyDescent="0.3">
      <c r="A344" s="2">
        <v>343</v>
      </c>
      <c r="B344" s="1">
        <v>40558</v>
      </c>
      <c r="C344">
        <v>18</v>
      </c>
      <c r="D344" s="2" t="b">
        <v>0</v>
      </c>
      <c r="E344" s="2" t="s">
        <v>29</v>
      </c>
      <c r="F344" s="2" t="s">
        <v>31</v>
      </c>
      <c r="G344" s="2">
        <v>0.3</v>
      </c>
    </row>
    <row r="345" spans="1:7" x14ac:dyDescent="0.3">
      <c r="A345" s="2">
        <v>344</v>
      </c>
      <c r="B345" s="1">
        <v>40558</v>
      </c>
      <c r="C345">
        <v>19</v>
      </c>
      <c r="D345" s="2" t="b">
        <v>0</v>
      </c>
      <c r="E345" s="2" t="s">
        <v>29</v>
      </c>
      <c r="F345" s="2" t="s">
        <v>31</v>
      </c>
      <c r="G345" s="2">
        <v>0.32</v>
      </c>
    </row>
    <row r="346" spans="1:7" x14ac:dyDescent="0.3">
      <c r="A346" s="2">
        <v>345</v>
      </c>
      <c r="B346" s="1">
        <v>40558</v>
      </c>
      <c r="C346">
        <v>20</v>
      </c>
      <c r="D346" s="2" t="b">
        <v>0</v>
      </c>
      <c r="E346" s="2" t="s">
        <v>29</v>
      </c>
      <c r="F346" s="2" t="s">
        <v>31</v>
      </c>
      <c r="G346" s="2">
        <v>0.32</v>
      </c>
    </row>
    <row r="347" spans="1:7" x14ac:dyDescent="0.3">
      <c r="A347" s="2">
        <v>346</v>
      </c>
      <c r="B347" s="1">
        <v>40558</v>
      </c>
      <c r="C347">
        <v>21</v>
      </c>
      <c r="D347" s="2" t="b">
        <v>0</v>
      </c>
      <c r="E347" s="2" t="s">
        <v>29</v>
      </c>
      <c r="F347" s="2" t="s">
        <v>31</v>
      </c>
      <c r="G347" s="2">
        <v>0.32</v>
      </c>
    </row>
    <row r="348" spans="1:7" x14ac:dyDescent="0.3">
      <c r="A348" s="2">
        <v>347</v>
      </c>
      <c r="B348" s="1">
        <v>40558</v>
      </c>
      <c r="C348">
        <v>22</v>
      </c>
      <c r="D348" s="2" t="b">
        <v>0</v>
      </c>
      <c r="E348" s="2" t="s">
        <v>29</v>
      </c>
      <c r="F348" s="2" t="s">
        <v>31</v>
      </c>
      <c r="G348" s="2">
        <v>0.3</v>
      </c>
    </row>
    <row r="349" spans="1:7" x14ac:dyDescent="0.3">
      <c r="A349" s="2">
        <v>348</v>
      </c>
      <c r="B349" s="1">
        <v>40558</v>
      </c>
      <c r="C349">
        <v>23</v>
      </c>
      <c r="D349" s="2" t="b">
        <v>0</v>
      </c>
      <c r="E349" s="2" t="s">
        <v>29</v>
      </c>
      <c r="F349" s="2" t="s">
        <v>30</v>
      </c>
      <c r="G349" s="2">
        <v>0.3</v>
      </c>
    </row>
    <row r="350" spans="1:7" x14ac:dyDescent="0.3">
      <c r="A350" s="2">
        <v>349</v>
      </c>
      <c r="B350" s="1">
        <v>40559</v>
      </c>
      <c r="C350">
        <v>0</v>
      </c>
      <c r="D350" s="2" t="b">
        <v>0</v>
      </c>
      <c r="E350" s="2" t="s">
        <v>23</v>
      </c>
      <c r="F350" s="2" t="s">
        <v>30</v>
      </c>
      <c r="G350" s="2">
        <v>0.26</v>
      </c>
    </row>
    <row r="351" spans="1:7" x14ac:dyDescent="0.3">
      <c r="A351" s="2">
        <v>350</v>
      </c>
      <c r="B351" s="1">
        <v>40559</v>
      </c>
      <c r="C351">
        <v>1</v>
      </c>
      <c r="D351" s="2" t="b">
        <v>0</v>
      </c>
      <c r="E351" s="2" t="s">
        <v>23</v>
      </c>
      <c r="F351" s="2" t="s">
        <v>30</v>
      </c>
      <c r="G351" s="2">
        <v>0.26</v>
      </c>
    </row>
    <row r="352" spans="1:7" x14ac:dyDescent="0.3">
      <c r="A352" s="2">
        <v>351</v>
      </c>
      <c r="B352" s="1">
        <v>40559</v>
      </c>
      <c r="C352">
        <v>2</v>
      </c>
      <c r="D352" s="2" t="b">
        <v>0</v>
      </c>
      <c r="E352" s="2" t="s">
        <v>23</v>
      </c>
      <c r="F352" s="2" t="s">
        <v>30</v>
      </c>
      <c r="G352" s="2">
        <v>0.26</v>
      </c>
    </row>
    <row r="353" spans="1:7" x14ac:dyDescent="0.3">
      <c r="A353" s="2">
        <v>352</v>
      </c>
      <c r="B353" s="1">
        <v>40559</v>
      </c>
      <c r="C353">
        <v>3</v>
      </c>
      <c r="D353" s="2" t="b">
        <v>0</v>
      </c>
      <c r="E353" s="2" t="s">
        <v>23</v>
      </c>
      <c r="F353" s="2" t="s">
        <v>30</v>
      </c>
      <c r="G353" s="2">
        <v>0.22</v>
      </c>
    </row>
    <row r="354" spans="1:7" x14ac:dyDescent="0.3">
      <c r="A354" s="2">
        <v>353</v>
      </c>
      <c r="B354" s="1">
        <v>40559</v>
      </c>
      <c r="C354">
        <v>4</v>
      </c>
      <c r="D354" s="2" t="b">
        <v>0</v>
      </c>
      <c r="E354" s="2" t="s">
        <v>23</v>
      </c>
      <c r="F354" s="2" t="s">
        <v>30</v>
      </c>
      <c r="G354" s="2">
        <v>0.26</v>
      </c>
    </row>
    <row r="355" spans="1:7" x14ac:dyDescent="0.3">
      <c r="A355" s="2">
        <v>354</v>
      </c>
      <c r="B355" s="1">
        <v>40559</v>
      </c>
      <c r="C355">
        <v>5</v>
      </c>
      <c r="D355" s="2" t="b">
        <v>0</v>
      </c>
      <c r="E355" s="2" t="s">
        <v>23</v>
      </c>
      <c r="F355" s="2" t="s">
        <v>31</v>
      </c>
      <c r="G355" s="2">
        <v>0.26</v>
      </c>
    </row>
    <row r="356" spans="1:7" x14ac:dyDescent="0.3">
      <c r="A356" s="2">
        <v>355</v>
      </c>
      <c r="B356" s="1">
        <v>40559</v>
      </c>
      <c r="C356">
        <v>6</v>
      </c>
      <c r="D356" s="2" t="b">
        <v>0</v>
      </c>
      <c r="E356" s="2" t="s">
        <v>23</v>
      </c>
      <c r="F356" s="2" t="s">
        <v>31</v>
      </c>
      <c r="G356" s="2">
        <v>0.26</v>
      </c>
    </row>
    <row r="357" spans="1:7" x14ac:dyDescent="0.3">
      <c r="A357" s="2">
        <v>356</v>
      </c>
      <c r="B357" s="1">
        <v>40559</v>
      </c>
      <c r="C357">
        <v>7</v>
      </c>
      <c r="D357" s="2" t="b">
        <v>0</v>
      </c>
      <c r="E357" s="2" t="s">
        <v>23</v>
      </c>
      <c r="F357" s="2" t="s">
        <v>31</v>
      </c>
      <c r="G357" s="2">
        <v>0.24</v>
      </c>
    </row>
    <row r="358" spans="1:7" x14ac:dyDescent="0.3">
      <c r="A358" s="2">
        <v>357</v>
      </c>
      <c r="B358" s="1">
        <v>40559</v>
      </c>
      <c r="C358">
        <v>8</v>
      </c>
      <c r="D358" s="2" t="b">
        <v>0</v>
      </c>
      <c r="E358" s="2" t="s">
        <v>23</v>
      </c>
      <c r="F358" s="2" t="s">
        <v>30</v>
      </c>
      <c r="G358" s="2">
        <v>0.22</v>
      </c>
    </row>
    <row r="359" spans="1:7" x14ac:dyDescent="0.3">
      <c r="A359" s="2">
        <v>358</v>
      </c>
      <c r="B359" s="1">
        <v>40559</v>
      </c>
      <c r="C359">
        <v>9</v>
      </c>
      <c r="D359" s="2" t="b">
        <v>0</v>
      </c>
      <c r="E359" s="2" t="s">
        <v>23</v>
      </c>
      <c r="F359" s="2" t="s">
        <v>30</v>
      </c>
      <c r="G359" s="2">
        <v>0.22</v>
      </c>
    </row>
    <row r="360" spans="1:7" x14ac:dyDescent="0.3">
      <c r="A360" s="2">
        <v>359</v>
      </c>
      <c r="B360" s="1">
        <v>40559</v>
      </c>
      <c r="C360">
        <v>10</v>
      </c>
      <c r="D360" s="2" t="b">
        <v>0</v>
      </c>
      <c r="E360" s="2" t="s">
        <v>23</v>
      </c>
      <c r="F360" s="2" t="s">
        <v>30</v>
      </c>
      <c r="G360" s="2">
        <v>0.22</v>
      </c>
    </row>
    <row r="361" spans="1:7" x14ac:dyDescent="0.3">
      <c r="A361" s="2">
        <v>360</v>
      </c>
      <c r="B361" s="1">
        <v>40559</v>
      </c>
      <c r="C361">
        <v>11</v>
      </c>
      <c r="D361" s="2" t="b">
        <v>0</v>
      </c>
      <c r="E361" s="2" t="s">
        <v>23</v>
      </c>
      <c r="F361" s="2" t="s">
        <v>30</v>
      </c>
      <c r="G361" s="2">
        <v>0.24</v>
      </c>
    </row>
    <row r="362" spans="1:7" x14ac:dyDescent="0.3">
      <c r="A362" s="2">
        <v>361</v>
      </c>
      <c r="B362" s="1">
        <v>40559</v>
      </c>
      <c r="C362">
        <v>12</v>
      </c>
      <c r="D362" s="2" t="b">
        <v>0</v>
      </c>
      <c r="E362" s="2" t="s">
        <v>23</v>
      </c>
      <c r="F362" s="2" t="s">
        <v>30</v>
      </c>
      <c r="G362" s="2">
        <v>0.24</v>
      </c>
    </row>
    <row r="363" spans="1:7" x14ac:dyDescent="0.3">
      <c r="A363" s="2">
        <v>362</v>
      </c>
      <c r="B363" s="1">
        <v>40559</v>
      </c>
      <c r="C363">
        <v>13</v>
      </c>
      <c r="D363" s="2" t="b">
        <v>0</v>
      </c>
      <c r="E363" s="2" t="s">
        <v>23</v>
      </c>
      <c r="F363" s="2" t="s">
        <v>30</v>
      </c>
      <c r="G363" s="2">
        <v>0.26</v>
      </c>
    </row>
    <row r="364" spans="1:7" x14ac:dyDescent="0.3">
      <c r="A364" s="2">
        <v>363</v>
      </c>
      <c r="B364" s="1">
        <v>40559</v>
      </c>
      <c r="C364">
        <v>14</v>
      </c>
      <c r="D364" s="2" t="b">
        <v>0</v>
      </c>
      <c r="E364" s="2" t="s">
        <v>23</v>
      </c>
      <c r="F364" s="2" t="s">
        <v>30</v>
      </c>
      <c r="G364" s="2">
        <v>0.28000000000000003</v>
      </c>
    </row>
    <row r="365" spans="1:7" x14ac:dyDescent="0.3">
      <c r="A365" s="2">
        <v>364</v>
      </c>
      <c r="B365" s="1">
        <v>40559</v>
      </c>
      <c r="C365">
        <v>15</v>
      </c>
      <c r="D365" s="2" t="b">
        <v>0</v>
      </c>
      <c r="E365" s="2" t="s">
        <v>23</v>
      </c>
      <c r="F365" s="2" t="s">
        <v>30</v>
      </c>
      <c r="G365" s="2">
        <v>0.26</v>
      </c>
    </row>
    <row r="366" spans="1:7" x14ac:dyDescent="0.3">
      <c r="A366" s="2">
        <v>365</v>
      </c>
      <c r="B366" s="1">
        <v>40559</v>
      </c>
      <c r="C366">
        <v>16</v>
      </c>
      <c r="D366" s="2" t="b">
        <v>0</v>
      </c>
      <c r="E366" s="2" t="s">
        <v>23</v>
      </c>
      <c r="F366" s="2" t="s">
        <v>30</v>
      </c>
      <c r="G366" s="2">
        <v>0.24</v>
      </c>
    </row>
    <row r="367" spans="1:7" x14ac:dyDescent="0.3">
      <c r="A367" s="2">
        <v>366</v>
      </c>
      <c r="B367" s="1">
        <v>40559</v>
      </c>
      <c r="C367">
        <v>17</v>
      </c>
      <c r="D367" s="2" t="b">
        <v>0</v>
      </c>
      <c r="E367" s="2" t="s">
        <v>23</v>
      </c>
      <c r="F367" s="2" t="s">
        <v>30</v>
      </c>
      <c r="G367" s="2">
        <v>0.22</v>
      </c>
    </row>
    <row r="368" spans="1:7" x14ac:dyDescent="0.3">
      <c r="A368" s="2">
        <v>367</v>
      </c>
      <c r="B368" s="1">
        <v>40559</v>
      </c>
      <c r="C368">
        <v>18</v>
      </c>
      <c r="D368" s="2" t="b">
        <v>0</v>
      </c>
      <c r="E368" s="2" t="s">
        <v>23</v>
      </c>
      <c r="F368" s="2" t="s">
        <v>30</v>
      </c>
      <c r="G368" s="2">
        <v>0.2</v>
      </c>
    </row>
    <row r="369" spans="1:7" x14ac:dyDescent="0.3">
      <c r="A369" s="2">
        <v>368</v>
      </c>
      <c r="B369" s="1">
        <v>40559</v>
      </c>
      <c r="C369">
        <v>19</v>
      </c>
      <c r="D369" s="2" t="b">
        <v>0</v>
      </c>
      <c r="E369" s="2" t="s">
        <v>23</v>
      </c>
      <c r="F369" s="2" t="s">
        <v>30</v>
      </c>
      <c r="G369" s="2">
        <v>0.18</v>
      </c>
    </row>
    <row r="370" spans="1:7" x14ac:dyDescent="0.3">
      <c r="A370" s="2">
        <v>369</v>
      </c>
      <c r="B370" s="1">
        <v>40559</v>
      </c>
      <c r="C370">
        <v>20</v>
      </c>
      <c r="D370" s="2" t="b">
        <v>0</v>
      </c>
      <c r="E370" s="2" t="s">
        <v>23</v>
      </c>
      <c r="F370" s="2" t="s">
        <v>30</v>
      </c>
      <c r="G370" s="2">
        <v>0.18</v>
      </c>
    </row>
    <row r="371" spans="1:7" x14ac:dyDescent="0.3">
      <c r="A371" s="2">
        <v>370</v>
      </c>
      <c r="B371" s="1">
        <v>40559</v>
      </c>
      <c r="C371">
        <v>21</v>
      </c>
      <c r="D371" s="2" t="b">
        <v>0</v>
      </c>
      <c r="E371" s="2" t="s">
        <v>23</v>
      </c>
      <c r="F371" s="2" t="s">
        <v>30</v>
      </c>
      <c r="G371" s="2">
        <v>0.18</v>
      </c>
    </row>
    <row r="372" spans="1:7" x14ac:dyDescent="0.3">
      <c r="A372" s="2">
        <v>371</v>
      </c>
      <c r="B372" s="1">
        <v>40559</v>
      </c>
      <c r="C372">
        <v>22</v>
      </c>
      <c r="D372" s="2" t="b">
        <v>0</v>
      </c>
      <c r="E372" s="2" t="s">
        <v>23</v>
      </c>
      <c r="F372" s="2" t="s">
        <v>31</v>
      </c>
      <c r="G372" s="2">
        <v>0.2</v>
      </c>
    </row>
    <row r="373" spans="1:7" x14ac:dyDescent="0.3">
      <c r="A373" s="2">
        <v>372</v>
      </c>
      <c r="B373" s="1">
        <v>40559</v>
      </c>
      <c r="C373">
        <v>23</v>
      </c>
      <c r="D373" s="2" t="b">
        <v>0</v>
      </c>
      <c r="E373" s="2" t="s">
        <v>23</v>
      </c>
      <c r="F373" s="2" t="s">
        <v>31</v>
      </c>
      <c r="G373" s="2">
        <v>0.2</v>
      </c>
    </row>
    <row r="374" spans="1:7" x14ac:dyDescent="0.3">
      <c r="A374" s="2">
        <v>373</v>
      </c>
      <c r="B374" s="1">
        <v>40560</v>
      </c>
      <c r="C374">
        <v>0</v>
      </c>
      <c r="D374" s="2" t="b">
        <v>1</v>
      </c>
      <c r="E374" s="2" t="s">
        <v>24</v>
      </c>
      <c r="F374" s="2" t="s">
        <v>31</v>
      </c>
      <c r="G374" s="2">
        <v>0.2</v>
      </c>
    </row>
    <row r="375" spans="1:7" x14ac:dyDescent="0.3">
      <c r="A375" s="2">
        <v>374</v>
      </c>
      <c r="B375" s="1">
        <v>40560</v>
      </c>
      <c r="C375">
        <v>1</v>
      </c>
      <c r="D375" s="2" t="b">
        <v>1</v>
      </c>
      <c r="E375" s="2" t="s">
        <v>24</v>
      </c>
      <c r="F375" s="2" t="s">
        <v>31</v>
      </c>
      <c r="G375" s="2">
        <v>0.2</v>
      </c>
    </row>
    <row r="376" spans="1:7" x14ac:dyDescent="0.3">
      <c r="A376" s="2">
        <v>375</v>
      </c>
      <c r="B376" s="1">
        <v>40560</v>
      </c>
      <c r="C376">
        <v>2</v>
      </c>
      <c r="D376" s="2" t="b">
        <v>1</v>
      </c>
      <c r="E376" s="2" t="s">
        <v>24</v>
      </c>
      <c r="F376" s="2" t="s">
        <v>31</v>
      </c>
      <c r="G376" s="2">
        <v>0.18</v>
      </c>
    </row>
    <row r="377" spans="1:7" x14ac:dyDescent="0.3">
      <c r="A377" s="2">
        <v>376</v>
      </c>
      <c r="B377" s="1">
        <v>40560</v>
      </c>
      <c r="C377">
        <v>3</v>
      </c>
      <c r="D377" s="2" t="b">
        <v>1</v>
      </c>
      <c r="E377" s="2" t="s">
        <v>24</v>
      </c>
      <c r="F377" s="2" t="s">
        <v>31</v>
      </c>
      <c r="G377" s="2">
        <v>0.18</v>
      </c>
    </row>
    <row r="378" spans="1:7" x14ac:dyDescent="0.3">
      <c r="A378" s="2">
        <v>377</v>
      </c>
      <c r="B378" s="1">
        <v>40560</v>
      </c>
      <c r="C378">
        <v>4</v>
      </c>
      <c r="D378" s="2" t="b">
        <v>1</v>
      </c>
      <c r="E378" s="2" t="s">
        <v>24</v>
      </c>
      <c r="F378" s="2" t="s">
        <v>31</v>
      </c>
      <c r="G378" s="2">
        <v>0.18</v>
      </c>
    </row>
    <row r="379" spans="1:7" x14ac:dyDescent="0.3">
      <c r="A379" s="2">
        <v>378</v>
      </c>
      <c r="B379" s="1">
        <v>40560</v>
      </c>
      <c r="C379">
        <v>5</v>
      </c>
      <c r="D379" s="2" t="b">
        <v>1</v>
      </c>
      <c r="E379" s="2" t="s">
        <v>24</v>
      </c>
      <c r="F379" s="2" t="s">
        <v>31</v>
      </c>
      <c r="G379" s="2">
        <v>0.18</v>
      </c>
    </row>
    <row r="380" spans="1:7" x14ac:dyDescent="0.3">
      <c r="A380" s="2">
        <v>379</v>
      </c>
      <c r="B380" s="1">
        <v>40560</v>
      </c>
      <c r="C380">
        <v>6</v>
      </c>
      <c r="D380" s="2" t="b">
        <v>1</v>
      </c>
      <c r="E380" s="2" t="s">
        <v>24</v>
      </c>
      <c r="F380" s="2" t="s">
        <v>31</v>
      </c>
      <c r="G380" s="2">
        <v>0.18</v>
      </c>
    </row>
    <row r="381" spans="1:7" x14ac:dyDescent="0.3">
      <c r="A381" s="2">
        <v>380</v>
      </c>
      <c r="B381" s="1">
        <v>40560</v>
      </c>
      <c r="C381">
        <v>7</v>
      </c>
      <c r="D381" s="2" t="b">
        <v>1</v>
      </c>
      <c r="E381" s="2" t="s">
        <v>24</v>
      </c>
      <c r="F381" s="2" t="s">
        <v>31</v>
      </c>
      <c r="G381" s="2">
        <v>0.16</v>
      </c>
    </row>
    <row r="382" spans="1:7" x14ac:dyDescent="0.3">
      <c r="A382" s="2">
        <v>381</v>
      </c>
      <c r="B382" s="1">
        <v>40560</v>
      </c>
      <c r="C382">
        <v>8</v>
      </c>
      <c r="D382" s="2" t="b">
        <v>1</v>
      </c>
      <c r="E382" s="2" t="s">
        <v>24</v>
      </c>
      <c r="F382" s="2" t="s">
        <v>31</v>
      </c>
      <c r="G382" s="2">
        <v>0.16</v>
      </c>
    </row>
    <row r="383" spans="1:7" x14ac:dyDescent="0.3">
      <c r="A383" s="2">
        <v>382</v>
      </c>
      <c r="B383" s="1">
        <v>40560</v>
      </c>
      <c r="C383">
        <v>9</v>
      </c>
      <c r="D383" s="2" t="b">
        <v>1</v>
      </c>
      <c r="E383" s="2" t="s">
        <v>24</v>
      </c>
      <c r="F383" s="2" t="s">
        <v>31</v>
      </c>
      <c r="G383" s="2">
        <v>0.16</v>
      </c>
    </row>
    <row r="384" spans="1:7" x14ac:dyDescent="0.3">
      <c r="A384" s="2">
        <v>383</v>
      </c>
      <c r="B384" s="1">
        <v>40560</v>
      </c>
      <c r="C384">
        <v>10</v>
      </c>
      <c r="D384" s="2" t="b">
        <v>1</v>
      </c>
      <c r="E384" s="2" t="s">
        <v>24</v>
      </c>
      <c r="F384" s="2" t="s">
        <v>31</v>
      </c>
      <c r="G384" s="2">
        <v>0.16</v>
      </c>
    </row>
    <row r="385" spans="1:7" x14ac:dyDescent="0.3">
      <c r="A385" s="2">
        <v>384</v>
      </c>
      <c r="B385" s="1">
        <v>40560</v>
      </c>
      <c r="C385">
        <v>11</v>
      </c>
      <c r="D385" s="2" t="b">
        <v>1</v>
      </c>
      <c r="E385" s="2" t="s">
        <v>24</v>
      </c>
      <c r="F385" s="2" t="s">
        <v>31</v>
      </c>
      <c r="G385" s="2">
        <v>0.16</v>
      </c>
    </row>
    <row r="386" spans="1:7" x14ac:dyDescent="0.3">
      <c r="A386" s="2">
        <v>385</v>
      </c>
      <c r="B386" s="1">
        <v>40560</v>
      </c>
      <c r="C386">
        <v>12</v>
      </c>
      <c r="D386" s="2" t="b">
        <v>1</v>
      </c>
      <c r="E386" s="2" t="s">
        <v>24</v>
      </c>
      <c r="F386" s="2" t="s">
        <v>31</v>
      </c>
      <c r="G386" s="2">
        <v>0.18</v>
      </c>
    </row>
    <row r="387" spans="1:7" x14ac:dyDescent="0.3">
      <c r="A387" s="2">
        <v>386</v>
      </c>
      <c r="B387" s="1">
        <v>40560</v>
      </c>
      <c r="C387">
        <v>13</v>
      </c>
      <c r="D387" s="2" t="b">
        <v>1</v>
      </c>
      <c r="E387" s="2" t="s">
        <v>24</v>
      </c>
      <c r="F387" s="2" t="s">
        <v>31</v>
      </c>
      <c r="G387" s="2">
        <v>0.18</v>
      </c>
    </row>
    <row r="388" spans="1:7" x14ac:dyDescent="0.3">
      <c r="A388" s="2">
        <v>387</v>
      </c>
      <c r="B388" s="1">
        <v>40560</v>
      </c>
      <c r="C388">
        <v>14</v>
      </c>
      <c r="D388" s="2" t="b">
        <v>1</v>
      </c>
      <c r="E388" s="2" t="s">
        <v>24</v>
      </c>
      <c r="F388" s="2" t="s">
        <v>31</v>
      </c>
      <c r="G388" s="2">
        <v>0.18</v>
      </c>
    </row>
    <row r="389" spans="1:7" x14ac:dyDescent="0.3">
      <c r="A389" s="2">
        <v>388</v>
      </c>
      <c r="B389" s="1">
        <v>40560</v>
      </c>
      <c r="C389">
        <v>15</v>
      </c>
      <c r="D389" s="2" t="b">
        <v>1</v>
      </c>
      <c r="E389" s="2" t="s">
        <v>24</v>
      </c>
      <c r="F389" s="2" t="s">
        <v>31</v>
      </c>
      <c r="G389" s="2">
        <v>0.2</v>
      </c>
    </row>
    <row r="390" spans="1:7" x14ac:dyDescent="0.3">
      <c r="A390" s="2">
        <v>389</v>
      </c>
      <c r="B390" s="1">
        <v>40560</v>
      </c>
      <c r="C390">
        <v>16</v>
      </c>
      <c r="D390" s="2" t="b">
        <v>1</v>
      </c>
      <c r="E390" s="2" t="s">
        <v>24</v>
      </c>
      <c r="F390" s="2" t="s">
        <v>31</v>
      </c>
      <c r="G390" s="2">
        <v>0.2</v>
      </c>
    </row>
    <row r="391" spans="1:7" x14ac:dyDescent="0.3">
      <c r="A391" s="2">
        <v>390</v>
      </c>
      <c r="B391" s="1">
        <v>40560</v>
      </c>
      <c r="C391">
        <v>17</v>
      </c>
      <c r="D391" s="2" t="b">
        <v>1</v>
      </c>
      <c r="E391" s="2" t="s">
        <v>24</v>
      </c>
      <c r="F391" s="2" t="s">
        <v>30</v>
      </c>
      <c r="G391" s="2">
        <v>0.2</v>
      </c>
    </row>
    <row r="392" spans="1:7" x14ac:dyDescent="0.3">
      <c r="A392" s="2">
        <v>391</v>
      </c>
      <c r="B392" s="1">
        <v>40560</v>
      </c>
      <c r="C392">
        <v>18</v>
      </c>
      <c r="D392" s="2" t="b">
        <v>1</v>
      </c>
      <c r="E392" s="2" t="s">
        <v>24</v>
      </c>
      <c r="F392" s="2" t="s">
        <v>31</v>
      </c>
      <c r="G392" s="2">
        <v>0.18</v>
      </c>
    </row>
    <row r="393" spans="1:7" x14ac:dyDescent="0.3">
      <c r="A393" s="2">
        <v>392</v>
      </c>
      <c r="B393" s="1">
        <v>40560</v>
      </c>
      <c r="C393">
        <v>19</v>
      </c>
      <c r="D393" s="2" t="b">
        <v>1</v>
      </c>
      <c r="E393" s="2" t="s">
        <v>24</v>
      </c>
      <c r="F393" s="2" t="s">
        <v>32</v>
      </c>
      <c r="G393" s="2">
        <v>0.18</v>
      </c>
    </row>
    <row r="394" spans="1:7" x14ac:dyDescent="0.3">
      <c r="A394" s="2">
        <v>393</v>
      </c>
      <c r="B394" s="1">
        <v>40560</v>
      </c>
      <c r="C394">
        <v>20</v>
      </c>
      <c r="D394" s="2" t="b">
        <v>1</v>
      </c>
      <c r="E394" s="2" t="s">
        <v>24</v>
      </c>
      <c r="F394" s="2" t="s">
        <v>32</v>
      </c>
      <c r="G394" s="2">
        <v>0.16</v>
      </c>
    </row>
    <row r="395" spans="1:7" x14ac:dyDescent="0.3">
      <c r="A395" s="2">
        <v>394</v>
      </c>
      <c r="B395" s="1">
        <v>40560</v>
      </c>
      <c r="C395">
        <v>21</v>
      </c>
      <c r="D395" s="2" t="b">
        <v>1</v>
      </c>
      <c r="E395" s="2" t="s">
        <v>24</v>
      </c>
      <c r="F395" s="2" t="s">
        <v>32</v>
      </c>
      <c r="G395" s="2">
        <v>0.16</v>
      </c>
    </row>
    <row r="396" spans="1:7" x14ac:dyDescent="0.3">
      <c r="A396" s="2">
        <v>395</v>
      </c>
      <c r="B396" s="1">
        <v>40560</v>
      </c>
      <c r="C396">
        <v>22</v>
      </c>
      <c r="D396" s="2" t="b">
        <v>1</v>
      </c>
      <c r="E396" s="2" t="s">
        <v>24</v>
      </c>
      <c r="F396" s="2" t="s">
        <v>32</v>
      </c>
      <c r="G396" s="2">
        <v>0.14000000000000001</v>
      </c>
    </row>
    <row r="397" spans="1:7" x14ac:dyDescent="0.3">
      <c r="A397" s="2">
        <v>396</v>
      </c>
      <c r="B397" s="1">
        <v>40560</v>
      </c>
      <c r="C397">
        <v>23</v>
      </c>
      <c r="D397" s="2" t="b">
        <v>1</v>
      </c>
      <c r="E397" s="2" t="s">
        <v>24</v>
      </c>
      <c r="F397" s="2" t="s">
        <v>32</v>
      </c>
      <c r="G397" s="2">
        <v>0.16</v>
      </c>
    </row>
    <row r="398" spans="1:7" x14ac:dyDescent="0.3">
      <c r="A398" s="2">
        <v>397</v>
      </c>
      <c r="B398" s="1">
        <v>40561</v>
      </c>
      <c r="C398">
        <v>12</v>
      </c>
      <c r="D398" s="2" t="b">
        <v>0</v>
      </c>
      <c r="E398" s="2" t="s">
        <v>25</v>
      </c>
      <c r="F398" s="2" t="s">
        <v>31</v>
      </c>
      <c r="G398" s="2">
        <v>0.2</v>
      </c>
    </row>
    <row r="399" spans="1:7" x14ac:dyDescent="0.3">
      <c r="A399" s="2">
        <v>398</v>
      </c>
      <c r="B399" s="1">
        <v>40561</v>
      </c>
      <c r="C399">
        <v>13</v>
      </c>
      <c r="D399" s="2" t="b">
        <v>0</v>
      </c>
      <c r="E399" s="2" t="s">
        <v>25</v>
      </c>
      <c r="F399" s="2" t="s">
        <v>31</v>
      </c>
      <c r="G399" s="2">
        <v>0.2</v>
      </c>
    </row>
    <row r="400" spans="1:7" x14ac:dyDescent="0.3">
      <c r="A400" s="2">
        <v>399</v>
      </c>
      <c r="B400" s="1">
        <v>40561</v>
      </c>
      <c r="C400">
        <v>14</v>
      </c>
      <c r="D400" s="2" t="b">
        <v>0</v>
      </c>
      <c r="E400" s="2" t="s">
        <v>25</v>
      </c>
      <c r="F400" s="2" t="s">
        <v>31</v>
      </c>
      <c r="G400" s="2">
        <v>0.22</v>
      </c>
    </row>
    <row r="401" spans="1:7" x14ac:dyDescent="0.3">
      <c r="A401" s="2">
        <v>400</v>
      </c>
      <c r="B401" s="1">
        <v>40561</v>
      </c>
      <c r="C401">
        <v>15</v>
      </c>
      <c r="D401" s="2" t="b">
        <v>0</v>
      </c>
      <c r="E401" s="2" t="s">
        <v>25</v>
      </c>
      <c r="F401" s="2" t="s">
        <v>31</v>
      </c>
      <c r="G401" s="2">
        <v>0.22</v>
      </c>
    </row>
    <row r="402" spans="1:7" x14ac:dyDescent="0.3">
      <c r="A402" s="2">
        <v>401</v>
      </c>
      <c r="B402" s="1">
        <v>40561</v>
      </c>
      <c r="C402">
        <v>16</v>
      </c>
      <c r="D402" s="2" t="b">
        <v>0</v>
      </c>
      <c r="E402" s="2" t="s">
        <v>25</v>
      </c>
      <c r="F402" s="2" t="s">
        <v>31</v>
      </c>
      <c r="G402" s="2">
        <v>0.22</v>
      </c>
    </row>
    <row r="403" spans="1:7" x14ac:dyDescent="0.3">
      <c r="A403" s="2">
        <v>402</v>
      </c>
      <c r="B403" s="1">
        <v>40561</v>
      </c>
      <c r="C403">
        <v>17</v>
      </c>
      <c r="D403" s="2" t="b">
        <v>0</v>
      </c>
      <c r="E403" s="2" t="s">
        <v>25</v>
      </c>
      <c r="F403" s="2" t="s">
        <v>31</v>
      </c>
      <c r="G403" s="2">
        <v>0.22</v>
      </c>
    </row>
    <row r="404" spans="1:7" x14ac:dyDescent="0.3">
      <c r="A404" s="2">
        <v>403</v>
      </c>
      <c r="B404" s="1">
        <v>40561</v>
      </c>
      <c r="C404">
        <v>18</v>
      </c>
      <c r="D404" s="2" t="b">
        <v>0</v>
      </c>
      <c r="E404" s="2" t="s">
        <v>25</v>
      </c>
      <c r="F404" s="2" t="s">
        <v>31</v>
      </c>
      <c r="G404" s="2">
        <v>0.22</v>
      </c>
    </row>
    <row r="405" spans="1:7" x14ac:dyDescent="0.3">
      <c r="A405" s="2">
        <v>404</v>
      </c>
      <c r="B405" s="1">
        <v>40561</v>
      </c>
      <c r="C405">
        <v>19</v>
      </c>
      <c r="D405" s="2" t="b">
        <v>0</v>
      </c>
      <c r="E405" s="2" t="s">
        <v>25</v>
      </c>
      <c r="F405" s="2" t="s">
        <v>31</v>
      </c>
      <c r="G405" s="2">
        <v>0.22</v>
      </c>
    </row>
    <row r="406" spans="1:7" x14ac:dyDescent="0.3">
      <c r="A406" s="2">
        <v>405</v>
      </c>
      <c r="B406" s="1">
        <v>40561</v>
      </c>
      <c r="C406">
        <v>20</v>
      </c>
      <c r="D406" s="2" t="b">
        <v>0</v>
      </c>
      <c r="E406" s="2" t="s">
        <v>25</v>
      </c>
      <c r="F406" s="2" t="s">
        <v>31</v>
      </c>
      <c r="G406" s="2">
        <v>0.22</v>
      </c>
    </row>
    <row r="407" spans="1:7" x14ac:dyDescent="0.3">
      <c r="A407" s="2">
        <v>406</v>
      </c>
      <c r="B407" s="1">
        <v>40561</v>
      </c>
      <c r="C407">
        <v>21</v>
      </c>
      <c r="D407" s="2" t="b">
        <v>0</v>
      </c>
      <c r="E407" s="2" t="s">
        <v>25</v>
      </c>
      <c r="F407" s="2" t="s">
        <v>31</v>
      </c>
      <c r="G407" s="2">
        <v>0.22</v>
      </c>
    </row>
    <row r="408" spans="1:7" x14ac:dyDescent="0.3">
      <c r="A408" s="2">
        <v>407</v>
      </c>
      <c r="B408" s="1">
        <v>40561</v>
      </c>
      <c r="C408">
        <v>22</v>
      </c>
      <c r="D408" s="2" t="b">
        <v>0</v>
      </c>
      <c r="E408" s="2" t="s">
        <v>25</v>
      </c>
      <c r="F408" s="2" t="s">
        <v>31</v>
      </c>
      <c r="G408" s="2">
        <v>0.22</v>
      </c>
    </row>
    <row r="409" spans="1:7" x14ac:dyDescent="0.3">
      <c r="A409" s="2">
        <v>408</v>
      </c>
      <c r="B409" s="1">
        <v>40561</v>
      </c>
      <c r="C409">
        <v>23</v>
      </c>
      <c r="D409" s="2" t="b">
        <v>0</v>
      </c>
      <c r="E409" s="2" t="s">
        <v>25</v>
      </c>
      <c r="F409" s="2" t="s">
        <v>31</v>
      </c>
      <c r="G409" s="2">
        <v>0.22</v>
      </c>
    </row>
    <row r="410" spans="1:7" x14ac:dyDescent="0.3">
      <c r="A410" s="2">
        <v>409</v>
      </c>
      <c r="B410" s="1">
        <v>40562</v>
      </c>
      <c r="C410">
        <v>0</v>
      </c>
      <c r="D410" s="2" t="b">
        <v>0</v>
      </c>
      <c r="E410" s="2" t="s">
        <v>26</v>
      </c>
      <c r="F410" s="2" t="s">
        <v>31</v>
      </c>
      <c r="G410" s="2">
        <v>0.22</v>
      </c>
    </row>
    <row r="411" spans="1:7" x14ac:dyDescent="0.3">
      <c r="A411" s="2">
        <v>410</v>
      </c>
      <c r="B411" s="1">
        <v>40562</v>
      </c>
      <c r="C411">
        <v>1</v>
      </c>
      <c r="D411" s="2" t="b">
        <v>0</v>
      </c>
      <c r="E411" s="2" t="s">
        <v>26</v>
      </c>
      <c r="F411" s="2" t="s">
        <v>32</v>
      </c>
      <c r="G411" s="2">
        <v>0.22</v>
      </c>
    </row>
    <row r="412" spans="1:7" x14ac:dyDescent="0.3">
      <c r="A412" s="2">
        <v>411</v>
      </c>
      <c r="B412" s="1">
        <v>40562</v>
      </c>
      <c r="C412">
        <v>2</v>
      </c>
      <c r="D412" s="2" t="b">
        <v>0</v>
      </c>
      <c r="E412" s="2" t="s">
        <v>26</v>
      </c>
      <c r="F412" s="2" t="s">
        <v>32</v>
      </c>
      <c r="G412" s="2">
        <v>0.22</v>
      </c>
    </row>
    <row r="413" spans="1:7" x14ac:dyDescent="0.3">
      <c r="A413" s="2">
        <v>412</v>
      </c>
      <c r="B413" s="1">
        <v>40562</v>
      </c>
      <c r="C413">
        <v>4</v>
      </c>
      <c r="D413" s="2" t="b">
        <v>0</v>
      </c>
      <c r="E413" s="2" t="s">
        <v>26</v>
      </c>
      <c r="F413" s="2" t="s">
        <v>32</v>
      </c>
      <c r="G413" s="2">
        <v>0.22</v>
      </c>
    </row>
    <row r="414" spans="1:7" x14ac:dyDescent="0.3">
      <c r="A414" s="2">
        <v>413</v>
      </c>
      <c r="B414" s="1">
        <v>40562</v>
      </c>
      <c r="C414">
        <v>5</v>
      </c>
      <c r="D414" s="2" t="b">
        <v>0</v>
      </c>
      <c r="E414" s="2" t="s">
        <v>26</v>
      </c>
      <c r="F414" s="2" t="s">
        <v>31</v>
      </c>
      <c r="G414" s="2">
        <v>0.22</v>
      </c>
    </row>
    <row r="415" spans="1:7" x14ac:dyDescent="0.3">
      <c r="A415" s="2">
        <v>414</v>
      </c>
      <c r="B415" s="1">
        <v>40562</v>
      </c>
      <c r="C415">
        <v>6</v>
      </c>
      <c r="D415" s="2" t="b">
        <v>0</v>
      </c>
      <c r="E415" s="2" t="s">
        <v>26</v>
      </c>
      <c r="F415" s="2" t="s">
        <v>31</v>
      </c>
      <c r="G415" s="2">
        <v>0.22</v>
      </c>
    </row>
    <row r="416" spans="1:7" x14ac:dyDescent="0.3">
      <c r="A416" s="2">
        <v>415</v>
      </c>
      <c r="B416" s="1">
        <v>40562</v>
      </c>
      <c r="C416">
        <v>7</v>
      </c>
      <c r="D416" s="2" t="b">
        <v>0</v>
      </c>
      <c r="E416" s="2" t="s">
        <v>26</v>
      </c>
      <c r="F416" s="2" t="s">
        <v>31</v>
      </c>
      <c r="G416" s="2">
        <v>0.24</v>
      </c>
    </row>
    <row r="417" spans="1:7" x14ac:dyDescent="0.3">
      <c r="A417" s="2">
        <v>416</v>
      </c>
      <c r="B417" s="1">
        <v>40562</v>
      </c>
      <c r="C417">
        <v>8</v>
      </c>
      <c r="D417" s="2" t="b">
        <v>0</v>
      </c>
      <c r="E417" s="2" t="s">
        <v>26</v>
      </c>
      <c r="F417" s="2" t="s">
        <v>31</v>
      </c>
      <c r="G417" s="2">
        <v>0.24</v>
      </c>
    </row>
    <row r="418" spans="1:7" x14ac:dyDescent="0.3">
      <c r="A418" s="2">
        <v>417</v>
      </c>
      <c r="B418" s="1">
        <v>40562</v>
      </c>
      <c r="C418">
        <v>9</v>
      </c>
      <c r="D418" s="2" t="b">
        <v>0</v>
      </c>
      <c r="E418" s="2" t="s">
        <v>26</v>
      </c>
      <c r="F418" s="2" t="s">
        <v>31</v>
      </c>
      <c r="G418" s="2">
        <v>0.24</v>
      </c>
    </row>
    <row r="419" spans="1:7" x14ac:dyDescent="0.3">
      <c r="A419" s="2">
        <v>418</v>
      </c>
      <c r="B419" s="1">
        <v>40562</v>
      </c>
      <c r="C419">
        <v>10</v>
      </c>
      <c r="D419" s="2" t="b">
        <v>0</v>
      </c>
      <c r="E419" s="2" t="s">
        <v>26</v>
      </c>
      <c r="F419" s="2" t="s">
        <v>31</v>
      </c>
      <c r="G419" s="2">
        <v>0.26</v>
      </c>
    </row>
    <row r="420" spans="1:7" x14ac:dyDescent="0.3">
      <c r="A420" s="2">
        <v>419</v>
      </c>
      <c r="B420" s="1">
        <v>40562</v>
      </c>
      <c r="C420">
        <v>11</v>
      </c>
      <c r="D420" s="2" t="b">
        <v>0</v>
      </c>
      <c r="E420" s="2" t="s">
        <v>26</v>
      </c>
      <c r="F420" s="2" t="s">
        <v>31</v>
      </c>
      <c r="G420" s="2">
        <v>0.28000000000000003</v>
      </c>
    </row>
    <row r="421" spans="1:7" x14ac:dyDescent="0.3">
      <c r="A421" s="2">
        <v>420</v>
      </c>
      <c r="B421" s="1">
        <v>40562</v>
      </c>
      <c r="C421">
        <v>12</v>
      </c>
      <c r="D421" s="2" t="b">
        <v>0</v>
      </c>
      <c r="E421" s="2" t="s">
        <v>26</v>
      </c>
      <c r="F421" s="2" t="s">
        <v>31</v>
      </c>
      <c r="G421" s="2">
        <v>0.3</v>
      </c>
    </row>
    <row r="422" spans="1:7" x14ac:dyDescent="0.3">
      <c r="A422" s="2">
        <v>421</v>
      </c>
      <c r="B422" s="1">
        <v>40562</v>
      </c>
      <c r="C422">
        <v>13</v>
      </c>
      <c r="D422" s="2" t="b">
        <v>0</v>
      </c>
      <c r="E422" s="2" t="s">
        <v>26</v>
      </c>
      <c r="F422" s="2" t="s">
        <v>30</v>
      </c>
      <c r="G422" s="2">
        <v>0.4</v>
      </c>
    </row>
    <row r="423" spans="1:7" x14ac:dyDescent="0.3">
      <c r="A423" s="2">
        <v>422</v>
      </c>
      <c r="B423" s="1">
        <v>40562</v>
      </c>
      <c r="C423">
        <v>14</v>
      </c>
      <c r="D423" s="2" t="b">
        <v>0</v>
      </c>
      <c r="E423" s="2" t="s">
        <v>26</v>
      </c>
      <c r="F423" s="2" t="s">
        <v>30</v>
      </c>
      <c r="G423" s="2">
        <v>0.4</v>
      </c>
    </row>
    <row r="424" spans="1:7" x14ac:dyDescent="0.3">
      <c r="A424" s="2">
        <v>423</v>
      </c>
      <c r="B424" s="1">
        <v>40562</v>
      </c>
      <c r="C424">
        <v>15</v>
      </c>
      <c r="D424" s="2" t="b">
        <v>0</v>
      </c>
      <c r="E424" s="2" t="s">
        <v>26</v>
      </c>
      <c r="F424" s="2" t="s">
        <v>30</v>
      </c>
      <c r="G424" s="2">
        <v>0.4</v>
      </c>
    </row>
    <row r="425" spans="1:7" x14ac:dyDescent="0.3">
      <c r="A425" s="2">
        <v>424</v>
      </c>
      <c r="B425" s="1">
        <v>40562</v>
      </c>
      <c r="C425">
        <v>16</v>
      </c>
      <c r="D425" s="2" t="b">
        <v>0</v>
      </c>
      <c r="E425" s="2" t="s">
        <v>26</v>
      </c>
      <c r="F425" s="2" t="s">
        <v>30</v>
      </c>
      <c r="G425" s="2">
        <v>0.38</v>
      </c>
    </row>
    <row r="426" spans="1:7" x14ac:dyDescent="0.3">
      <c r="A426" s="2">
        <v>425</v>
      </c>
      <c r="B426" s="1">
        <v>40562</v>
      </c>
      <c r="C426">
        <v>17</v>
      </c>
      <c r="D426" s="2" t="b">
        <v>0</v>
      </c>
      <c r="E426" s="2" t="s">
        <v>26</v>
      </c>
      <c r="F426" s="2" t="s">
        <v>30</v>
      </c>
      <c r="G426" s="2">
        <v>0.36</v>
      </c>
    </row>
    <row r="427" spans="1:7" x14ac:dyDescent="0.3">
      <c r="A427" s="2">
        <v>426</v>
      </c>
      <c r="B427" s="1">
        <v>40562</v>
      </c>
      <c r="C427">
        <v>18</v>
      </c>
      <c r="D427" s="2" t="b">
        <v>0</v>
      </c>
      <c r="E427" s="2" t="s">
        <v>26</v>
      </c>
      <c r="F427" s="2" t="s">
        <v>30</v>
      </c>
      <c r="G427" s="2">
        <v>0.34</v>
      </c>
    </row>
    <row r="428" spans="1:7" x14ac:dyDescent="0.3">
      <c r="A428" s="2">
        <v>427</v>
      </c>
      <c r="B428" s="1">
        <v>40562</v>
      </c>
      <c r="C428">
        <v>19</v>
      </c>
      <c r="D428" s="2" t="b">
        <v>0</v>
      </c>
      <c r="E428" s="2" t="s">
        <v>26</v>
      </c>
      <c r="F428" s="2" t="s">
        <v>30</v>
      </c>
      <c r="G428" s="2">
        <v>0.32</v>
      </c>
    </row>
    <row r="429" spans="1:7" x14ac:dyDescent="0.3">
      <c r="A429" s="2">
        <v>428</v>
      </c>
      <c r="B429" s="1">
        <v>40562</v>
      </c>
      <c r="C429">
        <v>20</v>
      </c>
      <c r="D429" s="2" t="b">
        <v>0</v>
      </c>
      <c r="E429" s="2" t="s">
        <v>26</v>
      </c>
      <c r="F429" s="2" t="s">
        <v>30</v>
      </c>
      <c r="G429" s="2">
        <v>0.32</v>
      </c>
    </row>
    <row r="430" spans="1:7" x14ac:dyDescent="0.3">
      <c r="A430" s="2">
        <v>429</v>
      </c>
      <c r="B430" s="1">
        <v>40562</v>
      </c>
      <c r="C430">
        <v>21</v>
      </c>
      <c r="D430" s="2" t="b">
        <v>0</v>
      </c>
      <c r="E430" s="2" t="s">
        <v>26</v>
      </c>
      <c r="F430" s="2" t="s">
        <v>30</v>
      </c>
      <c r="G430" s="2">
        <v>0.32</v>
      </c>
    </row>
    <row r="431" spans="1:7" x14ac:dyDescent="0.3">
      <c r="A431" s="2">
        <v>430</v>
      </c>
      <c r="B431" s="1">
        <v>40562</v>
      </c>
      <c r="C431">
        <v>22</v>
      </c>
      <c r="D431" s="2" t="b">
        <v>0</v>
      </c>
      <c r="E431" s="2" t="s">
        <v>26</v>
      </c>
      <c r="F431" s="2" t="s">
        <v>30</v>
      </c>
      <c r="G431" s="2">
        <v>0.3</v>
      </c>
    </row>
    <row r="432" spans="1:7" x14ac:dyDescent="0.3">
      <c r="A432" s="2">
        <v>431</v>
      </c>
      <c r="B432" s="1">
        <v>40562</v>
      </c>
      <c r="C432">
        <v>23</v>
      </c>
      <c r="D432" s="2" t="b">
        <v>0</v>
      </c>
      <c r="E432" s="2" t="s">
        <v>26</v>
      </c>
      <c r="F432" s="2" t="s">
        <v>30</v>
      </c>
      <c r="G432" s="2">
        <v>0.3</v>
      </c>
    </row>
    <row r="433" spans="1:7" x14ac:dyDescent="0.3">
      <c r="A433" s="2">
        <v>432</v>
      </c>
      <c r="B433" s="1">
        <v>40563</v>
      </c>
      <c r="C433">
        <v>0</v>
      </c>
      <c r="D433" s="2" t="b">
        <v>0</v>
      </c>
      <c r="E433" s="2" t="s">
        <v>27</v>
      </c>
      <c r="F433" s="2" t="s">
        <v>30</v>
      </c>
      <c r="G433" s="2">
        <v>0.26</v>
      </c>
    </row>
    <row r="434" spans="1:7" x14ac:dyDescent="0.3">
      <c r="A434" s="2">
        <v>433</v>
      </c>
      <c r="B434" s="1">
        <v>40563</v>
      </c>
      <c r="C434">
        <v>1</v>
      </c>
      <c r="D434" s="2" t="b">
        <v>0</v>
      </c>
      <c r="E434" s="2" t="s">
        <v>27</v>
      </c>
      <c r="F434" s="2" t="s">
        <v>30</v>
      </c>
      <c r="G434" s="2">
        <v>0.26</v>
      </c>
    </row>
    <row r="435" spans="1:7" x14ac:dyDescent="0.3">
      <c r="A435" s="2">
        <v>434</v>
      </c>
      <c r="B435" s="1">
        <v>40563</v>
      </c>
      <c r="C435">
        <v>2</v>
      </c>
      <c r="D435" s="2" t="b">
        <v>0</v>
      </c>
      <c r="E435" s="2" t="s">
        <v>27</v>
      </c>
      <c r="F435" s="2" t="s">
        <v>30</v>
      </c>
      <c r="G435" s="2">
        <v>0.26</v>
      </c>
    </row>
    <row r="436" spans="1:7" x14ac:dyDescent="0.3">
      <c r="A436" s="2">
        <v>435</v>
      </c>
      <c r="B436" s="1">
        <v>40563</v>
      </c>
      <c r="C436">
        <v>3</v>
      </c>
      <c r="D436" s="2" t="b">
        <v>0</v>
      </c>
      <c r="E436" s="2" t="s">
        <v>27</v>
      </c>
      <c r="F436" s="2" t="s">
        <v>30</v>
      </c>
      <c r="G436" s="2">
        <v>0.26</v>
      </c>
    </row>
    <row r="437" spans="1:7" x14ac:dyDescent="0.3">
      <c r="A437" s="2">
        <v>436</v>
      </c>
      <c r="B437" s="1">
        <v>40563</v>
      </c>
      <c r="C437">
        <v>4</v>
      </c>
      <c r="D437" s="2" t="b">
        <v>0</v>
      </c>
      <c r="E437" s="2" t="s">
        <v>27</v>
      </c>
      <c r="F437" s="2" t="s">
        <v>30</v>
      </c>
      <c r="G437" s="2">
        <v>0.26</v>
      </c>
    </row>
    <row r="438" spans="1:7" x14ac:dyDescent="0.3">
      <c r="A438" s="2">
        <v>437</v>
      </c>
      <c r="B438" s="1">
        <v>40563</v>
      </c>
      <c r="C438">
        <v>5</v>
      </c>
      <c r="D438" s="2" t="b">
        <v>0</v>
      </c>
      <c r="E438" s="2" t="s">
        <v>27</v>
      </c>
      <c r="F438" s="2" t="s">
        <v>30</v>
      </c>
      <c r="G438" s="2">
        <v>0.24</v>
      </c>
    </row>
    <row r="439" spans="1:7" x14ac:dyDescent="0.3">
      <c r="A439" s="2">
        <v>438</v>
      </c>
      <c r="B439" s="1">
        <v>40563</v>
      </c>
      <c r="C439">
        <v>6</v>
      </c>
      <c r="D439" s="2" t="b">
        <v>0</v>
      </c>
      <c r="E439" s="2" t="s">
        <v>27</v>
      </c>
      <c r="F439" s="2" t="s">
        <v>30</v>
      </c>
      <c r="G439" s="2">
        <v>0.22</v>
      </c>
    </row>
    <row r="440" spans="1:7" x14ac:dyDescent="0.3">
      <c r="A440" s="2">
        <v>439</v>
      </c>
      <c r="B440" s="1">
        <v>40563</v>
      </c>
      <c r="C440">
        <v>7</v>
      </c>
      <c r="D440" s="2" t="b">
        <v>0</v>
      </c>
      <c r="E440" s="2" t="s">
        <v>27</v>
      </c>
      <c r="F440" s="2" t="s">
        <v>30</v>
      </c>
      <c r="G440" s="2">
        <v>0.22</v>
      </c>
    </row>
    <row r="441" spans="1:7" x14ac:dyDescent="0.3">
      <c r="A441" s="2">
        <v>440</v>
      </c>
      <c r="B441" s="1">
        <v>40563</v>
      </c>
      <c r="C441">
        <v>8</v>
      </c>
      <c r="D441" s="2" t="b">
        <v>0</v>
      </c>
      <c r="E441" s="2" t="s">
        <v>27</v>
      </c>
      <c r="F441" s="2" t="s">
        <v>30</v>
      </c>
      <c r="G441" s="2">
        <v>0.22</v>
      </c>
    </row>
    <row r="442" spans="1:7" x14ac:dyDescent="0.3">
      <c r="A442" s="2">
        <v>441</v>
      </c>
      <c r="B442" s="1">
        <v>40563</v>
      </c>
      <c r="C442">
        <v>9</v>
      </c>
      <c r="D442" s="2" t="b">
        <v>0</v>
      </c>
      <c r="E442" s="2" t="s">
        <v>27</v>
      </c>
      <c r="F442" s="2" t="s">
        <v>31</v>
      </c>
      <c r="G442" s="2">
        <v>0.24</v>
      </c>
    </row>
    <row r="443" spans="1:7" x14ac:dyDescent="0.3">
      <c r="A443" s="2">
        <v>442</v>
      </c>
      <c r="B443" s="1">
        <v>40563</v>
      </c>
      <c r="C443">
        <v>10</v>
      </c>
      <c r="D443" s="2" t="b">
        <v>0</v>
      </c>
      <c r="E443" s="2" t="s">
        <v>27</v>
      </c>
      <c r="F443" s="2" t="s">
        <v>30</v>
      </c>
      <c r="G443" s="2">
        <v>0.26</v>
      </c>
    </row>
    <row r="444" spans="1:7" x14ac:dyDescent="0.3">
      <c r="A444" s="2">
        <v>443</v>
      </c>
      <c r="B444" s="1">
        <v>40563</v>
      </c>
      <c r="C444">
        <v>11</v>
      </c>
      <c r="D444" s="2" t="b">
        <v>0</v>
      </c>
      <c r="E444" s="2" t="s">
        <v>27</v>
      </c>
      <c r="F444" s="2" t="s">
        <v>31</v>
      </c>
      <c r="G444" s="2">
        <v>0.28000000000000003</v>
      </c>
    </row>
    <row r="445" spans="1:7" x14ac:dyDescent="0.3">
      <c r="A445" s="2">
        <v>444</v>
      </c>
      <c r="B445" s="1">
        <v>40563</v>
      </c>
      <c r="C445">
        <v>12</v>
      </c>
      <c r="D445" s="2" t="b">
        <v>0</v>
      </c>
      <c r="E445" s="2" t="s">
        <v>27</v>
      </c>
      <c r="F445" s="2" t="s">
        <v>31</v>
      </c>
      <c r="G445" s="2">
        <v>0.3</v>
      </c>
    </row>
    <row r="446" spans="1:7" x14ac:dyDescent="0.3">
      <c r="A446" s="2">
        <v>445</v>
      </c>
      <c r="B446" s="1">
        <v>40563</v>
      </c>
      <c r="C446">
        <v>13</v>
      </c>
      <c r="D446" s="2" t="b">
        <v>0</v>
      </c>
      <c r="E446" s="2" t="s">
        <v>27</v>
      </c>
      <c r="F446" s="2" t="s">
        <v>31</v>
      </c>
      <c r="G446" s="2">
        <v>0.28000000000000003</v>
      </c>
    </row>
    <row r="447" spans="1:7" x14ac:dyDescent="0.3">
      <c r="A447" s="2">
        <v>446</v>
      </c>
      <c r="B447" s="1">
        <v>40563</v>
      </c>
      <c r="C447">
        <v>14</v>
      </c>
      <c r="D447" s="2" t="b">
        <v>0</v>
      </c>
      <c r="E447" s="2" t="s">
        <v>27</v>
      </c>
      <c r="F447" s="2" t="s">
        <v>31</v>
      </c>
      <c r="G447" s="2">
        <v>0.3</v>
      </c>
    </row>
    <row r="448" spans="1:7" x14ac:dyDescent="0.3">
      <c r="A448" s="2">
        <v>447</v>
      </c>
      <c r="B448" s="1">
        <v>40563</v>
      </c>
      <c r="C448">
        <v>15</v>
      </c>
      <c r="D448" s="2" t="b">
        <v>0</v>
      </c>
      <c r="E448" s="2" t="s">
        <v>27</v>
      </c>
      <c r="F448" s="2" t="s">
        <v>31</v>
      </c>
      <c r="G448" s="2">
        <v>0.32</v>
      </c>
    </row>
    <row r="449" spans="1:7" x14ac:dyDescent="0.3">
      <c r="A449" s="2">
        <v>448</v>
      </c>
      <c r="B449" s="1">
        <v>40563</v>
      </c>
      <c r="C449">
        <v>16</v>
      </c>
      <c r="D449" s="2" t="b">
        <v>0</v>
      </c>
      <c r="E449" s="2" t="s">
        <v>27</v>
      </c>
      <c r="F449" s="2" t="s">
        <v>31</v>
      </c>
      <c r="G449" s="2">
        <v>0.3</v>
      </c>
    </row>
    <row r="450" spans="1:7" x14ac:dyDescent="0.3">
      <c r="A450" s="2">
        <v>449</v>
      </c>
      <c r="B450" s="1">
        <v>40563</v>
      </c>
      <c r="C450">
        <v>17</v>
      </c>
      <c r="D450" s="2" t="b">
        <v>0</v>
      </c>
      <c r="E450" s="2" t="s">
        <v>27</v>
      </c>
      <c r="F450" s="2" t="s">
        <v>31</v>
      </c>
      <c r="G450" s="2">
        <v>0.3</v>
      </c>
    </row>
    <row r="451" spans="1:7" x14ac:dyDescent="0.3">
      <c r="A451" s="2">
        <v>450</v>
      </c>
      <c r="B451" s="1">
        <v>40563</v>
      </c>
      <c r="C451">
        <v>18</v>
      </c>
      <c r="D451" s="2" t="b">
        <v>0</v>
      </c>
      <c r="E451" s="2" t="s">
        <v>27</v>
      </c>
      <c r="F451" s="2" t="s">
        <v>31</v>
      </c>
      <c r="G451" s="2">
        <v>0.26</v>
      </c>
    </row>
    <row r="452" spans="1:7" x14ac:dyDescent="0.3">
      <c r="A452" s="2">
        <v>451</v>
      </c>
      <c r="B452" s="1">
        <v>40563</v>
      </c>
      <c r="C452">
        <v>19</v>
      </c>
      <c r="D452" s="2" t="b">
        <v>0</v>
      </c>
      <c r="E452" s="2" t="s">
        <v>27</v>
      </c>
      <c r="F452" s="2" t="s">
        <v>30</v>
      </c>
      <c r="G452" s="2">
        <v>0.26</v>
      </c>
    </row>
    <row r="453" spans="1:7" x14ac:dyDescent="0.3">
      <c r="A453" s="2">
        <v>452</v>
      </c>
      <c r="B453" s="1">
        <v>40563</v>
      </c>
      <c r="C453">
        <v>20</v>
      </c>
      <c r="D453" s="2" t="b">
        <v>0</v>
      </c>
      <c r="E453" s="2" t="s">
        <v>27</v>
      </c>
      <c r="F453" s="2" t="s">
        <v>31</v>
      </c>
      <c r="G453" s="2">
        <v>0.26</v>
      </c>
    </row>
    <row r="454" spans="1:7" x14ac:dyDescent="0.3">
      <c r="A454" s="2">
        <v>453</v>
      </c>
      <c r="B454" s="1">
        <v>40563</v>
      </c>
      <c r="C454">
        <v>21</v>
      </c>
      <c r="D454" s="2" t="b">
        <v>0</v>
      </c>
      <c r="E454" s="2" t="s">
        <v>27</v>
      </c>
      <c r="F454" s="2" t="s">
        <v>31</v>
      </c>
      <c r="G454" s="2">
        <v>0.24</v>
      </c>
    </row>
    <row r="455" spans="1:7" x14ac:dyDescent="0.3">
      <c r="A455" s="2">
        <v>454</v>
      </c>
      <c r="B455" s="1">
        <v>40563</v>
      </c>
      <c r="C455">
        <v>22</v>
      </c>
      <c r="D455" s="2" t="b">
        <v>0</v>
      </c>
      <c r="E455" s="2" t="s">
        <v>27</v>
      </c>
      <c r="F455" s="2" t="s">
        <v>31</v>
      </c>
      <c r="G455" s="2">
        <v>0.24</v>
      </c>
    </row>
    <row r="456" spans="1:7" x14ac:dyDescent="0.3">
      <c r="A456" s="2">
        <v>455</v>
      </c>
      <c r="B456" s="1">
        <v>40563</v>
      </c>
      <c r="C456">
        <v>23</v>
      </c>
      <c r="D456" s="2" t="b">
        <v>0</v>
      </c>
      <c r="E456" s="2" t="s">
        <v>27</v>
      </c>
      <c r="F456" s="2" t="s">
        <v>31</v>
      </c>
      <c r="G456" s="2">
        <v>0.24</v>
      </c>
    </row>
    <row r="457" spans="1:7" x14ac:dyDescent="0.3">
      <c r="A457" s="2">
        <v>456</v>
      </c>
      <c r="B457" s="1">
        <v>40564</v>
      </c>
      <c r="C457">
        <v>0</v>
      </c>
      <c r="D457" s="2" t="b">
        <v>0</v>
      </c>
      <c r="E457" s="2" t="s">
        <v>28</v>
      </c>
      <c r="F457" s="2" t="s">
        <v>31</v>
      </c>
      <c r="G457" s="2">
        <v>0.24</v>
      </c>
    </row>
    <row r="458" spans="1:7" x14ac:dyDescent="0.3">
      <c r="A458" s="2">
        <v>457</v>
      </c>
      <c r="B458" s="1">
        <v>40564</v>
      </c>
      <c r="C458">
        <v>1</v>
      </c>
      <c r="D458" s="2" t="b">
        <v>0</v>
      </c>
      <c r="E458" s="2" t="s">
        <v>28</v>
      </c>
      <c r="F458" s="2" t="s">
        <v>31</v>
      </c>
      <c r="G458" s="2">
        <v>0.24</v>
      </c>
    </row>
    <row r="459" spans="1:7" x14ac:dyDescent="0.3">
      <c r="A459" s="2">
        <v>458</v>
      </c>
      <c r="B459" s="1">
        <v>40564</v>
      </c>
      <c r="C459">
        <v>2</v>
      </c>
      <c r="D459" s="2" t="b">
        <v>0</v>
      </c>
      <c r="E459" s="2" t="s">
        <v>28</v>
      </c>
      <c r="F459" s="2" t="s">
        <v>32</v>
      </c>
      <c r="G459" s="2">
        <v>0.24</v>
      </c>
    </row>
    <row r="460" spans="1:7" x14ac:dyDescent="0.3">
      <c r="A460" s="2">
        <v>459</v>
      </c>
      <c r="B460" s="1">
        <v>40564</v>
      </c>
      <c r="C460">
        <v>3</v>
      </c>
      <c r="D460" s="2" t="b">
        <v>0</v>
      </c>
      <c r="E460" s="2" t="s">
        <v>28</v>
      </c>
      <c r="F460" s="2" t="s">
        <v>32</v>
      </c>
      <c r="G460" s="2">
        <v>0.22</v>
      </c>
    </row>
    <row r="461" spans="1:7" x14ac:dyDescent="0.3">
      <c r="A461" s="2">
        <v>460</v>
      </c>
      <c r="B461" s="1">
        <v>40564</v>
      </c>
      <c r="C461">
        <v>4</v>
      </c>
      <c r="D461" s="2" t="b">
        <v>0</v>
      </c>
      <c r="E461" s="2" t="s">
        <v>28</v>
      </c>
      <c r="F461" s="2" t="s">
        <v>31</v>
      </c>
      <c r="G461" s="2">
        <v>0.22</v>
      </c>
    </row>
    <row r="462" spans="1:7" x14ac:dyDescent="0.3">
      <c r="A462" s="2">
        <v>461</v>
      </c>
      <c r="B462" s="1">
        <v>40564</v>
      </c>
      <c r="C462">
        <v>5</v>
      </c>
      <c r="D462" s="2" t="b">
        <v>0</v>
      </c>
      <c r="E462" s="2" t="s">
        <v>28</v>
      </c>
      <c r="F462" s="2" t="s">
        <v>30</v>
      </c>
      <c r="G462" s="2">
        <v>0.24</v>
      </c>
    </row>
    <row r="463" spans="1:7" x14ac:dyDescent="0.3">
      <c r="A463" s="2">
        <v>462</v>
      </c>
      <c r="B463" s="1">
        <v>40564</v>
      </c>
      <c r="C463">
        <v>6</v>
      </c>
      <c r="D463" s="2" t="b">
        <v>0</v>
      </c>
      <c r="E463" s="2" t="s">
        <v>28</v>
      </c>
      <c r="F463" s="2" t="s">
        <v>30</v>
      </c>
      <c r="G463" s="2">
        <v>0.22</v>
      </c>
    </row>
    <row r="464" spans="1:7" x14ac:dyDescent="0.3">
      <c r="A464" s="2">
        <v>463</v>
      </c>
      <c r="B464" s="1">
        <v>40564</v>
      </c>
      <c r="C464">
        <v>7</v>
      </c>
      <c r="D464" s="2" t="b">
        <v>0</v>
      </c>
      <c r="E464" s="2" t="s">
        <v>28</v>
      </c>
      <c r="F464" s="2" t="s">
        <v>30</v>
      </c>
      <c r="G464" s="2">
        <v>0.2</v>
      </c>
    </row>
    <row r="465" spans="1:7" x14ac:dyDescent="0.3">
      <c r="A465" s="2">
        <v>464</v>
      </c>
      <c r="B465" s="1">
        <v>40564</v>
      </c>
      <c r="C465">
        <v>8</v>
      </c>
      <c r="D465" s="2" t="b">
        <v>0</v>
      </c>
      <c r="E465" s="2" t="s">
        <v>28</v>
      </c>
      <c r="F465" s="2" t="s">
        <v>30</v>
      </c>
      <c r="G465" s="2">
        <v>0.2</v>
      </c>
    </row>
    <row r="466" spans="1:7" x14ac:dyDescent="0.3">
      <c r="A466" s="2">
        <v>465</v>
      </c>
      <c r="B466" s="1">
        <v>40564</v>
      </c>
      <c r="C466">
        <v>9</v>
      </c>
      <c r="D466" s="2" t="b">
        <v>0</v>
      </c>
      <c r="E466" s="2" t="s">
        <v>28</v>
      </c>
      <c r="F466" s="2" t="s">
        <v>30</v>
      </c>
      <c r="G466" s="2">
        <v>0.2</v>
      </c>
    </row>
    <row r="467" spans="1:7" x14ac:dyDescent="0.3">
      <c r="A467" s="2">
        <v>466</v>
      </c>
      <c r="B467" s="1">
        <v>40564</v>
      </c>
      <c r="C467">
        <v>10</v>
      </c>
      <c r="D467" s="2" t="b">
        <v>0</v>
      </c>
      <c r="E467" s="2" t="s">
        <v>28</v>
      </c>
      <c r="F467" s="2" t="s">
        <v>30</v>
      </c>
      <c r="G467" s="2">
        <v>0.2</v>
      </c>
    </row>
    <row r="468" spans="1:7" x14ac:dyDescent="0.3">
      <c r="A468" s="2">
        <v>467</v>
      </c>
      <c r="B468" s="1">
        <v>40564</v>
      </c>
      <c r="C468">
        <v>11</v>
      </c>
      <c r="D468" s="2" t="b">
        <v>0</v>
      </c>
      <c r="E468" s="2" t="s">
        <v>28</v>
      </c>
      <c r="F468" s="2" t="s">
        <v>30</v>
      </c>
      <c r="G468" s="2">
        <v>0.22</v>
      </c>
    </row>
    <row r="469" spans="1:7" x14ac:dyDescent="0.3">
      <c r="A469" s="2">
        <v>468</v>
      </c>
      <c r="B469" s="1">
        <v>40564</v>
      </c>
      <c r="C469">
        <v>12</v>
      </c>
      <c r="D469" s="2" t="b">
        <v>0</v>
      </c>
      <c r="E469" s="2" t="s">
        <v>28</v>
      </c>
      <c r="F469" s="2" t="s">
        <v>30</v>
      </c>
      <c r="G469" s="2">
        <v>0.22</v>
      </c>
    </row>
    <row r="470" spans="1:7" x14ac:dyDescent="0.3">
      <c r="A470" s="2">
        <v>469</v>
      </c>
      <c r="B470" s="1">
        <v>40564</v>
      </c>
      <c r="C470">
        <v>13</v>
      </c>
      <c r="D470" s="2" t="b">
        <v>0</v>
      </c>
      <c r="E470" s="2" t="s">
        <v>28</v>
      </c>
      <c r="F470" s="2" t="s">
        <v>30</v>
      </c>
      <c r="G470" s="2">
        <v>0.2</v>
      </c>
    </row>
    <row r="471" spans="1:7" x14ac:dyDescent="0.3">
      <c r="A471" s="2">
        <v>470</v>
      </c>
      <c r="B471" s="1">
        <v>40564</v>
      </c>
      <c r="C471">
        <v>14</v>
      </c>
      <c r="D471" s="2" t="b">
        <v>0</v>
      </c>
      <c r="E471" s="2" t="s">
        <v>28</v>
      </c>
      <c r="F471" s="2" t="s">
        <v>30</v>
      </c>
      <c r="G471" s="2">
        <v>0.2</v>
      </c>
    </row>
    <row r="472" spans="1:7" x14ac:dyDescent="0.3">
      <c r="A472" s="2">
        <v>471</v>
      </c>
      <c r="B472" s="1">
        <v>40564</v>
      </c>
      <c r="C472">
        <v>15</v>
      </c>
      <c r="D472" s="2" t="b">
        <v>0</v>
      </c>
      <c r="E472" s="2" t="s">
        <v>28</v>
      </c>
      <c r="F472" s="2" t="s">
        <v>30</v>
      </c>
      <c r="G472" s="2">
        <v>0.16</v>
      </c>
    </row>
    <row r="473" spans="1:7" x14ac:dyDescent="0.3">
      <c r="A473" s="2">
        <v>472</v>
      </c>
      <c r="B473" s="1">
        <v>40564</v>
      </c>
      <c r="C473">
        <v>16</v>
      </c>
      <c r="D473" s="2" t="b">
        <v>0</v>
      </c>
      <c r="E473" s="2" t="s">
        <v>28</v>
      </c>
      <c r="F473" s="2" t="s">
        <v>30</v>
      </c>
      <c r="G473" s="2">
        <v>0.16</v>
      </c>
    </row>
    <row r="474" spans="1:7" x14ac:dyDescent="0.3">
      <c r="A474" s="2">
        <v>473</v>
      </c>
      <c r="B474" s="1">
        <v>40564</v>
      </c>
      <c r="C474">
        <v>17</v>
      </c>
      <c r="D474" s="2" t="b">
        <v>0</v>
      </c>
      <c r="E474" s="2" t="s">
        <v>28</v>
      </c>
      <c r="F474" s="2" t="s">
        <v>30</v>
      </c>
      <c r="G474" s="2">
        <v>0.14000000000000001</v>
      </c>
    </row>
    <row r="475" spans="1:7" x14ac:dyDescent="0.3">
      <c r="A475" s="2">
        <v>474</v>
      </c>
      <c r="B475" s="1">
        <v>40564</v>
      </c>
      <c r="C475">
        <v>18</v>
      </c>
      <c r="D475" s="2" t="b">
        <v>0</v>
      </c>
      <c r="E475" s="2" t="s">
        <v>28</v>
      </c>
      <c r="F475" s="2" t="s">
        <v>30</v>
      </c>
      <c r="G475" s="2">
        <v>0.12</v>
      </c>
    </row>
    <row r="476" spans="1:7" x14ac:dyDescent="0.3">
      <c r="A476" s="2">
        <v>475</v>
      </c>
      <c r="B476" s="1">
        <v>40564</v>
      </c>
      <c r="C476">
        <v>19</v>
      </c>
      <c r="D476" s="2" t="b">
        <v>0</v>
      </c>
      <c r="E476" s="2" t="s">
        <v>28</v>
      </c>
      <c r="F476" s="2" t="s">
        <v>30</v>
      </c>
      <c r="G476" s="2">
        <v>0.12</v>
      </c>
    </row>
    <row r="477" spans="1:7" x14ac:dyDescent="0.3">
      <c r="A477" s="2">
        <v>476</v>
      </c>
      <c r="B477" s="1">
        <v>40564</v>
      </c>
      <c r="C477">
        <v>20</v>
      </c>
      <c r="D477" s="2" t="b">
        <v>0</v>
      </c>
      <c r="E477" s="2" t="s">
        <v>28</v>
      </c>
      <c r="F477" s="2" t="s">
        <v>30</v>
      </c>
      <c r="G477" s="2">
        <v>0.1</v>
      </c>
    </row>
    <row r="478" spans="1:7" x14ac:dyDescent="0.3">
      <c r="A478" s="2">
        <v>477</v>
      </c>
      <c r="B478" s="1">
        <v>40564</v>
      </c>
      <c r="C478">
        <v>21</v>
      </c>
      <c r="D478" s="2" t="b">
        <v>0</v>
      </c>
      <c r="E478" s="2" t="s">
        <v>28</v>
      </c>
      <c r="F478" s="2" t="s">
        <v>30</v>
      </c>
      <c r="G478" s="2">
        <v>0.08</v>
      </c>
    </row>
    <row r="479" spans="1:7" x14ac:dyDescent="0.3">
      <c r="A479" s="2">
        <v>478</v>
      </c>
      <c r="B479" s="1">
        <v>40564</v>
      </c>
      <c r="C479">
        <v>22</v>
      </c>
      <c r="D479" s="2" t="b">
        <v>0</v>
      </c>
      <c r="E479" s="2" t="s">
        <v>28</v>
      </c>
      <c r="F479" s="2" t="s">
        <v>30</v>
      </c>
      <c r="G479" s="2">
        <v>0.06</v>
      </c>
    </row>
    <row r="480" spans="1:7" x14ac:dyDescent="0.3">
      <c r="A480" s="2">
        <v>479</v>
      </c>
      <c r="B480" s="1">
        <v>40564</v>
      </c>
      <c r="C480">
        <v>23</v>
      </c>
      <c r="D480" s="2" t="b">
        <v>0</v>
      </c>
      <c r="E480" s="2" t="s">
        <v>28</v>
      </c>
      <c r="F480" s="2" t="s">
        <v>30</v>
      </c>
      <c r="G480" s="2">
        <v>0.06</v>
      </c>
    </row>
    <row r="481" spans="1:7" x14ac:dyDescent="0.3">
      <c r="A481" s="2">
        <v>480</v>
      </c>
      <c r="B481" s="1">
        <v>40565</v>
      </c>
      <c r="C481">
        <v>0</v>
      </c>
      <c r="D481" s="2" t="b">
        <v>0</v>
      </c>
      <c r="E481" s="2" t="s">
        <v>29</v>
      </c>
      <c r="F481" s="2" t="s">
        <v>30</v>
      </c>
      <c r="G481" s="2">
        <v>0.04</v>
      </c>
    </row>
    <row r="482" spans="1:7" x14ac:dyDescent="0.3">
      <c r="A482" s="2">
        <v>481</v>
      </c>
      <c r="B482" s="1">
        <v>40565</v>
      </c>
      <c r="C482">
        <v>1</v>
      </c>
      <c r="D482" s="2" t="b">
        <v>0</v>
      </c>
      <c r="E482" s="2" t="s">
        <v>29</v>
      </c>
      <c r="F482" s="2" t="s">
        <v>31</v>
      </c>
      <c r="G482" s="2">
        <v>0.04</v>
      </c>
    </row>
    <row r="483" spans="1:7" x14ac:dyDescent="0.3">
      <c r="A483" s="2">
        <v>482</v>
      </c>
      <c r="B483" s="1">
        <v>40565</v>
      </c>
      <c r="C483">
        <v>2</v>
      </c>
      <c r="D483" s="2" t="b">
        <v>0</v>
      </c>
      <c r="E483" s="2" t="s">
        <v>29</v>
      </c>
      <c r="F483" s="2" t="s">
        <v>31</v>
      </c>
      <c r="G483" s="2">
        <v>0.04</v>
      </c>
    </row>
    <row r="484" spans="1:7" x14ac:dyDescent="0.3">
      <c r="A484" s="2">
        <v>483</v>
      </c>
      <c r="B484" s="1">
        <v>40565</v>
      </c>
      <c r="C484">
        <v>3</v>
      </c>
      <c r="D484" s="2" t="b">
        <v>0</v>
      </c>
      <c r="E484" s="2" t="s">
        <v>29</v>
      </c>
      <c r="F484" s="2" t="s">
        <v>31</v>
      </c>
      <c r="G484" s="2">
        <v>0.04</v>
      </c>
    </row>
    <row r="485" spans="1:7" x14ac:dyDescent="0.3">
      <c r="A485" s="2">
        <v>484</v>
      </c>
      <c r="B485" s="1">
        <v>40565</v>
      </c>
      <c r="C485">
        <v>4</v>
      </c>
      <c r="D485" s="2" t="b">
        <v>0</v>
      </c>
      <c r="E485" s="2" t="s">
        <v>29</v>
      </c>
      <c r="F485" s="2" t="s">
        <v>31</v>
      </c>
      <c r="G485" s="2">
        <v>0.02</v>
      </c>
    </row>
    <row r="486" spans="1:7" x14ac:dyDescent="0.3">
      <c r="A486" s="2">
        <v>485</v>
      </c>
      <c r="B486" s="1">
        <v>40565</v>
      </c>
      <c r="C486">
        <v>6</v>
      </c>
      <c r="D486" s="2" t="b">
        <v>0</v>
      </c>
      <c r="E486" s="2" t="s">
        <v>29</v>
      </c>
      <c r="F486" s="2" t="s">
        <v>31</v>
      </c>
      <c r="G486" s="2">
        <v>0.02</v>
      </c>
    </row>
    <row r="487" spans="1:7" x14ac:dyDescent="0.3">
      <c r="A487" s="2">
        <v>486</v>
      </c>
      <c r="B487" s="1">
        <v>40565</v>
      </c>
      <c r="C487">
        <v>7</v>
      </c>
      <c r="D487" s="2" t="b">
        <v>0</v>
      </c>
      <c r="E487" s="2" t="s">
        <v>29</v>
      </c>
      <c r="F487" s="2" t="s">
        <v>30</v>
      </c>
      <c r="G487" s="2">
        <v>0.02</v>
      </c>
    </row>
    <row r="488" spans="1:7" x14ac:dyDescent="0.3">
      <c r="A488" s="2">
        <v>487</v>
      </c>
      <c r="B488" s="1">
        <v>40565</v>
      </c>
      <c r="C488">
        <v>8</v>
      </c>
      <c r="D488" s="2" t="b">
        <v>0</v>
      </c>
      <c r="E488" s="2" t="s">
        <v>29</v>
      </c>
      <c r="F488" s="2" t="s">
        <v>30</v>
      </c>
      <c r="G488" s="2">
        <v>0.02</v>
      </c>
    </row>
    <row r="489" spans="1:7" x14ac:dyDescent="0.3">
      <c r="A489" s="2">
        <v>488</v>
      </c>
      <c r="B489" s="1">
        <v>40565</v>
      </c>
      <c r="C489">
        <v>9</v>
      </c>
      <c r="D489" s="2" t="b">
        <v>0</v>
      </c>
      <c r="E489" s="2" t="s">
        <v>29</v>
      </c>
      <c r="F489" s="2" t="s">
        <v>30</v>
      </c>
      <c r="G489" s="2">
        <v>0.04</v>
      </c>
    </row>
    <row r="490" spans="1:7" x14ac:dyDescent="0.3">
      <c r="A490" s="2">
        <v>489</v>
      </c>
      <c r="B490" s="1">
        <v>40565</v>
      </c>
      <c r="C490">
        <v>10</v>
      </c>
      <c r="D490" s="2" t="b">
        <v>0</v>
      </c>
      <c r="E490" s="2" t="s">
        <v>29</v>
      </c>
      <c r="F490" s="2" t="s">
        <v>31</v>
      </c>
      <c r="G490" s="2">
        <v>0.04</v>
      </c>
    </row>
    <row r="491" spans="1:7" x14ac:dyDescent="0.3">
      <c r="A491" s="2">
        <v>490</v>
      </c>
      <c r="B491" s="1">
        <v>40565</v>
      </c>
      <c r="C491">
        <v>11</v>
      </c>
      <c r="D491" s="2" t="b">
        <v>0</v>
      </c>
      <c r="E491" s="2" t="s">
        <v>29</v>
      </c>
      <c r="F491" s="2" t="s">
        <v>31</v>
      </c>
      <c r="G491" s="2">
        <v>0.06</v>
      </c>
    </row>
    <row r="492" spans="1:7" x14ac:dyDescent="0.3">
      <c r="A492" s="2">
        <v>491</v>
      </c>
      <c r="B492" s="1">
        <v>40565</v>
      </c>
      <c r="C492">
        <v>12</v>
      </c>
      <c r="D492" s="2" t="b">
        <v>0</v>
      </c>
      <c r="E492" s="2" t="s">
        <v>29</v>
      </c>
      <c r="F492" s="2" t="s">
        <v>31</v>
      </c>
      <c r="G492" s="2">
        <v>0.06</v>
      </c>
    </row>
    <row r="493" spans="1:7" x14ac:dyDescent="0.3">
      <c r="A493" s="2">
        <v>492</v>
      </c>
      <c r="B493" s="1">
        <v>40565</v>
      </c>
      <c r="C493">
        <v>13</v>
      </c>
      <c r="D493" s="2" t="b">
        <v>0</v>
      </c>
      <c r="E493" s="2" t="s">
        <v>29</v>
      </c>
      <c r="F493" s="2" t="s">
        <v>30</v>
      </c>
      <c r="G493" s="2">
        <v>0.08</v>
      </c>
    </row>
    <row r="494" spans="1:7" x14ac:dyDescent="0.3">
      <c r="A494" s="2">
        <v>493</v>
      </c>
      <c r="B494" s="1">
        <v>40565</v>
      </c>
      <c r="C494">
        <v>14</v>
      </c>
      <c r="D494" s="2" t="b">
        <v>0</v>
      </c>
      <c r="E494" s="2" t="s">
        <v>29</v>
      </c>
      <c r="F494" s="2" t="s">
        <v>30</v>
      </c>
      <c r="G494" s="2">
        <v>0.1</v>
      </c>
    </row>
    <row r="495" spans="1:7" x14ac:dyDescent="0.3">
      <c r="A495" s="2">
        <v>494</v>
      </c>
      <c r="B495" s="1">
        <v>40565</v>
      </c>
      <c r="C495">
        <v>15</v>
      </c>
      <c r="D495" s="2" t="b">
        <v>0</v>
      </c>
      <c r="E495" s="2" t="s">
        <v>29</v>
      </c>
      <c r="F495" s="2" t="s">
        <v>30</v>
      </c>
      <c r="G495" s="2">
        <v>0.12</v>
      </c>
    </row>
    <row r="496" spans="1:7" x14ac:dyDescent="0.3">
      <c r="A496" s="2">
        <v>495</v>
      </c>
      <c r="B496" s="1">
        <v>40565</v>
      </c>
      <c r="C496">
        <v>16</v>
      </c>
      <c r="D496" s="2" t="b">
        <v>0</v>
      </c>
      <c r="E496" s="2" t="s">
        <v>29</v>
      </c>
      <c r="F496" s="2" t="s">
        <v>30</v>
      </c>
      <c r="G496" s="2">
        <v>0.12</v>
      </c>
    </row>
    <row r="497" spans="1:7" x14ac:dyDescent="0.3">
      <c r="A497" s="2">
        <v>496</v>
      </c>
      <c r="B497" s="1">
        <v>40565</v>
      </c>
      <c r="C497">
        <v>17</v>
      </c>
      <c r="D497" s="2" t="b">
        <v>0</v>
      </c>
      <c r="E497" s="2" t="s">
        <v>29</v>
      </c>
      <c r="F497" s="2" t="s">
        <v>30</v>
      </c>
      <c r="G497" s="2">
        <v>0.12</v>
      </c>
    </row>
    <row r="498" spans="1:7" x14ac:dyDescent="0.3">
      <c r="A498" s="2">
        <v>497</v>
      </c>
      <c r="B498" s="1">
        <v>40565</v>
      </c>
      <c r="C498">
        <v>18</v>
      </c>
      <c r="D498" s="2" t="b">
        <v>0</v>
      </c>
      <c r="E498" s="2" t="s">
        <v>29</v>
      </c>
      <c r="F498" s="2" t="s">
        <v>30</v>
      </c>
      <c r="G498" s="2">
        <v>0.08</v>
      </c>
    </row>
    <row r="499" spans="1:7" x14ac:dyDescent="0.3">
      <c r="A499" s="2">
        <v>498</v>
      </c>
      <c r="B499" s="1">
        <v>40565</v>
      </c>
      <c r="C499">
        <v>19</v>
      </c>
      <c r="D499" s="2" t="b">
        <v>0</v>
      </c>
      <c r="E499" s="2" t="s">
        <v>29</v>
      </c>
      <c r="F499" s="2" t="s">
        <v>30</v>
      </c>
      <c r="G499" s="2">
        <v>0.08</v>
      </c>
    </row>
    <row r="500" spans="1:7" x14ac:dyDescent="0.3">
      <c r="A500" s="2">
        <v>499</v>
      </c>
      <c r="B500" s="1">
        <v>40565</v>
      </c>
      <c r="C500">
        <v>20</v>
      </c>
      <c r="D500" s="2" t="b">
        <v>0</v>
      </c>
      <c r="E500" s="2" t="s">
        <v>29</v>
      </c>
      <c r="F500" s="2" t="s">
        <v>30</v>
      </c>
      <c r="G500" s="2">
        <v>0.06</v>
      </c>
    </row>
    <row r="501" spans="1:7" x14ac:dyDescent="0.3">
      <c r="A501" s="2">
        <v>500</v>
      </c>
      <c r="B501" s="1">
        <v>40565</v>
      </c>
      <c r="C501">
        <v>21</v>
      </c>
      <c r="D501" s="2" t="b">
        <v>0</v>
      </c>
      <c r="E501" s="2" t="s">
        <v>29</v>
      </c>
      <c r="F501" s="2" t="s">
        <v>30</v>
      </c>
      <c r="G501" s="2">
        <v>0.06</v>
      </c>
    </row>
    <row r="502" spans="1:7" x14ac:dyDescent="0.3">
      <c r="A502" s="2">
        <v>501</v>
      </c>
      <c r="B502" s="1">
        <v>40565</v>
      </c>
      <c r="C502">
        <v>22</v>
      </c>
      <c r="D502" s="2" t="b">
        <v>0</v>
      </c>
      <c r="E502" s="2" t="s">
        <v>29</v>
      </c>
      <c r="F502" s="2" t="s">
        <v>30</v>
      </c>
      <c r="G502" s="2">
        <v>0.06</v>
      </c>
    </row>
    <row r="503" spans="1:7" x14ac:dyDescent="0.3">
      <c r="A503" s="2">
        <v>502</v>
      </c>
      <c r="B503" s="1">
        <v>40565</v>
      </c>
      <c r="C503">
        <v>23</v>
      </c>
      <c r="D503" s="2" t="b">
        <v>0</v>
      </c>
      <c r="E503" s="2" t="s">
        <v>29</v>
      </c>
      <c r="F503" s="2" t="s">
        <v>30</v>
      </c>
      <c r="G503" s="2">
        <v>0.04</v>
      </c>
    </row>
    <row r="504" spans="1:7" x14ac:dyDescent="0.3">
      <c r="A504" s="2">
        <v>503</v>
      </c>
      <c r="B504" s="1">
        <v>40566</v>
      </c>
      <c r="C504">
        <v>0</v>
      </c>
      <c r="D504" s="2" t="b">
        <v>0</v>
      </c>
      <c r="E504" s="2" t="s">
        <v>23</v>
      </c>
      <c r="F504" s="2" t="s">
        <v>30</v>
      </c>
      <c r="G504" s="2">
        <v>0.04</v>
      </c>
    </row>
    <row r="505" spans="1:7" x14ac:dyDescent="0.3">
      <c r="A505" s="2">
        <v>504</v>
      </c>
      <c r="B505" s="1">
        <v>40566</v>
      </c>
      <c r="C505">
        <v>1</v>
      </c>
      <c r="D505" s="2" t="b">
        <v>0</v>
      </c>
      <c r="E505" s="2" t="s">
        <v>23</v>
      </c>
      <c r="F505" s="2" t="s">
        <v>30</v>
      </c>
      <c r="G505" s="2">
        <v>0.04</v>
      </c>
    </row>
    <row r="506" spans="1:7" x14ac:dyDescent="0.3">
      <c r="A506" s="2">
        <v>505</v>
      </c>
      <c r="B506" s="1">
        <v>40566</v>
      </c>
      <c r="C506">
        <v>2</v>
      </c>
      <c r="D506" s="2" t="b">
        <v>0</v>
      </c>
      <c r="E506" s="2" t="s">
        <v>23</v>
      </c>
      <c r="F506" s="2" t="s">
        <v>30</v>
      </c>
      <c r="G506" s="2">
        <v>0.02</v>
      </c>
    </row>
    <row r="507" spans="1:7" x14ac:dyDescent="0.3">
      <c r="A507" s="2">
        <v>506</v>
      </c>
      <c r="B507" s="1">
        <v>40566</v>
      </c>
      <c r="C507">
        <v>3</v>
      </c>
      <c r="D507" s="2" t="b">
        <v>0</v>
      </c>
      <c r="E507" s="2" t="s">
        <v>23</v>
      </c>
      <c r="F507" s="2" t="s">
        <v>30</v>
      </c>
      <c r="G507" s="2">
        <v>0.02</v>
      </c>
    </row>
    <row r="508" spans="1:7" x14ac:dyDescent="0.3">
      <c r="A508" s="2">
        <v>507</v>
      </c>
      <c r="B508" s="1">
        <v>40566</v>
      </c>
      <c r="C508">
        <v>5</v>
      </c>
      <c r="D508" s="2" t="b">
        <v>0</v>
      </c>
      <c r="E508" s="2" t="s">
        <v>23</v>
      </c>
      <c r="F508" s="2" t="s">
        <v>31</v>
      </c>
      <c r="G508" s="2">
        <v>0.04</v>
      </c>
    </row>
    <row r="509" spans="1:7" x14ac:dyDescent="0.3">
      <c r="A509" s="2">
        <v>508</v>
      </c>
      <c r="B509" s="1">
        <v>40566</v>
      </c>
      <c r="C509">
        <v>6</v>
      </c>
      <c r="D509" s="2" t="b">
        <v>0</v>
      </c>
      <c r="E509" s="2" t="s">
        <v>23</v>
      </c>
      <c r="F509" s="2" t="s">
        <v>31</v>
      </c>
      <c r="G509" s="2">
        <v>0.04</v>
      </c>
    </row>
    <row r="510" spans="1:7" x14ac:dyDescent="0.3">
      <c r="A510" s="2">
        <v>509</v>
      </c>
      <c r="B510" s="1">
        <v>40566</v>
      </c>
      <c r="C510">
        <v>7</v>
      </c>
      <c r="D510" s="2" t="b">
        <v>0</v>
      </c>
      <c r="E510" s="2" t="s">
        <v>23</v>
      </c>
      <c r="F510" s="2" t="s">
        <v>30</v>
      </c>
      <c r="G510" s="2">
        <v>0.08</v>
      </c>
    </row>
    <row r="511" spans="1:7" x14ac:dyDescent="0.3">
      <c r="A511" s="2">
        <v>510</v>
      </c>
      <c r="B511" s="1">
        <v>40566</v>
      </c>
      <c r="C511">
        <v>8</v>
      </c>
      <c r="D511" s="2" t="b">
        <v>0</v>
      </c>
      <c r="E511" s="2" t="s">
        <v>23</v>
      </c>
      <c r="F511" s="2" t="s">
        <v>30</v>
      </c>
      <c r="G511" s="2">
        <v>0.06</v>
      </c>
    </row>
    <row r="512" spans="1:7" x14ac:dyDescent="0.3">
      <c r="A512" s="2">
        <v>511</v>
      </c>
      <c r="B512" s="1">
        <v>40566</v>
      </c>
      <c r="C512">
        <v>9</v>
      </c>
      <c r="D512" s="2" t="b">
        <v>0</v>
      </c>
      <c r="E512" s="2" t="s">
        <v>23</v>
      </c>
      <c r="F512" s="2" t="s">
        <v>30</v>
      </c>
      <c r="G512" s="2">
        <v>0.1</v>
      </c>
    </row>
    <row r="513" spans="1:7" x14ac:dyDescent="0.3">
      <c r="A513" s="2">
        <v>512</v>
      </c>
      <c r="B513" s="1">
        <v>40566</v>
      </c>
      <c r="C513">
        <v>10</v>
      </c>
      <c r="D513" s="2" t="b">
        <v>0</v>
      </c>
      <c r="E513" s="2" t="s">
        <v>23</v>
      </c>
      <c r="F513" s="2" t="s">
        <v>30</v>
      </c>
      <c r="G513" s="2">
        <v>0.14000000000000001</v>
      </c>
    </row>
    <row r="514" spans="1:7" x14ac:dyDescent="0.3">
      <c r="A514" s="2">
        <v>513</v>
      </c>
      <c r="B514" s="1">
        <v>40566</v>
      </c>
      <c r="C514">
        <v>11</v>
      </c>
      <c r="D514" s="2" t="b">
        <v>0</v>
      </c>
      <c r="E514" s="2" t="s">
        <v>23</v>
      </c>
      <c r="F514" s="2" t="s">
        <v>30</v>
      </c>
      <c r="G514" s="2">
        <v>0.14000000000000001</v>
      </c>
    </row>
    <row r="515" spans="1:7" x14ac:dyDescent="0.3">
      <c r="A515" s="2">
        <v>514</v>
      </c>
      <c r="B515" s="1">
        <v>40566</v>
      </c>
      <c r="C515">
        <v>12</v>
      </c>
      <c r="D515" s="2" t="b">
        <v>0</v>
      </c>
      <c r="E515" s="2" t="s">
        <v>23</v>
      </c>
      <c r="F515" s="2" t="s">
        <v>30</v>
      </c>
      <c r="G515" s="2">
        <v>0.16</v>
      </c>
    </row>
    <row r="516" spans="1:7" x14ac:dyDescent="0.3">
      <c r="A516" s="2">
        <v>515</v>
      </c>
      <c r="B516" s="1">
        <v>40566</v>
      </c>
      <c r="C516">
        <v>13</v>
      </c>
      <c r="D516" s="2" t="b">
        <v>0</v>
      </c>
      <c r="E516" s="2" t="s">
        <v>23</v>
      </c>
      <c r="F516" s="2" t="s">
        <v>30</v>
      </c>
      <c r="G516" s="2">
        <v>0.14000000000000001</v>
      </c>
    </row>
    <row r="517" spans="1:7" x14ac:dyDescent="0.3">
      <c r="A517" s="2">
        <v>516</v>
      </c>
      <c r="B517" s="1">
        <v>40566</v>
      </c>
      <c r="C517">
        <v>14</v>
      </c>
      <c r="D517" s="2" t="b">
        <v>0</v>
      </c>
      <c r="E517" s="2" t="s">
        <v>23</v>
      </c>
      <c r="F517" s="2" t="s">
        <v>30</v>
      </c>
      <c r="G517" s="2">
        <v>0.16</v>
      </c>
    </row>
    <row r="518" spans="1:7" x14ac:dyDescent="0.3">
      <c r="A518" s="2">
        <v>517</v>
      </c>
      <c r="B518" s="1">
        <v>40566</v>
      </c>
      <c r="C518">
        <v>15</v>
      </c>
      <c r="D518" s="2" t="b">
        <v>0</v>
      </c>
      <c r="E518" s="2" t="s">
        <v>23</v>
      </c>
      <c r="F518" s="2" t="s">
        <v>30</v>
      </c>
      <c r="G518" s="2">
        <v>0.16</v>
      </c>
    </row>
    <row r="519" spans="1:7" x14ac:dyDescent="0.3">
      <c r="A519" s="2">
        <v>518</v>
      </c>
      <c r="B519" s="1">
        <v>40566</v>
      </c>
      <c r="C519">
        <v>16</v>
      </c>
      <c r="D519" s="2" t="b">
        <v>0</v>
      </c>
      <c r="E519" s="2" t="s">
        <v>23</v>
      </c>
      <c r="F519" s="2" t="s">
        <v>30</v>
      </c>
      <c r="G519" s="2">
        <v>0.16</v>
      </c>
    </row>
    <row r="520" spans="1:7" x14ac:dyDescent="0.3">
      <c r="A520" s="2">
        <v>519</v>
      </c>
      <c r="B520" s="1">
        <v>40566</v>
      </c>
      <c r="C520">
        <v>17</v>
      </c>
      <c r="D520" s="2" t="b">
        <v>0</v>
      </c>
      <c r="E520" s="2" t="s">
        <v>23</v>
      </c>
      <c r="F520" s="2" t="s">
        <v>30</v>
      </c>
      <c r="G520" s="2">
        <v>0.14000000000000001</v>
      </c>
    </row>
    <row r="521" spans="1:7" x14ac:dyDescent="0.3">
      <c r="A521" s="2">
        <v>520</v>
      </c>
      <c r="B521" s="1">
        <v>40566</v>
      </c>
      <c r="C521">
        <v>18</v>
      </c>
      <c r="D521" s="2" t="b">
        <v>0</v>
      </c>
      <c r="E521" s="2" t="s">
        <v>23</v>
      </c>
      <c r="F521" s="2" t="s">
        <v>30</v>
      </c>
      <c r="G521" s="2">
        <v>0.12</v>
      </c>
    </row>
    <row r="522" spans="1:7" x14ac:dyDescent="0.3">
      <c r="A522" s="2">
        <v>521</v>
      </c>
      <c r="B522" s="1">
        <v>40566</v>
      </c>
      <c r="C522">
        <v>19</v>
      </c>
      <c r="D522" s="2" t="b">
        <v>0</v>
      </c>
      <c r="E522" s="2" t="s">
        <v>23</v>
      </c>
      <c r="F522" s="2" t="s">
        <v>30</v>
      </c>
      <c r="G522" s="2">
        <v>0.12</v>
      </c>
    </row>
    <row r="523" spans="1:7" x14ac:dyDescent="0.3">
      <c r="A523" s="2">
        <v>522</v>
      </c>
      <c r="B523" s="1">
        <v>40566</v>
      </c>
      <c r="C523">
        <v>20</v>
      </c>
      <c r="D523" s="2" t="b">
        <v>0</v>
      </c>
      <c r="E523" s="2" t="s">
        <v>23</v>
      </c>
      <c r="F523" s="2" t="s">
        <v>30</v>
      </c>
      <c r="G523" s="2">
        <v>0.1</v>
      </c>
    </row>
    <row r="524" spans="1:7" x14ac:dyDescent="0.3">
      <c r="A524" s="2">
        <v>523</v>
      </c>
      <c r="B524" s="1">
        <v>40566</v>
      </c>
      <c r="C524">
        <v>21</v>
      </c>
      <c r="D524" s="2" t="b">
        <v>0</v>
      </c>
      <c r="E524" s="2" t="s">
        <v>23</v>
      </c>
      <c r="F524" s="2" t="s">
        <v>30</v>
      </c>
      <c r="G524" s="2">
        <v>0.1</v>
      </c>
    </row>
    <row r="525" spans="1:7" x14ac:dyDescent="0.3">
      <c r="A525" s="2">
        <v>524</v>
      </c>
      <c r="B525" s="1">
        <v>40566</v>
      </c>
      <c r="C525">
        <v>22</v>
      </c>
      <c r="D525" s="2" t="b">
        <v>0</v>
      </c>
      <c r="E525" s="2" t="s">
        <v>23</v>
      </c>
      <c r="F525" s="2" t="s">
        <v>30</v>
      </c>
      <c r="G525" s="2">
        <v>0.08</v>
      </c>
    </row>
    <row r="526" spans="1:7" x14ac:dyDescent="0.3">
      <c r="A526" s="2">
        <v>525</v>
      </c>
      <c r="B526" s="1">
        <v>40566</v>
      </c>
      <c r="C526">
        <v>23</v>
      </c>
      <c r="D526" s="2" t="b">
        <v>0</v>
      </c>
      <c r="E526" s="2" t="s">
        <v>23</v>
      </c>
      <c r="F526" s="2" t="s">
        <v>30</v>
      </c>
      <c r="G526" s="2">
        <v>0.06</v>
      </c>
    </row>
    <row r="527" spans="1:7" x14ac:dyDescent="0.3">
      <c r="A527" s="2">
        <v>526</v>
      </c>
      <c r="B527" s="1">
        <v>40567</v>
      </c>
      <c r="C527">
        <v>0</v>
      </c>
      <c r="D527" s="2" t="b">
        <v>0</v>
      </c>
      <c r="E527" s="2" t="s">
        <v>24</v>
      </c>
      <c r="F527" s="2" t="s">
        <v>30</v>
      </c>
      <c r="G527" s="2">
        <v>0.06</v>
      </c>
    </row>
    <row r="528" spans="1:7" x14ac:dyDescent="0.3">
      <c r="A528" s="2">
        <v>527</v>
      </c>
      <c r="B528" s="1">
        <v>40567</v>
      </c>
      <c r="C528">
        <v>1</v>
      </c>
      <c r="D528" s="2" t="b">
        <v>0</v>
      </c>
      <c r="E528" s="2" t="s">
        <v>24</v>
      </c>
      <c r="F528" s="2" t="s">
        <v>30</v>
      </c>
      <c r="G528" s="2">
        <v>0.04</v>
      </c>
    </row>
    <row r="529" spans="1:7" x14ac:dyDescent="0.3">
      <c r="A529" s="2">
        <v>528</v>
      </c>
      <c r="B529" s="1">
        <v>40567</v>
      </c>
      <c r="C529">
        <v>3</v>
      </c>
      <c r="D529" s="2" t="b">
        <v>0</v>
      </c>
      <c r="E529" s="2" t="s">
        <v>24</v>
      </c>
      <c r="F529" s="2" t="s">
        <v>30</v>
      </c>
      <c r="G529" s="2">
        <v>0.04</v>
      </c>
    </row>
    <row r="530" spans="1:7" x14ac:dyDescent="0.3">
      <c r="A530" s="2">
        <v>529</v>
      </c>
      <c r="B530" s="1">
        <v>40567</v>
      </c>
      <c r="C530">
        <v>4</v>
      </c>
      <c r="D530" s="2" t="b">
        <v>0</v>
      </c>
      <c r="E530" s="2" t="s">
        <v>24</v>
      </c>
      <c r="F530" s="2" t="s">
        <v>30</v>
      </c>
      <c r="G530" s="2">
        <v>0.02</v>
      </c>
    </row>
    <row r="531" spans="1:7" x14ac:dyDescent="0.3">
      <c r="A531" s="2">
        <v>530</v>
      </c>
      <c r="B531" s="1">
        <v>40567</v>
      </c>
      <c r="C531">
        <v>5</v>
      </c>
      <c r="D531" s="2" t="b">
        <v>0</v>
      </c>
      <c r="E531" s="2" t="s">
        <v>24</v>
      </c>
      <c r="F531" s="2" t="s">
        <v>30</v>
      </c>
      <c r="G531" s="2">
        <v>0.02</v>
      </c>
    </row>
    <row r="532" spans="1:7" x14ac:dyDescent="0.3">
      <c r="A532" s="2">
        <v>531</v>
      </c>
      <c r="B532" s="1">
        <v>40567</v>
      </c>
      <c r="C532">
        <v>6</v>
      </c>
      <c r="D532" s="2" t="b">
        <v>0</v>
      </c>
      <c r="E532" s="2" t="s">
        <v>24</v>
      </c>
      <c r="F532" s="2" t="s">
        <v>30</v>
      </c>
      <c r="G532" s="2">
        <v>0.02</v>
      </c>
    </row>
    <row r="533" spans="1:7" x14ac:dyDescent="0.3">
      <c r="A533" s="2">
        <v>532</v>
      </c>
      <c r="B533" s="1">
        <v>40567</v>
      </c>
      <c r="C533">
        <v>7</v>
      </c>
      <c r="D533" s="2" t="b">
        <v>0</v>
      </c>
      <c r="E533" s="2" t="s">
        <v>24</v>
      </c>
      <c r="F533" s="2" t="s">
        <v>30</v>
      </c>
      <c r="G533" s="2">
        <v>0.02</v>
      </c>
    </row>
    <row r="534" spans="1:7" x14ac:dyDescent="0.3">
      <c r="A534" s="2">
        <v>533</v>
      </c>
      <c r="B534" s="1">
        <v>40567</v>
      </c>
      <c r="C534">
        <v>8</v>
      </c>
      <c r="D534" s="2" t="b">
        <v>0</v>
      </c>
      <c r="E534" s="2" t="s">
        <v>24</v>
      </c>
      <c r="F534" s="2" t="s">
        <v>30</v>
      </c>
      <c r="G534" s="2">
        <v>0.04</v>
      </c>
    </row>
    <row r="535" spans="1:7" x14ac:dyDescent="0.3">
      <c r="A535" s="2">
        <v>534</v>
      </c>
      <c r="B535" s="1">
        <v>40567</v>
      </c>
      <c r="C535">
        <v>9</v>
      </c>
      <c r="D535" s="2" t="b">
        <v>0</v>
      </c>
      <c r="E535" s="2" t="s">
        <v>24</v>
      </c>
      <c r="F535" s="2" t="s">
        <v>30</v>
      </c>
      <c r="G535" s="2">
        <v>0.06</v>
      </c>
    </row>
    <row r="536" spans="1:7" x14ac:dyDescent="0.3">
      <c r="A536" s="2">
        <v>535</v>
      </c>
      <c r="B536" s="1">
        <v>40567</v>
      </c>
      <c r="C536">
        <v>10</v>
      </c>
      <c r="D536" s="2" t="b">
        <v>0</v>
      </c>
      <c r="E536" s="2" t="s">
        <v>24</v>
      </c>
      <c r="F536" s="2" t="s">
        <v>30</v>
      </c>
      <c r="G536" s="2">
        <v>0.1</v>
      </c>
    </row>
    <row r="537" spans="1:7" x14ac:dyDescent="0.3">
      <c r="A537" s="2">
        <v>536</v>
      </c>
      <c r="B537" s="1">
        <v>40567</v>
      </c>
      <c r="C537">
        <v>11</v>
      </c>
      <c r="D537" s="2" t="b">
        <v>0</v>
      </c>
      <c r="E537" s="2" t="s">
        <v>24</v>
      </c>
      <c r="F537" s="2" t="s">
        <v>30</v>
      </c>
      <c r="G537" s="2">
        <v>0.1</v>
      </c>
    </row>
    <row r="538" spans="1:7" x14ac:dyDescent="0.3">
      <c r="A538" s="2">
        <v>537</v>
      </c>
      <c r="B538" s="1">
        <v>40567</v>
      </c>
      <c r="C538">
        <v>12</v>
      </c>
      <c r="D538" s="2" t="b">
        <v>0</v>
      </c>
      <c r="E538" s="2" t="s">
        <v>24</v>
      </c>
      <c r="F538" s="2" t="s">
        <v>31</v>
      </c>
      <c r="G538" s="2">
        <v>0.12</v>
      </c>
    </row>
    <row r="539" spans="1:7" x14ac:dyDescent="0.3">
      <c r="A539" s="2">
        <v>538</v>
      </c>
      <c r="B539" s="1">
        <v>40567</v>
      </c>
      <c r="C539">
        <v>13</v>
      </c>
      <c r="D539" s="2" t="b">
        <v>0</v>
      </c>
      <c r="E539" s="2" t="s">
        <v>24</v>
      </c>
      <c r="F539" s="2" t="s">
        <v>31</v>
      </c>
      <c r="G539" s="2">
        <v>0.14000000000000001</v>
      </c>
    </row>
    <row r="540" spans="1:7" x14ac:dyDescent="0.3">
      <c r="A540" s="2">
        <v>539</v>
      </c>
      <c r="B540" s="1">
        <v>40567</v>
      </c>
      <c r="C540">
        <v>14</v>
      </c>
      <c r="D540" s="2" t="b">
        <v>0</v>
      </c>
      <c r="E540" s="2" t="s">
        <v>24</v>
      </c>
      <c r="F540" s="2" t="s">
        <v>31</v>
      </c>
      <c r="G540" s="2">
        <v>0.14000000000000001</v>
      </c>
    </row>
    <row r="541" spans="1:7" x14ac:dyDescent="0.3">
      <c r="A541" s="2">
        <v>540</v>
      </c>
      <c r="B541" s="1">
        <v>40567</v>
      </c>
      <c r="C541">
        <v>15</v>
      </c>
      <c r="D541" s="2" t="b">
        <v>0</v>
      </c>
      <c r="E541" s="2" t="s">
        <v>24</v>
      </c>
      <c r="F541" s="2" t="s">
        <v>30</v>
      </c>
      <c r="G541" s="2">
        <v>0.16</v>
      </c>
    </row>
    <row r="542" spans="1:7" x14ac:dyDescent="0.3">
      <c r="A542" s="2">
        <v>541</v>
      </c>
      <c r="B542" s="1">
        <v>40567</v>
      </c>
      <c r="C542">
        <v>16</v>
      </c>
      <c r="D542" s="2" t="b">
        <v>0</v>
      </c>
      <c r="E542" s="2" t="s">
        <v>24</v>
      </c>
      <c r="F542" s="2" t="s">
        <v>30</v>
      </c>
      <c r="G542" s="2">
        <v>0.16</v>
      </c>
    </row>
    <row r="543" spans="1:7" x14ac:dyDescent="0.3">
      <c r="A543" s="2">
        <v>542</v>
      </c>
      <c r="B543" s="1">
        <v>40567</v>
      </c>
      <c r="C543">
        <v>17</v>
      </c>
      <c r="D543" s="2" t="b">
        <v>0</v>
      </c>
      <c r="E543" s="2" t="s">
        <v>24</v>
      </c>
      <c r="F543" s="2" t="s">
        <v>30</v>
      </c>
      <c r="G543" s="2">
        <v>0.14000000000000001</v>
      </c>
    </row>
    <row r="544" spans="1:7" x14ac:dyDescent="0.3">
      <c r="A544" s="2">
        <v>543</v>
      </c>
      <c r="B544" s="1">
        <v>40567</v>
      </c>
      <c r="C544">
        <v>18</v>
      </c>
      <c r="D544" s="2" t="b">
        <v>0</v>
      </c>
      <c r="E544" s="2" t="s">
        <v>24</v>
      </c>
      <c r="F544" s="2" t="s">
        <v>30</v>
      </c>
      <c r="G544" s="2">
        <v>0.14000000000000001</v>
      </c>
    </row>
    <row r="545" spans="1:7" x14ac:dyDescent="0.3">
      <c r="A545" s="2">
        <v>544</v>
      </c>
      <c r="B545" s="1">
        <v>40567</v>
      </c>
      <c r="C545">
        <v>19</v>
      </c>
      <c r="D545" s="2" t="b">
        <v>0</v>
      </c>
      <c r="E545" s="2" t="s">
        <v>24</v>
      </c>
      <c r="F545" s="2" t="s">
        <v>30</v>
      </c>
      <c r="G545" s="2">
        <v>0.14000000000000001</v>
      </c>
    </row>
    <row r="546" spans="1:7" x14ac:dyDescent="0.3">
      <c r="A546" s="2">
        <v>545</v>
      </c>
      <c r="B546" s="1">
        <v>40567</v>
      </c>
      <c r="C546">
        <v>20</v>
      </c>
      <c r="D546" s="2" t="b">
        <v>0</v>
      </c>
      <c r="E546" s="2" t="s">
        <v>24</v>
      </c>
      <c r="F546" s="2" t="s">
        <v>30</v>
      </c>
      <c r="G546" s="2">
        <v>0.14000000000000001</v>
      </c>
    </row>
    <row r="547" spans="1:7" x14ac:dyDescent="0.3">
      <c r="A547" s="2">
        <v>546</v>
      </c>
      <c r="B547" s="1">
        <v>40567</v>
      </c>
      <c r="C547">
        <v>21</v>
      </c>
      <c r="D547" s="2" t="b">
        <v>0</v>
      </c>
      <c r="E547" s="2" t="s">
        <v>24</v>
      </c>
      <c r="F547" s="2" t="s">
        <v>30</v>
      </c>
      <c r="G547" s="2">
        <v>0.14000000000000001</v>
      </c>
    </row>
    <row r="548" spans="1:7" x14ac:dyDescent="0.3">
      <c r="A548" s="2">
        <v>547</v>
      </c>
      <c r="B548" s="1">
        <v>40567</v>
      </c>
      <c r="C548">
        <v>22</v>
      </c>
      <c r="D548" s="2" t="b">
        <v>0</v>
      </c>
      <c r="E548" s="2" t="s">
        <v>24</v>
      </c>
      <c r="F548" s="2" t="s">
        <v>31</v>
      </c>
      <c r="G548" s="2">
        <v>0.14000000000000001</v>
      </c>
    </row>
    <row r="549" spans="1:7" x14ac:dyDescent="0.3">
      <c r="A549" s="2">
        <v>548</v>
      </c>
      <c r="B549" s="1">
        <v>40567</v>
      </c>
      <c r="C549">
        <v>23</v>
      </c>
      <c r="D549" s="2" t="b">
        <v>0</v>
      </c>
      <c r="E549" s="2" t="s">
        <v>24</v>
      </c>
      <c r="F549" s="2" t="s">
        <v>31</v>
      </c>
      <c r="G549" s="2">
        <v>0.16</v>
      </c>
    </row>
    <row r="550" spans="1:7" x14ac:dyDescent="0.3">
      <c r="A550" s="2">
        <v>549</v>
      </c>
      <c r="B550" s="1">
        <v>40568</v>
      </c>
      <c r="C550">
        <v>0</v>
      </c>
      <c r="D550" s="2" t="b">
        <v>0</v>
      </c>
      <c r="E550" s="2" t="s">
        <v>25</v>
      </c>
      <c r="F550" s="2" t="s">
        <v>31</v>
      </c>
      <c r="G550" s="2">
        <v>0.16</v>
      </c>
    </row>
    <row r="551" spans="1:7" x14ac:dyDescent="0.3">
      <c r="A551" s="2">
        <v>550</v>
      </c>
      <c r="B551" s="1">
        <v>40568</v>
      </c>
      <c r="C551">
        <v>1</v>
      </c>
      <c r="D551" s="2" t="b">
        <v>0</v>
      </c>
      <c r="E551" s="2" t="s">
        <v>25</v>
      </c>
      <c r="F551" s="2" t="s">
        <v>31</v>
      </c>
      <c r="G551" s="2">
        <v>0.16</v>
      </c>
    </row>
    <row r="552" spans="1:7" x14ac:dyDescent="0.3">
      <c r="A552" s="2">
        <v>551</v>
      </c>
      <c r="B552" s="1">
        <v>40568</v>
      </c>
      <c r="C552">
        <v>2</v>
      </c>
      <c r="D552" s="2" t="b">
        <v>0</v>
      </c>
      <c r="E552" s="2" t="s">
        <v>25</v>
      </c>
      <c r="F552" s="2" t="s">
        <v>30</v>
      </c>
      <c r="G552" s="2">
        <v>0.16</v>
      </c>
    </row>
    <row r="553" spans="1:7" x14ac:dyDescent="0.3">
      <c r="A553" s="2">
        <v>552</v>
      </c>
      <c r="B553" s="1">
        <v>40568</v>
      </c>
      <c r="C553">
        <v>4</v>
      </c>
      <c r="D553" s="2" t="b">
        <v>0</v>
      </c>
      <c r="E553" s="2" t="s">
        <v>25</v>
      </c>
      <c r="F553" s="2" t="s">
        <v>30</v>
      </c>
      <c r="G553" s="2">
        <v>0.14000000000000001</v>
      </c>
    </row>
    <row r="554" spans="1:7" x14ac:dyDescent="0.3">
      <c r="A554" s="2">
        <v>553</v>
      </c>
      <c r="B554" s="1">
        <v>40568</v>
      </c>
      <c r="C554">
        <v>5</v>
      </c>
      <c r="D554" s="2" t="b">
        <v>0</v>
      </c>
      <c r="E554" s="2" t="s">
        <v>25</v>
      </c>
      <c r="F554" s="2" t="s">
        <v>30</v>
      </c>
      <c r="G554" s="2">
        <v>0.14000000000000001</v>
      </c>
    </row>
    <row r="555" spans="1:7" x14ac:dyDescent="0.3">
      <c r="A555" s="2">
        <v>554</v>
      </c>
      <c r="B555" s="1">
        <v>40568</v>
      </c>
      <c r="C555">
        <v>6</v>
      </c>
      <c r="D555" s="2" t="b">
        <v>0</v>
      </c>
      <c r="E555" s="2" t="s">
        <v>25</v>
      </c>
      <c r="F555" s="2" t="s">
        <v>30</v>
      </c>
      <c r="G555" s="2">
        <v>0.16</v>
      </c>
    </row>
    <row r="556" spans="1:7" x14ac:dyDescent="0.3">
      <c r="A556" s="2">
        <v>555</v>
      </c>
      <c r="B556" s="1">
        <v>40568</v>
      </c>
      <c r="C556">
        <v>7</v>
      </c>
      <c r="D556" s="2" t="b">
        <v>0</v>
      </c>
      <c r="E556" s="2" t="s">
        <v>25</v>
      </c>
      <c r="F556" s="2" t="s">
        <v>30</v>
      </c>
      <c r="G556" s="2">
        <v>0.16</v>
      </c>
    </row>
    <row r="557" spans="1:7" x14ac:dyDescent="0.3">
      <c r="A557" s="2">
        <v>556</v>
      </c>
      <c r="B557" s="1">
        <v>40568</v>
      </c>
      <c r="C557">
        <v>8</v>
      </c>
      <c r="D557" s="2" t="b">
        <v>0</v>
      </c>
      <c r="E557" s="2" t="s">
        <v>25</v>
      </c>
      <c r="F557" s="2" t="s">
        <v>31</v>
      </c>
      <c r="G557" s="2">
        <v>0.16</v>
      </c>
    </row>
    <row r="558" spans="1:7" x14ac:dyDescent="0.3">
      <c r="A558" s="2">
        <v>557</v>
      </c>
      <c r="B558" s="1">
        <v>40568</v>
      </c>
      <c r="C558">
        <v>9</v>
      </c>
      <c r="D558" s="2" t="b">
        <v>0</v>
      </c>
      <c r="E558" s="2" t="s">
        <v>25</v>
      </c>
      <c r="F558" s="2" t="s">
        <v>31</v>
      </c>
      <c r="G558" s="2">
        <v>0.2</v>
      </c>
    </row>
    <row r="559" spans="1:7" x14ac:dyDescent="0.3">
      <c r="A559" s="2">
        <v>558</v>
      </c>
      <c r="B559" s="1">
        <v>40568</v>
      </c>
      <c r="C559">
        <v>10</v>
      </c>
      <c r="D559" s="2" t="b">
        <v>0</v>
      </c>
      <c r="E559" s="2" t="s">
        <v>25</v>
      </c>
      <c r="F559" s="2" t="s">
        <v>31</v>
      </c>
      <c r="G559" s="2">
        <v>0.22</v>
      </c>
    </row>
    <row r="560" spans="1:7" x14ac:dyDescent="0.3">
      <c r="A560" s="2">
        <v>559</v>
      </c>
      <c r="B560" s="1">
        <v>40568</v>
      </c>
      <c r="C560">
        <v>11</v>
      </c>
      <c r="D560" s="2" t="b">
        <v>0</v>
      </c>
      <c r="E560" s="2" t="s">
        <v>25</v>
      </c>
      <c r="F560" s="2" t="s">
        <v>31</v>
      </c>
      <c r="G560" s="2">
        <v>0.24</v>
      </c>
    </row>
    <row r="561" spans="1:7" x14ac:dyDescent="0.3">
      <c r="A561" s="2">
        <v>560</v>
      </c>
      <c r="B561" s="1">
        <v>40568</v>
      </c>
      <c r="C561">
        <v>12</v>
      </c>
      <c r="D561" s="2" t="b">
        <v>0</v>
      </c>
      <c r="E561" s="2" t="s">
        <v>25</v>
      </c>
      <c r="F561" s="2" t="s">
        <v>31</v>
      </c>
      <c r="G561" s="2">
        <v>0.26</v>
      </c>
    </row>
    <row r="562" spans="1:7" x14ac:dyDescent="0.3">
      <c r="A562" s="2">
        <v>561</v>
      </c>
      <c r="B562" s="1">
        <v>40568</v>
      </c>
      <c r="C562">
        <v>13</v>
      </c>
      <c r="D562" s="2" t="b">
        <v>0</v>
      </c>
      <c r="E562" s="2" t="s">
        <v>25</v>
      </c>
      <c r="F562" s="2" t="s">
        <v>31</v>
      </c>
      <c r="G562" s="2">
        <v>0.26</v>
      </c>
    </row>
    <row r="563" spans="1:7" x14ac:dyDescent="0.3">
      <c r="A563" s="2">
        <v>562</v>
      </c>
      <c r="B563" s="1">
        <v>40568</v>
      </c>
      <c r="C563">
        <v>14</v>
      </c>
      <c r="D563" s="2" t="b">
        <v>0</v>
      </c>
      <c r="E563" s="2" t="s">
        <v>25</v>
      </c>
      <c r="F563" s="2" t="s">
        <v>31</v>
      </c>
      <c r="G563" s="2">
        <v>0.3</v>
      </c>
    </row>
    <row r="564" spans="1:7" x14ac:dyDescent="0.3">
      <c r="A564" s="2">
        <v>563</v>
      </c>
      <c r="B564" s="1">
        <v>40568</v>
      </c>
      <c r="C564">
        <v>15</v>
      </c>
      <c r="D564" s="2" t="b">
        <v>0</v>
      </c>
      <c r="E564" s="2" t="s">
        <v>25</v>
      </c>
      <c r="F564" s="2" t="s">
        <v>31</v>
      </c>
      <c r="G564" s="2">
        <v>0.32</v>
      </c>
    </row>
    <row r="565" spans="1:7" x14ac:dyDescent="0.3">
      <c r="A565" s="2">
        <v>564</v>
      </c>
      <c r="B565" s="1">
        <v>40568</v>
      </c>
      <c r="C565">
        <v>16</v>
      </c>
      <c r="D565" s="2" t="b">
        <v>0</v>
      </c>
      <c r="E565" s="2" t="s">
        <v>25</v>
      </c>
      <c r="F565" s="2" t="s">
        <v>31</v>
      </c>
      <c r="G565" s="2">
        <v>0.32</v>
      </c>
    </row>
    <row r="566" spans="1:7" x14ac:dyDescent="0.3">
      <c r="A566" s="2">
        <v>565</v>
      </c>
      <c r="B566" s="1">
        <v>40568</v>
      </c>
      <c r="C566">
        <v>17</v>
      </c>
      <c r="D566" s="2" t="b">
        <v>0</v>
      </c>
      <c r="E566" s="2" t="s">
        <v>25</v>
      </c>
      <c r="F566" s="2" t="s">
        <v>30</v>
      </c>
      <c r="G566" s="2">
        <v>0.3</v>
      </c>
    </row>
    <row r="567" spans="1:7" x14ac:dyDescent="0.3">
      <c r="A567" s="2">
        <v>566</v>
      </c>
      <c r="B567" s="1">
        <v>40568</v>
      </c>
      <c r="C567">
        <v>18</v>
      </c>
      <c r="D567" s="2" t="b">
        <v>0</v>
      </c>
      <c r="E567" s="2" t="s">
        <v>25</v>
      </c>
      <c r="F567" s="2" t="s">
        <v>31</v>
      </c>
      <c r="G567" s="2">
        <v>0.3</v>
      </c>
    </row>
    <row r="568" spans="1:7" x14ac:dyDescent="0.3">
      <c r="A568" s="2">
        <v>567</v>
      </c>
      <c r="B568" s="1">
        <v>40568</v>
      </c>
      <c r="C568">
        <v>19</v>
      </c>
      <c r="D568" s="2" t="b">
        <v>0</v>
      </c>
      <c r="E568" s="2" t="s">
        <v>25</v>
      </c>
      <c r="F568" s="2" t="s">
        <v>31</v>
      </c>
      <c r="G568" s="2">
        <v>0.26</v>
      </c>
    </row>
    <row r="569" spans="1:7" x14ac:dyDescent="0.3">
      <c r="A569" s="2">
        <v>568</v>
      </c>
      <c r="B569" s="1">
        <v>40568</v>
      </c>
      <c r="C569">
        <v>20</v>
      </c>
      <c r="D569" s="2" t="b">
        <v>0</v>
      </c>
      <c r="E569" s="2" t="s">
        <v>25</v>
      </c>
      <c r="F569" s="2" t="s">
        <v>30</v>
      </c>
      <c r="G569" s="2">
        <v>0.24</v>
      </c>
    </row>
    <row r="570" spans="1:7" x14ac:dyDescent="0.3">
      <c r="A570" s="2">
        <v>569</v>
      </c>
      <c r="B570" s="1">
        <v>40568</v>
      </c>
      <c r="C570">
        <v>21</v>
      </c>
      <c r="D570" s="2" t="b">
        <v>0</v>
      </c>
      <c r="E570" s="2" t="s">
        <v>25</v>
      </c>
      <c r="F570" s="2" t="s">
        <v>30</v>
      </c>
      <c r="G570" s="2">
        <v>0.24</v>
      </c>
    </row>
    <row r="571" spans="1:7" x14ac:dyDescent="0.3">
      <c r="A571" s="2">
        <v>570</v>
      </c>
      <c r="B571" s="1">
        <v>40568</v>
      </c>
      <c r="C571">
        <v>22</v>
      </c>
      <c r="D571" s="2" t="b">
        <v>0</v>
      </c>
      <c r="E571" s="2" t="s">
        <v>25</v>
      </c>
      <c r="F571" s="2" t="s">
        <v>30</v>
      </c>
      <c r="G571" s="2">
        <v>0.22</v>
      </c>
    </row>
    <row r="572" spans="1:7" x14ac:dyDescent="0.3">
      <c r="A572" s="2">
        <v>571</v>
      </c>
      <c r="B572" s="1">
        <v>40568</v>
      </c>
      <c r="C572">
        <v>23</v>
      </c>
      <c r="D572" s="2" t="b">
        <v>0</v>
      </c>
      <c r="E572" s="2" t="s">
        <v>25</v>
      </c>
      <c r="F572" s="2" t="s">
        <v>31</v>
      </c>
      <c r="G572" s="2">
        <v>0.22</v>
      </c>
    </row>
    <row r="573" spans="1:7" x14ac:dyDescent="0.3">
      <c r="A573" s="2">
        <v>572</v>
      </c>
      <c r="B573" s="1">
        <v>40569</v>
      </c>
      <c r="C573">
        <v>0</v>
      </c>
      <c r="D573" s="2" t="b">
        <v>0</v>
      </c>
      <c r="E573" s="2" t="s">
        <v>26</v>
      </c>
      <c r="F573" s="2" t="s">
        <v>31</v>
      </c>
      <c r="G573" s="2">
        <v>0.22</v>
      </c>
    </row>
    <row r="574" spans="1:7" x14ac:dyDescent="0.3">
      <c r="A574" s="2">
        <v>573</v>
      </c>
      <c r="B574" s="1">
        <v>40569</v>
      </c>
      <c r="C574">
        <v>1</v>
      </c>
      <c r="D574" s="2" t="b">
        <v>0</v>
      </c>
      <c r="E574" s="2" t="s">
        <v>26</v>
      </c>
      <c r="F574" s="2" t="s">
        <v>31</v>
      </c>
      <c r="G574" s="2">
        <v>0.24</v>
      </c>
    </row>
    <row r="575" spans="1:7" x14ac:dyDescent="0.3">
      <c r="A575" s="2">
        <v>574</v>
      </c>
      <c r="B575" s="1">
        <v>40569</v>
      </c>
      <c r="C575">
        <v>2</v>
      </c>
      <c r="D575" s="2" t="b">
        <v>0</v>
      </c>
      <c r="E575" s="2" t="s">
        <v>26</v>
      </c>
      <c r="F575" s="2" t="s">
        <v>32</v>
      </c>
      <c r="G575" s="2">
        <v>0.22</v>
      </c>
    </row>
    <row r="576" spans="1:7" x14ac:dyDescent="0.3">
      <c r="A576" s="2">
        <v>575</v>
      </c>
      <c r="B576" s="1">
        <v>40569</v>
      </c>
      <c r="C576">
        <v>5</v>
      </c>
      <c r="D576" s="2" t="b">
        <v>0</v>
      </c>
      <c r="E576" s="2" t="s">
        <v>26</v>
      </c>
      <c r="F576" s="2" t="s">
        <v>32</v>
      </c>
      <c r="G576" s="2">
        <v>0.2</v>
      </c>
    </row>
    <row r="577" spans="1:7" x14ac:dyDescent="0.3">
      <c r="A577" s="2">
        <v>576</v>
      </c>
      <c r="B577" s="1">
        <v>40569</v>
      </c>
      <c r="C577">
        <v>6</v>
      </c>
      <c r="D577" s="2" t="b">
        <v>0</v>
      </c>
      <c r="E577" s="2" t="s">
        <v>26</v>
      </c>
      <c r="F577" s="2" t="s">
        <v>32</v>
      </c>
      <c r="G577" s="2">
        <v>0.2</v>
      </c>
    </row>
    <row r="578" spans="1:7" x14ac:dyDescent="0.3">
      <c r="A578" s="2">
        <v>577</v>
      </c>
      <c r="B578" s="1">
        <v>40569</v>
      </c>
      <c r="C578">
        <v>7</v>
      </c>
      <c r="D578" s="2" t="b">
        <v>0</v>
      </c>
      <c r="E578" s="2" t="s">
        <v>26</v>
      </c>
      <c r="F578" s="2" t="s">
        <v>32</v>
      </c>
      <c r="G578" s="2">
        <v>0.22</v>
      </c>
    </row>
    <row r="579" spans="1:7" x14ac:dyDescent="0.3">
      <c r="A579" s="2">
        <v>578</v>
      </c>
      <c r="B579" s="1">
        <v>40569</v>
      </c>
      <c r="C579">
        <v>8</v>
      </c>
      <c r="D579" s="2" t="b">
        <v>0</v>
      </c>
      <c r="E579" s="2" t="s">
        <v>26</v>
      </c>
      <c r="F579" s="2" t="s">
        <v>32</v>
      </c>
      <c r="G579" s="2">
        <v>0.22</v>
      </c>
    </row>
    <row r="580" spans="1:7" x14ac:dyDescent="0.3">
      <c r="A580" s="2">
        <v>579</v>
      </c>
      <c r="B580" s="1">
        <v>40569</v>
      </c>
      <c r="C580">
        <v>9</v>
      </c>
      <c r="D580" s="2" t="b">
        <v>0</v>
      </c>
      <c r="E580" s="2" t="s">
        <v>26</v>
      </c>
      <c r="F580" s="2" t="s">
        <v>32</v>
      </c>
      <c r="G580" s="2">
        <v>0.22</v>
      </c>
    </row>
    <row r="581" spans="1:7" x14ac:dyDescent="0.3">
      <c r="A581" s="2">
        <v>580</v>
      </c>
      <c r="B581" s="1">
        <v>40569</v>
      </c>
      <c r="C581">
        <v>10</v>
      </c>
      <c r="D581" s="2" t="b">
        <v>0</v>
      </c>
      <c r="E581" s="2" t="s">
        <v>26</v>
      </c>
      <c r="F581" s="2" t="s">
        <v>32</v>
      </c>
      <c r="G581" s="2">
        <v>0.22</v>
      </c>
    </row>
    <row r="582" spans="1:7" x14ac:dyDescent="0.3">
      <c r="A582" s="2">
        <v>581</v>
      </c>
      <c r="B582" s="1">
        <v>40569</v>
      </c>
      <c r="C582">
        <v>11</v>
      </c>
      <c r="D582" s="2" t="b">
        <v>0</v>
      </c>
      <c r="E582" s="2" t="s">
        <v>26</v>
      </c>
      <c r="F582" s="2" t="s">
        <v>32</v>
      </c>
      <c r="G582" s="2">
        <v>0.22</v>
      </c>
    </row>
    <row r="583" spans="1:7" x14ac:dyDescent="0.3">
      <c r="A583" s="2">
        <v>582</v>
      </c>
      <c r="B583" s="1">
        <v>40569</v>
      </c>
      <c r="C583">
        <v>12</v>
      </c>
      <c r="D583" s="2" t="b">
        <v>0</v>
      </c>
      <c r="E583" s="2" t="s">
        <v>26</v>
      </c>
      <c r="F583" s="2" t="s">
        <v>32</v>
      </c>
      <c r="G583" s="2">
        <v>0.22</v>
      </c>
    </row>
    <row r="584" spans="1:7" x14ac:dyDescent="0.3">
      <c r="A584" s="2">
        <v>583</v>
      </c>
      <c r="B584" s="1">
        <v>40569</v>
      </c>
      <c r="C584">
        <v>13</v>
      </c>
      <c r="D584" s="2" t="b">
        <v>0</v>
      </c>
      <c r="E584" s="2" t="s">
        <v>26</v>
      </c>
      <c r="F584" s="2" t="s">
        <v>32</v>
      </c>
      <c r="G584" s="2">
        <v>0.22</v>
      </c>
    </row>
    <row r="585" spans="1:7" x14ac:dyDescent="0.3">
      <c r="A585" s="2">
        <v>584</v>
      </c>
      <c r="B585" s="1">
        <v>40569</v>
      </c>
      <c r="C585">
        <v>14</v>
      </c>
      <c r="D585" s="2" t="b">
        <v>0</v>
      </c>
      <c r="E585" s="2" t="s">
        <v>26</v>
      </c>
      <c r="F585" s="2" t="s">
        <v>32</v>
      </c>
      <c r="G585" s="2">
        <v>0.22</v>
      </c>
    </row>
    <row r="586" spans="1:7" x14ac:dyDescent="0.3">
      <c r="A586" s="2">
        <v>585</v>
      </c>
      <c r="B586" s="1">
        <v>40569</v>
      </c>
      <c r="C586">
        <v>15</v>
      </c>
      <c r="D586" s="2" t="b">
        <v>0</v>
      </c>
      <c r="E586" s="2" t="s">
        <v>26</v>
      </c>
      <c r="F586" s="2" t="s">
        <v>32</v>
      </c>
      <c r="G586" s="2">
        <v>0.22</v>
      </c>
    </row>
    <row r="587" spans="1:7" x14ac:dyDescent="0.3">
      <c r="A587" s="2">
        <v>586</v>
      </c>
      <c r="B587" s="1">
        <v>40569</v>
      </c>
      <c r="C587">
        <v>16</v>
      </c>
      <c r="D587" s="2" t="b">
        <v>0</v>
      </c>
      <c r="E587" s="2" t="s">
        <v>26</v>
      </c>
      <c r="F587" s="2" t="s">
        <v>33</v>
      </c>
      <c r="G587" s="2">
        <v>0.22</v>
      </c>
    </row>
    <row r="588" spans="1:7" x14ac:dyDescent="0.3">
      <c r="A588" s="2">
        <v>587</v>
      </c>
      <c r="B588" s="1">
        <v>40569</v>
      </c>
      <c r="C588">
        <v>17</v>
      </c>
      <c r="D588" s="2" t="b">
        <v>0</v>
      </c>
      <c r="E588" s="2" t="s">
        <v>26</v>
      </c>
      <c r="F588" s="2" t="s">
        <v>32</v>
      </c>
      <c r="G588" s="2">
        <v>0.2</v>
      </c>
    </row>
    <row r="589" spans="1:7" x14ac:dyDescent="0.3">
      <c r="A589" s="2">
        <v>588</v>
      </c>
      <c r="B589" s="1">
        <v>40570</v>
      </c>
      <c r="C589">
        <v>16</v>
      </c>
      <c r="D589" s="2" t="b">
        <v>0</v>
      </c>
      <c r="E589" s="2" t="s">
        <v>27</v>
      </c>
      <c r="F589" s="2" t="s">
        <v>30</v>
      </c>
      <c r="G589" s="2">
        <v>0.22</v>
      </c>
    </row>
    <row r="590" spans="1:7" x14ac:dyDescent="0.3">
      <c r="A590" s="2">
        <v>589</v>
      </c>
      <c r="B590" s="1">
        <v>40570</v>
      </c>
      <c r="C590">
        <v>17</v>
      </c>
      <c r="D590" s="2" t="b">
        <v>0</v>
      </c>
      <c r="E590" s="2" t="s">
        <v>27</v>
      </c>
      <c r="F590" s="2" t="s">
        <v>30</v>
      </c>
      <c r="G590" s="2">
        <v>0.22</v>
      </c>
    </row>
    <row r="591" spans="1:7" x14ac:dyDescent="0.3">
      <c r="A591" s="2">
        <v>590</v>
      </c>
      <c r="B591" s="1">
        <v>40570</v>
      </c>
      <c r="C591">
        <v>18</v>
      </c>
      <c r="D591" s="2" t="b">
        <v>0</v>
      </c>
      <c r="E591" s="2" t="s">
        <v>27</v>
      </c>
      <c r="F591" s="2" t="s">
        <v>30</v>
      </c>
      <c r="G591" s="2">
        <v>0.2</v>
      </c>
    </row>
    <row r="592" spans="1:7" x14ac:dyDescent="0.3">
      <c r="A592" s="2">
        <v>591</v>
      </c>
      <c r="B592" s="1">
        <v>40570</v>
      </c>
      <c r="C592">
        <v>19</v>
      </c>
      <c r="D592" s="2" t="b">
        <v>0</v>
      </c>
      <c r="E592" s="2" t="s">
        <v>27</v>
      </c>
      <c r="F592" s="2" t="s">
        <v>30</v>
      </c>
      <c r="G592" s="2">
        <v>0.2</v>
      </c>
    </row>
    <row r="593" spans="1:7" x14ac:dyDescent="0.3">
      <c r="A593" s="2">
        <v>592</v>
      </c>
      <c r="B593" s="1">
        <v>40570</v>
      </c>
      <c r="C593">
        <v>20</v>
      </c>
      <c r="D593" s="2" t="b">
        <v>0</v>
      </c>
      <c r="E593" s="2" t="s">
        <v>27</v>
      </c>
      <c r="F593" s="2" t="s">
        <v>30</v>
      </c>
      <c r="G593" s="2">
        <v>0.18</v>
      </c>
    </row>
    <row r="594" spans="1:7" x14ac:dyDescent="0.3">
      <c r="A594" s="2">
        <v>593</v>
      </c>
      <c r="B594" s="1">
        <v>40570</v>
      </c>
      <c r="C594">
        <v>21</v>
      </c>
      <c r="D594" s="2" t="b">
        <v>0</v>
      </c>
      <c r="E594" s="2" t="s">
        <v>27</v>
      </c>
      <c r="F594" s="2" t="s">
        <v>30</v>
      </c>
      <c r="G594" s="2">
        <v>0.18</v>
      </c>
    </row>
    <row r="595" spans="1:7" x14ac:dyDescent="0.3">
      <c r="A595" s="2">
        <v>594</v>
      </c>
      <c r="B595" s="1">
        <v>40570</v>
      </c>
      <c r="C595">
        <v>22</v>
      </c>
      <c r="D595" s="2" t="b">
        <v>0</v>
      </c>
      <c r="E595" s="2" t="s">
        <v>27</v>
      </c>
      <c r="F595" s="2" t="s">
        <v>30</v>
      </c>
      <c r="G595" s="2">
        <v>0.18</v>
      </c>
    </row>
    <row r="596" spans="1:7" x14ac:dyDescent="0.3">
      <c r="A596" s="2">
        <v>595</v>
      </c>
      <c r="B596" s="1">
        <v>40570</v>
      </c>
      <c r="C596">
        <v>23</v>
      </c>
      <c r="D596" s="2" t="b">
        <v>0</v>
      </c>
      <c r="E596" s="2" t="s">
        <v>27</v>
      </c>
      <c r="F596" s="2" t="s">
        <v>30</v>
      </c>
      <c r="G596" s="2">
        <v>0.18</v>
      </c>
    </row>
    <row r="597" spans="1:7" x14ac:dyDescent="0.3">
      <c r="A597" s="2">
        <v>596</v>
      </c>
      <c r="B597" s="1">
        <v>40571</v>
      </c>
      <c r="C597">
        <v>0</v>
      </c>
      <c r="D597" s="2" t="b">
        <v>0</v>
      </c>
      <c r="E597" s="2" t="s">
        <v>28</v>
      </c>
      <c r="F597" s="2" t="s">
        <v>31</v>
      </c>
      <c r="G597" s="2">
        <v>0.2</v>
      </c>
    </row>
    <row r="598" spans="1:7" x14ac:dyDescent="0.3">
      <c r="A598" s="2">
        <v>597</v>
      </c>
      <c r="B598" s="1">
        <v>40571</v>
      </c>
      <c r="C598">
        <v>1</v>
      </c>
      <c r="D598" s="2" t="b">
        <v>0</v>
      </c>
      <c r="E598" s="2" t="s">
        <v>28</v>
      </c>
      <c r="F598" s="2" t="s">
        <v>31</v>
      </c>
      <c r="G598" s="2">
        <v>0.2</v>
      </c>
    </row>
    <row r="599" spans="1:7" x14ac:dyDescent="0.3">
      <c r="A599" s="2">
        <v>598</v>
      </c>
      <c r="B599" s="1">
        <v>40571</v>
      </c>
      <c r="C599">
        <v>2</v>
      </c>
      <c r="D599" s="2" t="b">
        <v>0</v>
      </c>
      <c r="E599" s="2" t="s">
        <v>28</v>
      </c>
      <c r="F599" s="2" t="s">
        <v>31</v>
      </c>
      <c r="G599" s="2">
        <v>0.2</v>
      </c>
    </row>
    <row r="600" spans="1:7" x14ac:dyDescent="0.3">
      <c r="A600" s="2">
        <v>599</v>
      </c>
      <c r="B600" s="1">
        <v>40571</v>
      </c>
      <c r="C600">
        <v>3</v>
      </c>
      <c r="D600" s="2" t="b">
        <v>0</v>
      </c>
      <c r="E600" s="2" t="s">
        <v>28</v>
      </c>
      <c r="F600" s="2" t="s">
        <v>31</v>
      </c>
      <c r="G600" s="2">
        <v>0.2</v>
      </c>
    </row>
    <row r="601" spans="1:7" x14ac:dyDescent="0.3">
      <c r="A601" s="2">
        <v>600</v>
      </c>
      <c r="B601" s="1">
        <v>40571</v>
      </c>
      <c r="C601">
        <v>5</v>
      </c>
      <c r="D601" s="2" t="b">
        <v>0</v>
      </c>
      <c r="E601" s="2" t="s">
        <v>28</v>
      </c>
      <c r="F601" s="2" t="s">
        <v>31</v>
      </c>
      <c r="G601" s="2">
        <v>0.18</v>
      </c>
    </row>
    <row r="602" spans="1:7" x14ac:dyDescent="0.3">
      <c r="A602" s="2">
        <v>601</v>
      </c>
      <c r="B602" s="1">
        <v>40571</v>
      </c>
      <c r="C602">
        <v>6</v>
      </c>
      <c r="D602" s="2" t="b">
        <v>0</v>
      </c>
      <c r="E602" s="2" t="s">
        <v>28</v>
      </c>
      <c r="F602" s="2" t="s">
        <v>31</v>
      </c>
      <c r="G602" s="2">
        <v>0.18</v>
      </c>
    </row>
    <row r="603" spans="1:7" x14ac:dyDescent="0.3">
      <c r="A603" s="2">
        <v>602</v>
      </c>
      <c r="B603" s="1">
        <v>40571</v>
      </c>
      <c r="C603">
        <v>7</v>
      </c>
      <c r="D603" s="2" t="b">
        <v>0</v>
      </c>
      <c r="E603" s="2" t="s">
        <v>28</v>
      </c>
      <c r="F603" s="2" t="s">
        <v>31</v>
      </c>
      <c r="G603" s="2">
        <v>0.16</v>
      </c>
    </row>
    <row r="604" spans="1:7" x14ac:dyDescent="0.3">
      <c r="A604" s="2">
        <v>603</v>
      </c>
      <c r="B604" s="1">
        <v>40571</v>
      </c>
      <c r="C604">
        <v>8</v>
      </c>
      <c r="D604" s="2" t="b">
        <v>0</v>
      </c>
      <c r="E604" s="2" t="s">
        <v>28</v>
      </c>
      <c r="F604" s="2" t="s">
        <v>31</v>
      </c>
      <c r="G604" s="2">
        <v>0.16</v>
      </c>
    </row>
    <row r="605" spans="1:7" x14ac:dyDescent="0.3">
      <c r="A605" s="2">
        <v>604</v>
      </c>
      <c r="B605" s="1">
        <v>40571</v>
      </c>
      <c r="C605">
        <v>9</v>
      </c>
      <c r="D605" s="2" t="b">
        <v>0</v>
      </c>
      <c r="E605" s="2" t="s">
        <v>28</v>
      </c>
      <c r="F605" s="2" t="s">
        <v>32</v>
      </c>
      <c r="G605" s="2">
        <v>0.18</v>
      </c>
    </row>
    <row r="606" spans="1:7" x14ac:dyDescent="0.3">
      <c r="A606" s="2">
        <v>605</v>
      </c>
      <c r="B606" s="1">
        <v>40571</v>
      </c>
      <c r="C606">
        <v>10</v>
      </c>
      <c r="D606" s="2" t="b">
        <v>0</v>
      </c>
      <c r="E606" s="2" t="s">
        <v>28</v>
      </c>
      <c r="F606" s="2" t="s">
        <v>32</v>
      </c>
      <c r="G606" s="2">
        <v>0.18</v>
      </c>
    </row>
    <row r="607" spans="1:7" x14ac:dyDescent="0.3">
      <c r="A607" s="2">
        <v>606</v>
      </c>
      <c r="B607" s="1">
        <v>40571</v>
      </c>
      <c r="C607">
        <v>11</v>
      </c>
      <c r="D607" s="2" t="b">
        <v>0</v>
      </c>
      <c r="E607" s="2" t="s">
        <v>28</v>
      </c>
      <c r="F607" s="2" t="s">
        <v>32</v>
      </c>
      <c r="G607" s="2">
        <v>0.18</v>
      </c>
    </row>
    <row r="608" spans="1:7" x14ac:dyDescent="0.3">
      <c r="A608" s="2">
        <v>607</v>
      </c>
      <c r="B608" s="1">
        <v>40571</v>
      </c>
      <c r="C608">
        <v>12</v>
      </c>
      <c r="D608" s="2" t="b">
        <v>0</v>
      </c>
      <c r="E608" s="2" t="s">
        <v>28</v>
      </c>
      <c r="F608" s="2" t="s">
        <v>32</v>
      </c>
      <c r="G608" s="2">
        <v>0.18</v>
      </c>
    </row>
    <row r="609" spans="1:7" x14ac:dyDescent="0.3">
      <c r="A609" s="2">
        <v>608</v>
      </c>
      <c r="B609" s="1">
        <v>40571</v>
      </c>
      <c r="C609">
        <v>13</v>
      </c>
      <c r="D609" s="2" t="b">
        <v>0</v>
      </c>
      <c r="E609" s="2" t="s">
        <v>28</v>
      </c>
      <c r="F609" s="2" t="s">
        <v>32</v>
      </c>
      <c r="G609" s="2">
        <v>0.18</v>
      </c>
    </row>
    <row r="610" spans="1:7" x14ac:dyDescent="0.3">
      <c r="A610" s="2">
        <v>609</v>
      </c>
      <c r="B610" s="1">
        <v>40571</v>
      </c>
      <c r="C610">
        <v>14</v>
      </c>
      <c r="D610" s="2" t="b">
        <v>0</v>
      </c>
      <c r="E610" s="2" t="s">
        <v>28</v>
      </c>
      <c r="F610" s="2" t="s">
        <v>32</v>
      </c>
      <c r="G610" s="2">
        <v>0.22</v>
      </c>
    </row>
    <row r="611" spans="1:7" x14ac:dyDescent="0.3">
      <c r="A611" s="2">
        <v>610</v>
      </c>
      <c r="B611" s="1">
        <v>40571</v>
      </c>
      <c r="C611">
        <v>15</v>
      </c>
      <c r="D611" s="2" t="b">
        <v>0</v>
      </c>
      <c r="E611" s="2" t="s">
        <v>28</v>
      </c>
      <c r="F611" s="2" t="s">
        <v>31</v>
      </c>
      <c r="G611" s="2">
        <v>0.2</v>
      </c>
    </row>
  </sheetData>
  <phoneticPr fontId="3" type="noConversion"/>
  <conditionalFormatting sqref="F1:F611">
    <cfRule type="containsText" dxfId="70" priority="6" operator="containsText" text="Orange Alert">
      <formula>NOT(ISERROR(SEARCH("Orange Alert",F1)))</formula>
    </cfRule>
  </conditionalFormatting>
  <conditionalFormatting sqref="F2:F611">
    <cfRule type="containsText" dxfId="69" priority="1" operator="containsText" text="Red Alert">
      <formula>NOT(ISERROR(SEARCH("Red Alert",F2)))</formula>
    </cfRule>
    <cfRule type="containsText" dxfId="68" priority="3" operator="containsText" text="Orange Alert">
      <formula>NOT(ISERROR(SEARCH("Orange Alert",F2)))</formula>
    </cfRule>
    <cfRule type="containsText" dxfId="67" priority="5" operator="containsText" text="Orange Alert">
      <formula>NOT(ISERROR(SEARCH("Orange Alert",F2)))</formula>
    </cfRule>
    <cfRule type="containsText" dxfId="66" priority="7" operator="containsText" text="Orange Alert">
      <formula>NOT(ISERROR(SEARCH("Orange Alert",F2)))</formula>
    </cfRule>
    <cfRule type="containsText" dxfId="65" priority="9" operator="containsText" text="Yellow Alert">
      <formula>NOT(ISERROR(SEARCH("Yellow Alert",F2)))</formula>
    </cfRule>
    <cfRule type="containsText" dxfId="64" priority="10" operator="containsText" text="Normal">
      <formula>NOT(ISERROR(SEARCH("Normal",F2)))</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537DE-6F1B-4F34-9BCE-841FE466BB84}">
  <sheetPr codeName="Sheet3"/>
  <dimension ref="A1:H611"/>
  <sheetViews>
    <sheetView workbookViewId="0">
      <selection activeCell="M621" sqref="M621"/>
    </sheetView>
  </sheetViews>
  <sheetFormatPr defaultRowHeight="14.4" x14ac:dyDescent="0.3"/>
  <cols>
    <col min="1" max="1" width="13.109375" bestFit="1" customWidth="1"/>
    <col min="2" max="2" width="11.21875" bestFit="1" customWidth="1"/>
    <col min="3" max="3" width="10.88671875" bestFit="1" customWidth="1"/>
    <col min="4" max="4" width="9.109375" bestFit="1" customWidth="1"/>
    <col min="5" max="5" width="14.5546875" bestFit="1" customWidth="1"/>
    <col min="6" max="6" width="10.88671875" bestFit="1" customWidth="1"/>
    <col min="7" max="7" width="13.88671875" bestFit="1" customWidth="1"/>
    <col min="8" max="8" width="8.109375" customWidth="1"/>
  </cols>
  <sheetData>
    <row r="1" spans="1:8" x14ac:dyDescent="0.3">
      <c r="A1" t="s">
        <v>88</v>
      </c>
      <c r="B1" s="2" t="s">
        <v>0</v>
      </c>
      <c r="C1" s="2" t="s">
        <v>10</v>
      </c>
      <c r="D1" s="2" t="s">
        <v>11</v>
      </c>
      <c r="E1" s="2" t="s">
        <v>12</v>
      </c>
      <c r="F1" s="2" t="s">
        <v>13</v>
      </c>
      <c r="G1" s="2" t="s">
        <v>14</v>
      </c>
      <c r="H1" s="2" t="s">
        <v>15</v>
      </c>
    </row>
    <row r="2" spans="1:8" x14ac:dyDescent="0.3">
      <c r="A2">
        <v>0</v>
      </c>
      <c r="B2" s="2">
        <v>1</v>
      </c>
      <c r="C2" s="2">
        <v>0.28789999999999999</v>
      </c>
      <c r="D2" s="2">
        <v>0.81</v>
      </c>
      <c r="E2" s="2">
        <v>0</v>
      </c>
      <c r="F2" s="2">
        <v>3</v>
      </c>
      <c r="G2" s="2">
        <v>13</v>
      </c>
      <c r="H2" s="2">
        <v>16</v>
      </c>
    </row>
    <row r="3" spans="1:8" x14ac:dyDescent="0.3">
      <c r="A3">
        <v>1</v>
      </c>
      <c r="B3" s="2">
        <v>2</v>
      </c>
      <c r="C3" s="2">
        <v>0.2727</v>
      </c>
      <c r="D3" s="2">
        <v>0.8</v>
      </c>
      <c r="E3" s="2">
        <v>0</v>
      </c>
      <c r="F3" s="2">
        <v>8</v>
      </c>
      <c r="G3" s="2">
        <v>32</v>
      </c>
      <c r="H3" s="2">
        <v>40</v>
      </c>
    </row>
    <row r="4" spans="1:8" x14ac:dyDescent="0.3">
      <c r="A4">
        <v>2</v>
      </c>
      <c r="B4" s="2">
        <v>3</v>
      </c>
      <c r="C4" s="2">
        <v>0.2727</v>
      </c>
      <c r="D4" s="2">
        <v>0.8</v>
      </c>
      <c r="E4" s="2">
        <v>0</v>
      </c>
      <c r="F4" s="2">
        <v>5</v>
      </c>
      <c r="G4" s="2">
        <v>27</v>
      </c>
      <c r="H4" s="2">
        <v>32</v>
      </c>
    </row>
    <row r="5" spans="1:8" x14ac:dyDescent="0.3">
      <c r="A5">
        <v>3</v>
      </c>
      <c r="B5" s="2">
        <v>4</v>
      </c>
      <c r="C5" s="2">
        <v>0.28789999999999999</v>
      </c>
      <c r="D5" s="2">
        <v>0.75</v>
      </c>
      <c r="E5" s="2">
        <v>0</v>
      </c>
      <c r="F5" s="2">
        <v>3</v>
      </c>
      <c r="G5" s="2">
        <v>10</v>
      </c>
      <c r="H5" s="2">
        <v>13</v>
      </c>
    </row>
    <row r="6" spans="1:8" x14ac:dyDescent="0.3">
      <c r="A6">
        <v>4</v>
      </c>
      <c r="B6" s="2">
        <v>5</v>
      </c>
      <c r="C6" s="2">
        <v>0.28789999999999999</v>
      </c>
      <c r="D6" s="2">
        <v>0.75</v>
      </c>
      <c r="E6" s="2">
        <v>0</v>
      </c>
      <c r="F6" s="2">
        <v>0</v>
      </c>
      <c r="G6" s="2">
        <v>1</v>
      </c>
      <c r="H6" s="2">
        <v>1</v>
      </c>
    </row>
    <row r="7" spans="1:8" x14ac:dyDescent="0.3">
      <c r="A7">
        <v>5</v>
      </c>
      <c r="B7" s="2">
        <v>6</v>
      </c>
      <c r="C7" s="2">
        <v>0.2576</v>
      </c>
      <c r="D7" s="2">
        <v>0.75</v>
      </c>
      <c r="E7" s="2">
        <v>8.9599999999999999E-2</v>
      </c>
      <c r="F7" s="2">
        <v>0</v>
      </c>
      <c r="G7" s="2">
        <v>1</v>
      </c>
      <c r="H7" s="2">
        <v>1</v>
      </c>
    </row>
    <row r="8" spans="1:8" x14ac:dyDescent="0.3">
      <c r="A8">
        <v>6</v>
      </c>
      <c r="B8" s="2">
        <v>7</v>
      </c>
      <c r="C8" s="2">
        <v>0.2727</v>
      </c>
      <c r="D8" s="2">
        <v>0.8</v>
      </c>
      <c r="E8" s="2">
        <v>0</v>
      </c>
      <c r="F8" s="2">
        <v>2</v>
      </c>
      <c r="G8" s="2">
        <v>0</v>
      </c>
      <c r="H8" s="2">
        <v>2</v>
      </c>
    </row>
    <row r="9" spans="1:8" x14ac:dyDescent="0.3">
      <c r="A9">
        <v>7</v>
      </c>
      <c r="B9" s="2">
        <v>8</v>
      </c>
      <c r="C9" s="2">
        <v>0.2576</v>
      </c>
      <c r="D9" s="2">
        <v>0.86</v>
      </c>
      <c r="E9" s="2">
        <v>0</v>
      </c>
      <c r="F9" s="2">
        <v>1</v>
      </c>
      <c r="G9" s="2">
        <v>2</v>
      </c>
      <c r="H9" s="2">
        <v>3</v>
      </c>
    </row>
    <row r="10" spans="1:8" x14ac:dyDescent="0.3">
      <c r="A10">
        <v>8</v>
      </c>
      <c r="B10" s="2">
        <v>9</v>
      </c>
      <c r="C10" s="2"/>
      <c r="D10" s="2">
        <v>0.75</v>
      </c>
      <c r="E10" s="2">
        <v>0</v>
      </c>
      <c r="F10" s="2">
        <v>1</v>
      </c>
      <c r="G10" s="2">
        <v>7</v>
      </c>
      <c r="H10" s="2">
        <v>8</v>
      </c>
    </row>
    <row r="11" spans="1:8" x14ac:dyDescent="0.3">
      <c r="A11">
        <v>9</v>
      </c>
      <c r="B11" s="2">
        <v>10</v>
      </c>
      <c r="C11" s="2">
        <v>0.34849999999999998</v>
      </c>
      <c r="D11" s="2">
        <v>0.76</v>
      </c>
      <c r="E11" s="2">
        <v>0</v>
      </c>
      <c r="F11" s="2">
        <v>8</v>
      </c>
      <c r="G11" s="2">
        <v>6</v>
      </c>
      <c r="H11" s="2">
        <v>14</v>
      </c>
    </row>
    <row r="12" spans="1:8" x14ac:dyDescent="0.3">
      <c r="A12">
        <v>10</v>
      </c>
      <c r="B12" s="2">
        <v>11</v>
      </c>
      <c r="C12" s="2">
        <v>0.39389999999999997</v>
      </c>
      <c r="D12" s="2">
        <v>0.76</v>
      </c>
      <c r="E12" s="2">
        <v>0.25369999999999998</v>
      </c>
      <c r="F12" s="2">
        <v>12</v>
      </c>
      <c r="G12" s="2">
        <v>24</v>
      </c>
      <c r="H12" s="2">
        <v>36</v>
      </c>
    </row>
    <row r="13" spans="1:8" x14ac:dyDescent="0.3">
      <c r="A13">
        <v>11</v>
      </c>
      <c r="B13" s="2">
        <v>12</v>
      </c>
      <c r="C13" s="2">
        <v>0.33329999999999999</v>
      </c>
      <c r="D13" s="2">
        <v>0.81</v>
      </c>
      <c r="E13" s="2">
        <v>0.28360000000000002</v>
      </c>
      <c r="F13" s="2">
        <v>26</v>
      </c>
      <c r="G13" s="2">
        <v>30</v>
      </c>
      <c r="H13" s="2">
        <v>56</v>
      </c>
    </row>
    <row r="14" spans="1:8" x14ac:dyDescent="0.3">
      <c r="A14">
        <v>12</v>
      </c>
      <c r="B14" s="2">
        <v>13</v>
      </c>
      <c r="C14" s="2">
        <v>0.42420000000000002</v>
      </c>
      <c r="D14" s="2">
        <v>0.77</v>
      </c>
      <c r="E14" s="2">
        <v>0.28360000000000002</v>
      </c>
      <c r="F14" s="2">
        <v>29</v>
      </c>
      <c r="G14" s="2">
        <v>55</v>
      </c>
      <c r="H14" s="2">
        <v>84</v>
      </c>
    </row>
    <row r="15" spans="1:8" x14ac:dyDescent="0.3">
      <c r="A15">
        <v>13</v>
      </c>
      <c r="B15" s="2">
        <v>14</v>
      </c>
      <c r="C15" s="2">
        <v>0.45450000000000002</v>
      </c>
      <c r="D15" s="2">
        <v>0.72</v>
      </c>
      <c r="E15" s="2">
        <v>0.29849999999999999</v>
      </c>
      <c r="F15" s="2">
        <v>47</v>
      </c>
      <c r="G15" s="2">
        <v>47</v>
      </c>
      <c r="H15" s="2">
        <v>94</v>
      </c>
    </row>
    <row r="16" spans="1:8" x14ac:dyDescent="0.3">
      <c r="A16">
        <v>14</v>
      </c>
      <c r="B16" s="2">
        <v>15</v>
      </c>
      <c r="C16" s="2">
        <v>0.45450000000000002</v>
      </c>
      <c r="D16" s="2">
        <v>0.72</v>
      </c>
      <c r="E16" s="2">
        <v>0.28360000000000002</v>
      </c>
      <c r="F16" s="2">
        <v>35</v>
      </c>
      <c r="G16" s="2">
        <v>71</v>
      </c>
      <c r="H16" s="2">
        <v>106</v>
      </c>
    </row>
    <row r="17" spans="1:8" x14ac:dyDescent="0.3">
      <c r="A17">
        <v>15</v>
      </c>
      <c r="B17" s="2">
        <v>16</v>
      </c>
      <c r="C17" s="2">
        <v>0.43940000000000001</v>
      </c>
      <c r="D17" s="2">
        <v>0.77</v>
      </c>
      <c r="E17" s="2">
        <v>0.29849999999999999</v>
      </c>
      <c r="F17" s="2">
        <v>40</v>
      </c>
      <c r="G17" s="2">
        <v>70</v>
      </c>
      <c r="H17" s="2">
        <v>110</v>
      </c>
    </row>
    <row r="18" spans="1:8" x14ac:dyDescent="0.3">
      <c r="A18">
        <v>16</v>
      </c>
      <c r="B18" s="2">
        <v>17</v>
      </c>
      <c r="C18" s="2">
        <v>0.42420000000000002</v>
      </c>
      <c r="D18" s="2">
        <v>0.82</v>
      </c>
      <c r="E18" s="2">
        <v>0.29849999999999999</v>
      </c>
      <c r="F18" s="2">
        <v>41</v>
      </c>
      <c r="G18" s="2">
        <v>52</v>
      </c>
      <c r="H18" s="2">
        <v>93</v>
      </c>
    </row>
    <row r="19" spans="1:8" x14ac:dyDescent="0.3">
      <c r="A19">
        <v>17</v>
      </c>
      <c r="B19" s="2">
        <v>18</v>
      </c>
      <c r="C19" s="2"/>
      <c r="D19" s="2">
        <v>0.82</v>
      </c>
      <c r="E19" s="2">
        <v>0.28360000000000002</v>
      </c>
      <c r="F19" s="2">
        <v>15</v>
      </c>
      <c r="G19" s="2">
        <v>52</v>
      </c>
      <c r="H19" s="2">
        <v>67</v>
      </c>
    </row>
    <row r="20" spans="1:8" x14ac:dyDescent="0.3">
      <c r="A20">
        <v>18</v>
      </c>
      <c r="B20" s="2">
        <v>19</v>
      </c>
      <c r="C20" s="2">
        <v>0.42420000000000002</v>
      </c>
      <c r="D20" s="2">
        <v>0.88</v>
      </c>
      <c r="E20" s="2">
        <v>0.25369999999999998</v>
      </c>
      <c r="F20" s="2">
        <v>9</v>
      </c>
      <c r="G20" s="2">
        <v>26</v>
      </c>
      <c r="H20" s="2">
        <v>35</v>
      </c>
    </row>
    <row r="21" spans="1:8" x14ac:dyDescent="0.3">
      <c r="A21">
        <v>19</v>
      </c>
      <c r="B21" s="2">
        <v>20</v>
      </c>
      <c r="C21" s="2">
        <v>0.42420000000000002</v>
      </c>
      <c r="D21" s="2">
        <v>0.88</v>
      </c>
      <c r="E21" s="2">
        <v>0.25369999999999998</v>
      </c>
      <c r="F21" s="2">
        <v>6</v>
      </c>
      <c r="G21" s="2">
        <v>31</v>
      </c>
      <c r="H21" s="2">
        <v>37</v>
      </c>
    </row>
    <row r="22" spans="1:8" x14ac:dyDescent="0.3">
      <c r="A22">
        <v>20</v>
      </c>
      <c r="B22" s="2">
        <v>21</v>
      </c>
      <c r="C22" s="2">
        <v>0.40910000000000002</v>
      </c>
      <c r="D22" s="2">
        <v>0.87</v>
      </c>
      <c r="E22" s="2">
        <v>0.25369999999999998</v>
      </c>
      <c r="F22" s="2">
        <v>11</v>
      </c>
      <c r="G22" s="2">
        <v>25</v>
      </c>
      <c r="H22" s="2">
        <v>36</v>
      </c>
    </row>
    <row r="23" spans="1:8" x14ac:dyDescent="0.3">
      <c r="A23">
        <v>21</v>
      </c>
      <c r="B23" s="2">
        <v>22</v>
      </c>
      <c r="C23" s="2">
        <v>0.40910000000000002</v>
      </c>
      <c r="D23" s="2">
        <v>0.87</v>
      </c>
      <c r="E23" s="2">
        <v>0.19400000000000001</v>
      </c>
      <c r="F23" s="2">
        <v>3</v>
      </c>
      <c r="G23" s="2">
        <v>31</v>
      </c>
      <c r="H23" s="2">
        <v>34</v>
      </c>
    </row>
    <row r="24" spans="1:8" x14ac:dyDescent="0.3">
      <c r="A24">
        <v>22</v>
      </c>
      <c r="B24" s="2">
        <v>23</v>
      </c>
      <c r="C24" s="2">
        <v>0.40910000000000002</v>
      </c>
      <c r="D24" s="2">
        <v>0.94</v>
      </c>
      <c r="E24" s="2">
        <v>0.22389999999999999</v>
      </c>
      <c r="F24" s="2">
        <v>11</v>
      </c>
      <c r="G24" s="2">
        <v>17</v>
      </c>
      <c r="H24" s="2">
        <v>28</v>
      </c>
    </row>
    <row r="25" spans="1:8" x14ac:dyDescent="0.3">
      <c r="A25">
        <v>23</v>
      </c>
      <c r="B25" s="2">
        <v>24</v>
      </c>
      <c r="C25" s="2"/>
      <c r="D25" s="2">
        <v>0.88</v>
      </c>
      <c r="E25" s="2">
        <v>0.29849999999999999</v>
      </c>
      <c r="F25" s="2">
        <v>15</v>
      </c>
      <c r="G25" s="2">
        <v>24</v>
      </c>
      <c r="H25" s="2">
        <v>39</v>
      </c>
    </row>
    <row r="26" spans="1:8" x14ac:dyDescent="0.3">
      <c r="A26">
        <v>24</v>
      </c>
      <c r="B26" s="2">
        <v>25</v>
      </c>
      <c r="C26" s="2">
        <v>0.45450000000000002</v>
      </c>
      <c r="D26" s="2">
        <v>0.88</v>
      </c>
      <c r="E26" s="2">
        <v>0.29849999999999999</v>
      </c>
      <c r="F26" s="2">
        <v>4</v>
      </c>
      <c r="G26" s="2">
        <v>13</v>
      </c>
      <c r="H26" s="2">
        <v>17</v>
      </c>
    </row>
    <row r="27" spans="1:8" x14ac:dyDescent="0.3">
      <c r="A27">
        <v>25</v>
      </c>
      <c r="B27" s="2">
        <v>26</v>
      </c>
      <c r="C27" s="2">
        <v>0.43940000000000001</v>
      </c>
      <c r="D27" s="2">
        <v>0.94</v>
      </c>
      <c r="E27" s="2">
        <v>0.25369999999999998</v>
      </c>
      <c r="F27" s="2">
        <v>1</v>
      </c>
      <c r="G27" s="2">
        <v>16</v>
      </c>
      <c r="H27" s="2">
        <v>17</v>
      </c>
    </row>
    <row r="28" spans="1:8" x14ac:dyDescent="0.3">
      <c r="A28">
        <v>26</v>
      </c>
      <c r="B28" s="2">
        <v>27</v>
      </c>
      <c r="C28" s="2">
        <v>0.42420000000000002</v>
      </c>
      <c r="D28" s="2">
        <v>1</v>
      </c>
      <c r="E28" s="2">
        <v>0.28360000000000002</v>
      </c>
      <c r="F28" s="2">
        <v>1</v>
      </c>
      <c r="G28" s="2">
        <v>8</v>
      </c>
      <c r="H28" s="2">
        <v>9</v>
      </c>
    </row>
    <row r="29" spans="1:8" x14ac:dyDescent="0.3">
      <c r="A29">
        <v>27</v>
      </c>
      <c r="B29" s="2">
        <v>28</v>
      </c>
      <c r="C29" s="2">
        <v>0.45450000000000002</v>
      </c>
      <c r="D29" s="2">
        <v>0.94</v>
      </c>
      <c r="E29" s="2">
        <v>0.19400000000000001</v>
      </c>
      <c r="F29" s="2">
        <v>2</v>
      </c>
      <c r="G29" s="2">
        <v>4</v>
      </c>
      <c r="H29" s="2">
        <v>6</v>
      </c>
    </row>
    <row r="30" spans="1:8" x14ac:dyDescent="0.3">
      <c r="A30">
        <v>28</v>
      </c>
      <c r="B30" s="2">
        <v>29</v>
      </c>
      <c r="C30" s="2"/>
      <c r="D30" s="2">
        <v>0.94</v>
      </c>
      <c r="E30" s="2">
        <v>0.19400000000000001</v>
      </c>
      <c r="F30" s="2">
        <v>2</v>
      </c>
      <c r="G30" s="2">
        <v>1</v>
      </c>
      <c r="H30" s="2">
        <v>3</v>
      </c>
    </row>
    <row r="31" spans="1:8" x14ac:dyDescent="0.3">
      <c r="A31">
        <v>29</v>
      </c>
      <c r="B31" s="2">
        <v>30</v>
      </c>
      <c r="C31" s="2">
        <v>0.42420000000000002</v>
      </c>
      <c r="D31" s="2">
        <v>0.77</v>
      </c>
      <c r="E31" s="2">
        <v>0.29849999999999999</v>
      </c>
      <c r="F31" s="2">
        <v>0</v>
      </c>
      <c r="G31" s="2">
        <v>2</v>
      </c>
      <c r="H31" s="2">
        <v>2</v>
      </c>
    </row>
    <row r="32" spans="1:8" x14ac:dyDescent="0.3">
      <c r="A32">
        <v>30</v>
      </c>
      <c r="B32" s="2">
        <v>31</v>
      </c>
      <c r="C32" s="2">
        <v>0.40910000000000002</v>
      </c>
      <c r="D32" s="2">
        <v>0.76</v>
      </c>
      <c r="E32" s="2">
        <v>0.19400000000000001</v>
      </c>
      <c r="F32" s="2">
        <v>0</v>
      </c>
      <c r="G32" s="2">
        <v>1</v>
      </c>
      <c r="H32" s="2">
        <v>1</v>
      </c>
    </row>
    <row r="33" spans="1:8" x14ac:dyDescent="0.3">
      <c r="A33">
        <v>31</v>
      </c>
      <c r="B33" s="2">
        <v>32</v>
      </c>
      <c r="C33" s="2">
        <v>0.40910000000000002</v>
      </c>
      <c r="D33" s="2">
        <v>0.71</v>
      </c>
      <c r="E33" s="2">
        <v>0.22389999999999999</v>
      </c>
      <c r="F33" s="2">
        <v>0</v>
      </c>
      <c r="G33" s="2">
        <v>8</v>
      </c>
      <c r="H33" s="2">
        <v>8</v>
      </c>
    </row>
    <row r="34" spans="1:8" x14ac:dyDescent="0.3">
      <c r="A34">
        <v>32</v>
      </c>
      <c r="B34" s="2">
        <v>33</v>
      </c>
      <c r="C34" s="2"/>
      <c r="D34" s="2">
        <v>0.76</v>
      </c>
      <c r="E34" s="2">
        <v>0.22389999999999999</v>
      </c>
      <c r="F34" s="2">
        <v>1</v>
      </c>
      <c r="G34" s="2">
        <v>19</v>
      </c>
      <c r="H34" s="2">
        <v>20</v>
      </c>
    </row>
    <row r="35" spans="1:8" x14ac:dyDescent="0.3">
      <c r="A35">
        <v>33</v>
      </c>
      <c r="B35" s="2">
        <v>34</v>
      </c>
      <c r="C35" s="2">
        <v>0.34849999999999998</v>
      </c>
      <c r="D35" s="2">
        <v>0.81</v>
      </c>
      <c r="E35" s="2">
        <v>0.22389999999999999</v>
      </c>
      <c r="F35" s="2">
        <v>7</v>
      </c>
      <c r="G35" s="2">
        <v>46</v>
      </c>
      <c r="H35" s="2">
        <v>53</v>
      </c>
    </row>
    <row r="36" spans="1:8" x14ac:dyDescent="0.3">
      <c r="A36">
        <v>34</v>
      </c>
      <c r="B36" s="2">
        <v>35</v>
      </c>
      <c r="C36" s="2">
        <v>0.33329999999999999</v>
      </c>
      <c r="D36" s="2">
        <v>0.71</v>
      </c>
      <c r="E36" s="2">
        <v>0.25369999999999998</v>
      </c>
      <c r="F36" s="2">
        <v>16</v>
      </c>
      <c r="G36" s="2">
        <v>54</v>
      </c>
      <c r="H36" s="2">
        <v>70</v>
      </c>
    </row>
    <row r="37" spans="1:8" x14ac:dyDescent="0.3">
      <c r="A37">
        <v>35</v>
      </c>
      <c r="B37" s="2">
        <v>36</v>
      </c>
      <c r="C37" s="2">
        <v>0.33329999999999999</v>
      </c>
      <c r="D37" s="2">
        <v>0.66</v>
      </c>
      <c r="E37" s="2">
        <v>0.29849999999999999</v>
      </c>
      <c r="F37" s="2">
        <v>20</v>
      </c>
      <c r="G37" s="2">
        <v>73</v>
      </c>
      <c r="H37" s="2">
        <v>93</v>
      </c>
    </row>
    <row r="38" spans="1:8" x14ac:dyDescent="0.3">
      <c r="A38">
        <v>36</v>
      </c>
      <c r="B38" s="2">
        <v>37</v>
      </c>
      <c r="C38" s="2">
        <v>0.34849999999999998</v>
      </c>
      <c r="D38" s="2">
        <v>0.66</v>
      </c>
      <c r="E38" s="2">
        <v>0.1343</v>
      </c>
      <c r="F38" s="2">
        <v>11</v>
      </c>
      <c r="G38" s="2">
        <v>64</v>
      </c>
      <c r="H38" s="2">
        <v>75</v>
      </c>
    </row>
    <row r="39" spans="1:8" x14ac:dyDescent="0.3">
      <c r="A39">
        <v>37</v>
      </c>
      <c r="B39" s="2">
        <v>38</v>
      </c>
      <c r="C39" s="2"/>
      <c r="D39" s="2">
        <v>0.76</v>
      </c>
      <c r="E39" s="2">
        <v>0.19400000000000001</v>
      </c>
      <c r="F39" s="2">
        <v>4</v>
      </c>
      <c r="G39" s="2">
        <v>55</v>
      </c>
      <c r="H39" s="2">
        <v>59</v>
      </c>
    </row>
    <row r="40" spans="1:8" x14ac:dyDescent="0.3">
      <c r="A40">
        <v>38</v>
      </c>
      <c r="B40" s="2">
        <v>39</v>
      </c>
      <c r="C40" s="2">
        <v>0.33329999999999999</v>
      </c>
      <c r="D40" s="2">
        <v>0.81</v>
      </c>
      <c r="E40" s="2">
        <v>0.16420000000000001</v>
      </c>
      <c r="F40" s="2">
        <v>19</v>
      </c>
      <c r="G40" s="2">
        <v>55</v>
      </c>
      <c r="H40" s="2">
        <v>74</v>
      </c>
    </row>
    <row r="41" spans="1:8" x14ac:dyDescent="0.3">
      <c r="A41">
        <v>39</v>
      </c>
      <c r="B41" s="2">
        <v>40</v>
      </c>
      <c r="C41" s="2">
        <v>0.33329999999999999</v>
      </c>
      <c r="D41" s="2">
        <v>0.71</v>
      </c>
      <c r="E41" s="2">
        <v>0.16420000000000001</v>
      </c>
      <c r="F41" s="2">
        <v>9</v>
      </c>
      <c r="G41" s="2">
        <v>67</v>
      </c>
      <c r="H41" s="2">
        <v>76</v>
      </c>
    </row>
    <row r="42" spans="1:8" x14ac:dyDescent="0.3">
      <c r="A42">
        <v>40</v>
      </c>
      <c r="B42" s="2">
        <v>41</v>
      </c>
      <c r="C42" s="2">
        <v>0.33329999999999999</v>
      </c>
      <c r="D42" s="2">
        <v>0.56999999999999995</v>
      </c>
      <c r="E42" s="2">
        <v>0.19400000000000001</v>
      </c>
      <c r="F42" s="2">
        <v>7</v>
      </c>
      <c r="G42" s="2">
        <v>58</v>
      </c>
      <c r="H42" s="2">
        <v>65</v>
      </c>
    </row>
    <row r="43" spans="1:8" x14ac:dyDescent="0.3">
      <c r="A43">
        <v>41</v>
      </c>
      <c r="B43" s="2">
        <v>42</v>
      </c>
      <c r="C43" s="2">
        <v>0.33329999999999999</v>
      </c>
      <c r="D43" s="2">
        <v>0.46</v>
      </c>
      <c r="E43" s="2">
        <v>0.32840000000000003</v>
      </c>
      <c r="F43" s="2">
        <v>10</v>
      </c>
      <c r="G43" s="2">
        <v>43</v>
      </c>
      <c r="H43" s="2">
        <v>53</v>
      </c>
    </row>
    <row r="44" spans="1:8" x14ac:dyDescent="0.3">
      <c r="A44">
        <v>42</v>
      </c>
      <c r="B44" s="2">
        <v>43</v>
      </c>
      <c r="C44" s="2">
        <v>0.28789999999999999</v>
      </c>
      <c r="D44" s="2">
        <v>0.42</v>
      </c>
      <c r="E44" s="2">
        <v>0.44779999999999998</v>
      </c>
      <c r="F44" s="2">
        <v>1</v>
      </c>
      <c r="G44" s="2">
        <v>29</v>
      </c>
      <c r="H44" s="2">
        <v>30</v>
      </c>
    </row>
    <row r="45" spans="1:8" x14ac:dyDescent="0.3">
      <c r="A45">
        <v>43</v>
      </c>
      <c r="B45" s="2">
        <v>44</v>
      </c>
      <c r="C45" s="2"/>
      <c r="D45" s="2">
        <v>0.39</v>
      </c>
      <c r="E45" s="2">
        <v>0.35820000000000002</v>
      </c>
      <c r="F45" s="2">
        <v>5</v>
      </c>
      <c r="G45" s="2">
        <v>17</v>
      </c>
      <c r="H45" s="2">
        <v>22</v>
      </c>
    </row>
    <row r="46" spans="1:8" x14ac:dyDescent="0.3">
      <c r="A46">
        <v>44</v>
      </c>
      <c r="B46" s="2">
        <v>45</v>
      </c>
      <c r="C46" s="2">
        <v>0.2273</v>
      </c>
      <c r="D46" s="2">
        <v>0.44</v>
      </c>
      <c r="E46" s="2">
        <v>0.32840000000000003</v>
      </c>
      <c r="F46" s="2">
        <v>11</v>
      </c>
      <c r="G46" s="2">
        <v>20</v>
      </c>
      <c r="H46" s="2">
        <v>31</v>
      </c>
    </row>
    <row r="47" spans="1:8" x14ac:dyDescent="0.3">
      <c r="A47">
        <v>45</v>
      </c>
      <c r="B47" s="2">
        <v>46</v>
      </c>
      <c r="C47" s="2">
        <v>0.21210000000000001</v>
      </c>
      <c r="D47" s="2">
        <v>0.44</v>
      </c>
      <c r="E47" s="2">
        <v>0.29849999999999999</v>
      </c>
      <c r="F47" s="2">
        <v>0</v>
      </c>
      <c r="G47" s="2">
        <v>9</v>
      </c>
      <c r="H47" s="2">
        <v>9</v>
      </c>
    </row>
    <row r="48" spans="1:8" x14ac:dyDescent="0.3">
      <c r="A48">
        <v>46</v>
      </c>
      <c r="B48" s="2">
        <v>47</v>
      </c>
      <c r="C48" s="2">
        <v>0.2273</v>
      </c>
      <c r="D48" s="2">
        <v>0.47</v>
      </c>
      <c r="E48" s="2">
        <v>0.16420000000000001</v>
      </c>
      <c r="F48" s="2">
        <v>0</v>
      </c>
      <c r="G48" s="2">
        <v>8</v>
      </c>
      <c r="H48" s="2">
        <v>8</v>
      </c>
    </row>
    <row r="49" spans="1:8" x14ac:dyDescent="0.3">
      <c r="A49">
        <v>47</v>
      </c>
      <c r="B49" s="2">
        <v>48</v>
      </c>
      <c r="C49" s="2">
        <v>0.19700000000000001</v>
      </c>
      <c r="D49" s="2">
        <v>0.44</v>
      </c>
      <c r="E49" s="2">
        <v>0.35820000000000002</v>
      </c>
      <c r="F49" s="2">
        <v>0</v>
      </c>
      <c r="G49" s="2">
        <v>5</v>
      </c>
      <c r="H49" s="2">
        <v>5</v>
      </c>
    </row>
    <row r="50" spans="1:8" x14ac:dyDescent="0.3">
      <c r="A50">
        <v>48</v>
      </c>
      <c r="B50" s="2">
        <v>49</v>
      </c>
      <c r="C50" s="2"/>
      <c r="D50" s="2">
        <v>0.44</v>
      </c>
      <c r="E50" s="2">
        <v>0.41789999999999999</v>
      </c>
      <c r="F50" s="2">
        <v>0</v>
      </c>
      <c r="G50" s="2">
        <v>2</v>
      </c>
      <c r="H50" s="2">
        <v>2</v>
      </c>
    </row>
    <row r="51" spans="1:8" x14ac:dyDescent="0.3">
      <c r="A51">
        <v>49</v>
      </c>
      <c r="B51" s="2">
        <v>50</v>
      </c>
      <c r="C51" s="2">
        <v>0.13639999999999999</v>
      </c>
      <c r="D51" s="2">
        <v>0.47</v>
      </c>
      <c r="E51" s="2">
        <v>0.3881</v>
      </c>
      <c r="F51" s="2">
        <v>0</v>
      </c>
      <c r="G51" s="2">
        <v>1</v>
      </c>
      <c r="H51" s="2">
        <v>1</v>
      </c>
    </row>
    <row r="52" spans="1:8" x14ac:dyDescent="0.3">
      <c r="A52">
        <v>50</v>
      </c>
      <c r="B52" s="2">
        <v>51</v>
      </c>
      <c r="C52" s="2">
        <v>0.13639999999999999</v>
      </c>
      <c r="D52" s="2">
        <v>0.47</v>
      </c>
      <c r="E52" s="2">
        <v>0.28360000000000002</v>
      </c>
      <c r="F52" s="2">
        <v>0</v>
      </c>
      <c r="G52" s="2">
        <v>3</v>
      </c>
      <c r="H52" s="2">
        <v>3</v>
      </c>
    </row>
    <row r="53" spans="1:8" x14ac:dyDescent="0.3">
      <c r="A53">
        <v>51</v>
      </c>
      <c r="B53" s="2">
        <v>52</v>
      </c>
      <c r="C53" s="2">
        <v>0.1061</v>
      </c>
      <c r="D53" s="2">
        <v>0.5</v>
      </c>
      <c r="E53" s="2">
        <v>0.3881</v>
      </c>
      <c r="F53" s="2">
        <v>0</v>
      </c>
      <c r="G53" s="2">
        <v>30</v>
      </c>
      <c r="H53" s="2">
        <v>30</v>
      </c>
    </row>
    <row r="54" spans="1:8" x14ac:dyDescent="0.3">
      <c r="A54">
        <v>52</v>
      </c>
      <c r="B54" s="2">
        <v>53</v>
      </c>
      <c r="C54" s="2">
        <v>0.13639999999999999</v>
      </c>
      <c r="D54" s="2">
        <v>0.5</v>
      </c>
      <c r="E54" s="2">
        <v>0.19400000000000001</v>
      </c>
      <c r="F54" s="2">
        <v>1</v>
      </c>
      <c r="G54" s="2">
        <v>63</v>
      </c>
      <c r="H54" s="2">
        <v>64</v>
      </c>
    </row>
    <row r="55" spans="1:8" x14ac:dyDescent="0.3">
      <c r="A55">
        <v>53</v>
      </c>
      <c r="B55" s="2">
        <v>54</v>
      </c>
      <c r="C55" s="2">
        <v>0.1212</v>
      </c>
      <c r="D55" s="2">
        <v>0.5</v>
      </c>
      <c r="E55" s="2">
        <v>0.28360000000000002</v>
      </c>
      <c r="F55" s="2">
        <v>1</v>
      </c>
      <c r="G55" s="2">
        <v>153</v>
      </c>
      <c r="H55" s="2">
        <v>154</v>
      </c>
    </row>
    <row r="56" spans="1:8" x14ac:dyDescent="0.3">
      <c r="A56">
        <v>54</v>
      </c>
      <c r="B56" s="2">
        <v>55</v>
      </c>
      <c r="C56" s="2">
        <v>0.13639999999999999</v>
      </c>
      <c r="D56" s="2">
        <v>0.43</v>
      </c>
      <c r="E56" s="2">
        <v>0.3881</v>
      </c>
      <c r="F56" s="2">
        <v>7</v>
      </c>
      <c r="G56" s="2">
        <v>81</v>
      </c>
      <c r="H56" s="2">
        <v>88</v>
      </c>
    </row>
    <row r="57" spans="1:8" x14ac:dyDescent="0.3">
      <c r="A57">
        <v>55</v>
      </c>
      <c r="B57" s="2">
        <v>56</v>
      </c>
      <c r="C57" s="2">
        <v>0.16669999999999999</v>
      </c>
      <c r="D57" s="2">
        <v>0.43</v>
      </c>
      <c r="E57" s="2">
        <v>0.25369999999999998</v>
      </c>
      <c r="F57" s="2">
        <v>11</v>
      </c>
      <c r="G57" s="2">
        <v>33</v>
      </c>
      <c r="H57" s="2">
        <v>44</v>
      </c>
    </row>
    <row r="58" spans="1:8" x14ac:dyDescent="0.3">
      <c r="A58">
        <v>56</v>
      </c>
      <c r="B58" s="2">
        <v>57</v>
      </c>
      <c r="C58" s="2">
        <v>0.18179999999999999</v>
      </c>
      <c r="D58" s="2">
        <v>0.4</v>
      </c>
      <c r="E58" s="2">
        <v>0.32840000000000003</v>
      </c>
      <c r="F58" s="2">
        <v>10</v>
      </c>
      <c r="G58" s="2">
        <v>41</v>
      </c>
      <c r="H58" s="2">
        <v>51</v>
      </c>
    </row>
    <row r="59" spans="1:8" x14ac:dyDescent="0.3">
      <c r="A59">
        <v>57</v>
      </c>
      <c r="B59" s="2">
        <v>58</v>
      </c>
      <c r="C59" s="2">
        <v>0.21210000000000001</v>
      </c>
      <c r="D59" s="2">
        <v>0.35</v>
      </c>
      <c r="E59" s="2">
        <v>0.29849999999999999</v>
      </c>
      <c r="F59" s="2">
        <v>13</v>
      </c>
      <c r="G59" s="2">
        <v>48</v>
      </c>
      <c r="H59" s="2">
        <v>61</v>
      </c>
    </row>
    <row r="60" spans="1:8" x14ac:dyDescent="0.3">
      <c r="A60">
        <v>58</v>
      </c>
      <c r="B60" s="2">
        <v>59</v>
      </c>
      <c r="C60" s="2"/>
      <c r="D60" s="2">
        <v>0.35</v>
      </c>
      <c r="E60" s="2">
        <v>0.28360000000000002</v>
      </c>
      <c r="F60" s="2">
        <v>8</v>
      </c>
      <c r="G60" s="2">
        <v>53</v>
      </c>
      <c r="H60" s="2">
        <v>61</v>
      </c>
    </row>
    <row r="61" spans="1:8" x14ac:dyDescent="0.3">
      <c r="A61">
        <v>59</v>
      </c>
      <c r="B61" s="2">
        <v>60</v>
      </c>
      <c r="C61" s="2">
        <v>0.2424</v>
      </c>
      <c r="D61" s="2">
        <v>0.3</v>
      </c>
      <c r="E61" s="2">
        <v>0.28360000000000002</v>
      </c>
      <c r="F61" s="2">
        <v>11</v>
      </c>
      <c r="G61" s="2">
        <v>66</v>
      </c>
      <c r="H61" s="2">
        <v>77</v>
      </c>
    </row>
    <row r="62" spans="1:8" x14ac:dyDescent="0.3">
      <c r="A62">
        <v>60</v>
      </c>
      <c r="B62" s="2">
        <v>61</v>
      </c>
      <c r="C62" s="2">
        <v>0.2424</v>
      </c>
      <c r="D62" s="2">
        <v>0.3</v>
      </c>
      <c r="E62" s="2">
        <v>0.25369999999999998</v>
      </c>
      <c r="F62" s="2">
        <v>14</v>
      </c>
      <c r="G62" s="2">
        <v>58</v>
      </c>
      <c r="H62" s="2">
        <v>72</v>
      </c>
    </row>
    <row r="63" spans="1:8" x14ac:dyDescent="0.3">
      <c r="A63">
        <v>61</v>
      </c>
      <c r="B63" s="2">
        <v>62</v>
      </c>
      <c r="C63" s="2">
        <v>0.2424</v>
      </c>
      <c r="D63" s="2">
        <v>0.3</v>
      </c>
      <c r="E63" s="2">
        <v>0.25369999999999998</v>
      </c>
      <c r="F63" s="2">
        <v>9</v>
      </c>
      <c r="G63" s="2">
        <v>67</v>
      </c>
      <c r="H63" s="2">
        <v>76</v>
      </c>
    </row>
    <row r="64" spans="1:8" x14ac:dyDescent="0.3">
      <c r="A64">
        <v>62</v>
      </c>
      <c r="B64" s="2">
        <v>63</v>
      </c>
      <c r="C64" s="2">
        <v>0.2273</v>
      </c>
      <c r="D64" s="2">
        <v>0.3</v>
      </c>
      <c r="E64" s="2">
        <v>0.22389999999999999</v>
      </c>
      <c r="F64" s="2">
        <v>11</v>
      </c>
      <c r="G64" s="2">
        <v>146</v>
      </c>
      <c r="H64" s="2">
        <v>157</v>
      </c>
    </row>
    <row r="65" spans="1:8" x14ac:dyDescent="0.3">
      <c r="A65">
        <v>63</v>
      </c>
      <c r="B65" s="2">
        <v>64</v>
      </c>
      <c r="C65" s="2">
        <v>0.2576</v>
      </c>
      <c r="D65" s="2">
        <v>0.32</v>
      </c>
      <c r="E65" s="2">
        <v>0.1045</v>
      </c>
      <c r="F65" s="2">
        <v>9</v>
      </c>
      <c r="G65" s="2">
        <v>148</v>
      </c>
      <c r="H65" s="2">
        <v>157</v>
      </c>
    </row>
    <row r="66" spans="1:8" x14ac:dyDescent="0.3">
      <c r="A66">
        <v>64</v>
      </c>
      <c r="B66" s="2">
        <v>65</v>
      </c>
      <c r="C66" s="2">
        <v>0.2576</v>
      </c>
      <c r="D66" s="2">
        <v>0.47</v>
      </c>
      <c r="E66" s="2">
        <v>0</v>
      </c>
      <c r="F66" s="2">
        <v>8</v>
      </c>
      <c r="G66" s="2">
        <v>102</v>
      </c>
      <c r="H66" s="2">
        <v>110</v>
      </c>
    </row>
    <row r="67" spans="1:8" x14ac:dyDescent="0.3">
      <c r="A67">
        <v>65</v>
      </c>
      <c r="B67" s="2">
        <v>66</v>
      </c>
      <c r="C67" s="2"/>
      <c r="D67" s="2">
        <v>0.47</v>
      </c>
      <c r="E67" s="2">
        <v>0.1045</v>
      </c>
      <c r="F67" s="2">
        <v>3</v>
      </c>
      <c r="G67" s="2">
        <v>49</v>
      </c>
      <c r="H67" s="2">
        <v>52</v>
      </c>
    </row>
    <row r="68" spans="1:8" x14ac:dyDescent="0.3">
      <c r="A68">
        <v>66</v>
      </c>
      <c r="B68" s="2">
        <v>67</v>
      </c>
      <c r="C68" s="2">
        <v>0.19700000000000001</v>
      </c>
      <c r="D68" s="2">
        <v>0.64</v>
      </c>
      <c r="E68" s="2">
        <v>0.1343</v>
      </c>
      <c r="F68" s="2">
        <v>3</v>
      </c>
      <c r="G68" s="2">
        <v>49</v>
      </c>
      <c r="H68" s="2">
        <v>52</v>
      </c>
    </row>
    <row r="69" spans="1:8" x14ac:dyDescent="0.3">
      <c r="A69">
        <v>67</v>
      </c>
      <c r="B69" s="2">
        <v>68</v>
      </c>
      <c r="C69" s="2">
        <v>0.1515</v>
      </c>
      <c r="D69" s="2">
        <v>0.69</v>
      </c>
      <c r="E69" s="2">
        <v>0.1343</v>
      </c>
      <c r="F69" s="2">
        <v>0</v>
      </c>
      <c r="G69" s="2">
        <v>20</v>
      </c>
      <c r="H69" s="2">
        <v>20</v>
      </c>
    </row>
    <row r="70" spans="1:8" x14ac:dyDescent="0.3">
      <c r="A70">
        <v>68</v>
      </c>
      <c r="B70" s="2">
        <v>69</v>
      </c>
      <c r="C70" s="2">
        <v>0.21210000000000001</v>
      </c>
      <c r="D70" s="2">
        <v>0.55000000000000004</v>
      </c>
      <c r="E70" s="2">
        <v>0.1045</v>
      </c>
      <c r="F70" s="2">
        <v>1</v>
      </c>
      <c r="G70" s="2">
        <v>11</v>
      </c>
      <c r="H70" s="2">
        <v>12</v>
      </c>
    </row>
    <row r="71" spans="1:8" x14ac:dyDescent="0.3">
      <c r="A71">
        <v>69</v>
      </c>
      <c r="B71" s="2">
        <v>70</v>
      </c>
      <c r="C71" s="2"/>
      <c r="D71" s="2">
        <v>0.55000000000000004</v>
      </c>
      <c r="E71" s="2">
        <v>0.1045</v>
      </c>
      <c r="F71" s="2">
        <v>0</v>
      </c>
      <c r="G71" s="2">
        <v>5</v>
      </c>
      <c r="H71" s="2">
        <v>5</v>
      </c>
    </row>
    <row r="72" spans="1:8" x14ac:dyDescent="0.3">
      <c r="A72">
        <v>70</v>
      </c>
      <c r="B72" s="2">
        <v>71</v>
      </c>
      <c r="C72" s="2">
        <v>0.18179999999999999</v>
      </c>
      <c r="D72" s="2">
        <v>0.59</v>
      </c>
      <c r="E72" s="2">
        <v>0.1045</v>
      </c>
      <c r="F72" s="2">
        <v>0</v>
      </c>
      <c r="G72" s="2">
        <v>2</v>
      </c>
      <c r="H72" s="2">
        <v>2</v>
      </c>
    </row>
    <row r="73" spans="1:8" x14ac:dyDescent="0.3">
      <c r="A73">
        <v>71</v>
      </c>
      <c r="B73" s="2">
        <v>72</v>
      </c>
      <c r="C73" s="2">
        <v>0.1515</v>
      </c>
      <c r="D73" s="2">
        <v>0.63</v>
      </c>
      <c r="E73" s="2">
        <v>0.1343</v>
      </c>
      <c r="F73" s="2">
        <v>0</v>
      </c>
      <c r="G73" s="2">
        <v>1</v>
      </c>
      <c r="H73" s="2">
        <v>1</v>
      </c>
    </row>
    <row r="74" spans="1:8" x14ac:dyDescent="0.3">
      <c r="A74">
        <v>72</v>
      </c>
      <c r="B74" s="2">
        <v>73</v>
      </c>
      <c r="C74" s="2">
        <v>0.18179999999999999</v>
      </c>
      <c r="D74" s="2">
        <v>0.63</v>
      </c>
      <c r="E74" s="2">
        <v>8.9599999999999999E-2</v>
      </c>
      <c r="F74" s="2">
        <v>0</v>
      </c>
      <c r="G74" s="2">
        <v>2</v>
      </c>
      <c r="H74" s="2">
        <v>2</v>
      </c>
    </row>
    <row r="75" spans="1:8" x14ac:dyDescent="0.3">
      <c r="A75">
        <v>73</v>
      </c>
      <c r="B75" s="2">
        <v>74</v>
      </c>
      <c r="C75" s="2">
        <v>0.1515</v>
      </c>
      <c r="D75" s="2">
        <v>0.68</v>
      </c>
      <c r="E75" s="2">
        <v>0.1045</v>
      </c>
      <c r="F75" s="2">
        <v>0</v>
      </c>
      <c r="G75" s="2">
        <v>4</v>
      </c>
      <c r="H75" s="2">
        <v>4</v>
      </c>
    </row>
    <row r="76" spans="1:8" x14ac:dyDescent="0.3">
      <c r="A76">
        <v>74</v>
      </c>
      <c r="B76" s="2">
        <v>75</v>
      </c>
      <c r="C76" s="2">
        <v>0.1515</v>
      </c>
      <c r="D76" s="2">
        <v>0.74</v>
      </c>
      <c r="E76" s="2">
        <v>0.1045</v>
      </c>
      <c r="F76" s="2">
        <v>0</v>
      </c>
      <c r="G76" s="2">
        <v>36</v>
      </c>
      <c r="H76" s="2">
        <v>36</v>
      </c>
    </row>
    <row r="77" spans="1:8" x14ac:dyDescent="0.3">
      <c r="A77">
        <v>75</v>
      </c>
      <c r="B77" s="2">
        <v>76</v>
      </c>
      <c r="C77" s="2">
        <v>0.1515</v>
      </c>
      <c r="D77" s="2">
        <v>0.74</v>
      </c>
      <c r="E77" s="2">
        <v>0.1343</v>
      </c>
      <c r="F77" s="2">
        <v>2</v>
      </c>
      <c r="G77" s="2">
        <v>92</v>
      </c>
      <c r="H77" s="2">
        <v>94</v>
      </c>
    </row>
    <row r="78" spans="1:8" x14ac:dyDescent="0.3">
      <c r="A78">
        <v>76</v>
      </c>
      <c r="B78" s="2">
        <v>77</v>
      </c>
      <c r="C78" s="2">
        <v>0.1515</v>
      </c>
      <c r="D78" s="2">
        <v>0.69</v>
      </c>
      <c r="E78" s="2">
        <v>0.16420000000000001</v>
      </c>
      <c r="F78" s="2">
        <v>2</v>
      </c>
      <c r="G78" s="2">
        <v>177</v>
      </c>
      <c r="H78" s="2">
        <v>179</v>
      </c>
    </row>
    <row r="79" spans="1:8" x14ac:dyDescent="0.3">
      <c r="A79">
        <v>77</v>
      </c>
      <c r="B79" s="2">
        <v>78</v>
      </c>
      <c r="C79" s="2">
        <v>0.1515</v>
      </c>
      <c r="D79" s="2">
        <v>0.64</v>
      </c>
      <c r="E79" s="2">
        <v>0.22389999999999999</v>
      </c>
      <c r="F79" s="2">
        <v>2</v>
      </c>
      <c r="G79" s="2">
        <v>98</v>
      </c>
      <c r="H79" s="2">
        <v>100</v>
      </c>
    </row>
    <row r="80" spans="1:8" x14ac:dyDescent="0.3">
      <c r="A80">
        <v>78</v>
      </c>
      <c r="B80" s="2">
        <v>79</v>
      </c>
      <c r="C80" s="2">
        <v>0.13639999999999999</v>
      </c>
      <c r="D80" s="2">
        <v>0.69</v>
      </c>
      <c r="E80" s="2">
        <v>0.32840000000000003</v>
      </c>
      <c r="F80" s="2">
        <v>5</v>
      </c>
      <c r="G80" s="2">
        <v>37</v>
      </c>
      <c r="H80" s="2">
        <v>42</v>
      </c>
    </row>
    <row r="81" spans="1:8" x14ac:dyDescent="0.3">
      <c r="A81">
        <v>79</v>
      </c>
      <c r="B81" s="2">
        <v>80</v>
      </c>
      <c r="C81" s="2">
        <v>0.21210000000000001</v>
      </c>
      <c r="D81" s="2">
        <v>0.51</v>
      </c>
      <c r="E81" s="2">
        <v>0.29849999999999999</v>
      </c>
      <c r="F81" s="2">
        <v>7</v>
      </c>
      <c r="G81" s="2">
        <v>50</v>
      </c>
      <c r="H81" s="2">
        <v>57</v>
      </c>
    </row>
    <row r="82" spans="1:8" x14ac:dyDescent="0.3">
      <c r="A82">
        <v>80</v>
      </c>
      <c r="B82" s="2">
        <v>81</v>
      </c>
      <c r="C82" s="2">
        <v>0.2273</v>
      </c>
      <c r="D82" s="2">
        <v>0.51</v>
      </c>
      <c r="E82" s="2">
        <v>0.16420000000000001</v>
      </c>
      <c r="F82" s="2">
        <v>12</v>
      </c>
      <c r="G82" s="2">
        <v>66</v>
      </c>
      <c r="H82" s="2">
        <v>78</v>
      </c>
    </row>
    <row r="83" spans="1:8" x14ac:dyDescent="0.3">
      <c r="A83">
        <v>81</v>
      </c>
      <c r="B83" s="2">
        <v>82</v>
      </c>
      <c r="C83" s="2">
        <v>0.2273</v>
      </c>
      <c r="D83" s="2">
        <v>0.56000000000000005</v>
      </c>
      <c r="E83" s="2">
        <v>0.19400000000000001</v>
      </c>
      <c r="F83" s="2">
        <v>18</v>
      </c>
      <c r="G83" s="2">
        <v>79</v>
      </c>
      <c r="H83" s="2">
        <v>97</v>
      </c>
    </row>
    <row r="84" spans="1:8" x14ac:dyDescent="0.3">
      <c r="A84">
        <v>82</v>
      </c>
      <c r="B84" s="2">
        <v>83</v>
      </c>
      <c r="C84" s="2">
        <v>0.2576</v>
      </c>
      <c r="D84" s="2">
        <v>0.52</v>
      </c>
      <c r="E84" s="2">
        <v>0.22389999999999999</v>
      </c>
      <c r="F84" s="2">
        <v>9</v>
      </c>
      <c r="G84" s="2">
        <v>54</v>
      </c>
      <c r="H84" s="2">
        <v>63</v>
      </c>
    </row>
    <row r="85" spans="1:8" x14ac:dyDescent="0.3">
      <c r="A85">
        <v>83</v>
      </c>
      <c r="B85" s="2">
        <v>84</v>
      </c>
      <c r="C85" s="2">
        <v>0.2727</v>
      </c>
      <c r="D85" s="2">
        <v>0.52</v>
      </c>
      <c r="E85" s="2">
        <v>0.25369999999999998</v>
      </c>
      <c r="F85" s="2">
        <v>17</v>
      </c>
      <c r="G85" s="2">
        <v>48</v>
      </c>
      <c r="H85" s="2">
        <v>65</v>
      </c>
    </row>
    <row r="86" spans="1:8" x14ac:dyDescent="0.3">
      <c r="A86">
        <v>84</v>
      </c>
      <c r="B86" s="2">
        <v>85</v>
      </c>
      <c r="C86" s="2">
        <v>0.28789999999999999</v>
      </c>
      <c r="D86" s="2">
        <v>0.49</v>
      </c>
      <c r="E86" s="2">
        <v>0.25369999999999998</v>
      </c>
      <c r="F86" s="2">
        <v>15</v>
      </c>
      <c r="G86" s="2">
        <v>68</v>
      </c>
      <c r="H86" s="2">
        <v>83</v>
      </c>
    </row>
    <row r="87" spans="1:8" x14ac:dyDescent="0.3">
      <c r="A87">
        <v>85</v>
      </c>
      <c r="B87" s="2">
        <v>86</v>
      </c>
      <c r="C87" s="2">
        <v>0.2727</v>
      </c>
      <c r="D87" s="2">
        <v>0.48</v>
      </c>
      <c r="E87" s="2">
        <v>0.22389999999999999</v>
      </c>
      <c r="F87" s="2">
        <v>10</v>
      </c>
      <c r="G87" s="2">
        <v>202</v>
      </c>
      <c r="H87" s="2">
        <v>212</v>
      </c>
    </row>
    <row r="88" spans="1:8" x14ac:dyDescent="0.3">
      <c r="A88">
        <v>86</v>
      </c>
      <c r="B88" s="2">
        <v>87</v>
      </c>
      <c r="C88" s="2">
        <v>0.2576</v>
      </c>
      <c r="D88" s="2">
        <v>0.48</v>
      </c>
      <c r="E88" s="2">
        <v>0.19400000000000001</v>
      </c>
      <c r="F88" s="2">
        <v>3</v>
      </c>
      <c r="G88" s="2">
        <v>179</v>
      </c>
      <c r="H88" s="2">
        <v>182</v>
      </c>
    </row>
    <row r="89" spans="1:8" x14ac:dyDescent="0.3">
      <c r="A89">
        <v>87</v>
      </c>
      <c r="B89" s="2">
        <v>88</v>
      </c>
      <c r="C89" s="2">
        <v>0.2576</v>
      </c>
      <c r="D89" s="2">
        <v>0.48</v>
      </c>
      <c r="E89" s="2">
        <v>0.1045</v>
      </c>
      <c r="F89" s="2">
        <v>2</v>
      </c>
      <c r="G89" s="2">
        <v>110</v>
      </c>
      <c r="H89" s="2">
        <v>112</v>
      </c>
    </row>
    <row r="90" spans="1:8" x14ac:dyDescent="0.3">
      <c r="A90">
        <v>88</v>
      </c>
      <c r="B90" s="2">
        <v>89</v>
      </c>
      <c r="C90" s="2">
        <v>0.2576</v>
      </c>
      <c r="D90" s="2">
        <v>0.48</v>
      </c>
      <c r="E90" s="2">
        <v>0.1045</v>
      </c>
      <c r="F90" s="2">
        <v>1</v>
      </c>
      <c r="G90" s="2">
        <v>53</v>
      </c>
      <c r="H90" s="2">
        <v>54</v>
      </c>
    </row>
    <row r="91" spans="1:8" x14ac:dyDescent="0.3">
      <c r="A91">
        <v>89</v>
      </c>
      <c r="B91" s="2">
        <v>90</v>
      </c>
      <c r="C91" s="2">
        <v>0.2727</v>
      </c>
      <c r="D91" s="2">
        <v>0.64</v>
      </c>
      <c r="E91" s="2">
        <v>0</v>
      </c>
      <c r="F91" s="2">
        <v>0</v>
      </c>
      <c r="G91" s="2">
        <v>48</v>
      </c>
      <c r="H91" s="2">
        <v>48</v>
      </c>
    </row>
    <row r="92" spans="1:8" x14ac:dyDescent="0.3">
      <c r="A92">
        <v>90</v>
      </c>
      <c r="B92" s="2">
        <v>91</v>
      </c>
      <c r="C92" s="2">
        <v>0.2576</v>
      </c>
      <c r="D92" s="2">
        <v>0.64</v>
      </c>
      <c r="E92" s="2">
        <v>8.9599999999999999E-2</v>
      </c>
      <c r="F92" s="2">
        <v>1</v>
      </c>
      <c r="G92" s="2">
        <v>34</v>
      </c>
      <c r="H92" s="2">
        <v>35</v>
      </c>
    </row>
    <row r="93" spans="1:8" x14ac:dyDescent="0.3">
      <c r="A93">
        <v>91</v>
      </c>
      <c r="B93" s="2">
        <v>92</v>
      </c>
      <c r="C93" s="2">
        <v>0.2273</v>
      </c>
      <c r="D93" s="2">
        <v>0.69</v>
      </c>
      <c r="E93" s="2">
        <v>8.9599999999999999E-2</v>
      </c>
      <c r="F93" s="2">
        <v>2</v>
      </c>
      <c r="G93" s="2">
        <v>9</v>
      </c>
      <c r="H93" s="2">
        <v>11</v>
      </c>
    </row>
    <row r="94" spans="1:8" x14ac:dyDescent="0.3">
      <c r="A94">
        <v>92</v>
      </c>
      <c r="B94" s="2">
        <v>93</v>
      </c>
      <c r="C94" s="2">
        <v>0.2576</v>
      </c>
      <c r="D94" s="2">
        <v>0.64</v>
      </c>
      <c r="E94" s="2">
        <v>0</v>
      </c>
      <c r="F94" s="2">
        <v>0</v>
      </c>
      <c r="G94" s="2">
        <v>6</v>
      </c>
      <c r="H94" s="2">
        <v>6</v>
      </c>
    </row>
    <row r="95" spans="1:8" x14ac:dyDescent="0.3">
      <c r="A95">
        <v>93</v>
      </c>
      <c r="B95" s="2">
        <v>94</v>
      </c>
      <c r="C95" s="2">
        <v>0.19700000000000001</v>
      </c>
      <c r="D95" s="2">
        <v>0.74</v>
      </c>
      <c r="E95" s="2">
        <v>8.9599999999999999E-2</v>
      </c>
      <c r="F95" s="2">
        <v>0</v>
      </c>
      <c r="G95" s="2">
        <v>6</v>
      </c>
      <c r="H95" s="2">
        <v>6</v>
      </c>
    </row>
    <row r="96" spans="1:8" x14ac:dyDescent="0.3">
      <c r="A96">
        <v>94</v>
      </c>
      <c r="B96" s="2">
        <v>95</v>
      </c>
      <c r="C96" s="2">
        <v>0.19700000000000001</v>
      </c>
      <c r="D96" s="2">
        <v>0.74</v>
      </c>
      <c r="E96" s="2">
        <v>8.9599999999999999E-2</v>
      </c>
      <c r="F96" s="2">
        <v>0</v>
      </c>
      <c r="G96" s="2">
        <v>2</v>
      </c>
      <c r="H96" s="2">
        <v>2</v>
      </c>
    </row>
    <row r="97" spans="1:8" x14ac:dyDescent="0.3">
      <c r="A97">
        <v>95</v>
      </c>
      <c r="B97" s="2">
        <v>96</v>
      </c>
      <c r="C97" s="2">
        <v>0.2273</v>
      </c>
      <c r="D97" s="2">
        <v>0.48</v>
      </c>
      <c r="E97" s="2">
        <v>0.22389999999999999</v>
      </c>
      <c r="F97" s="2">
        <v>0</v>
      </c>
      <c r="G97" s="2">
        <v>2</v>
      </c>
      <c r="H97" s="2">
        <v>2</v>
      </c>
    </row>
    <row r="98" spans="1:8" x14ac:dyDescent="0.3">
      <c r="A98">
        <v>96</v>
      </c>
      <c r="B98" s="2">
        <v>97</v>
      </c>
      <c r="C98" s="2">
        <v>0.2273</v>
      </c>
      <c r="D98" s="2">
        <v>0.47</v>
      </c>
      <c r="E98" s="2">
        <v>0.16420000000000001</v>
      </c>
      <c r="F98" s="2">
        <v>0</v>
      </c>
      <c r="G98" s="2">
        <v>3</v>
      </c>
      <c r="H98" s="2">
        <v>3</v>
      </c>
    </row>
    <row r="99" spans="1:8" x14ac:dyDescent="0.3">
      <c r="A99">
        <v>97</v>
      </c>
      <c r="B99" s="2">
        <v>98</v>
      </c>
      <c r="C99" s="2">
        <v>0.19700000000000001</v>
      </c>
      <c r="D99" s="2">
        <v>0.47</v>
      </c>
      <c r="E99" s="2">
        <v>0.22389999999999999</v>
      </c>
      <c r="F99" s="2">
        <v>0</v>
      </c>
      <c r="G99" s="2">
        <v>33</v>
      </c>
      <c r="H99" s="2">
        <v>33</v>
      </c>
    </row>
    <row r="100" spans="1:8" x14ac:dyDescent="0.3">
      <c r="A100">
        <v>98</v>
      </c>
      <c r="B100" s="2">
        <v>99</v>
      </c>
      <c r="C100" s="2">
        <v>0.18179999999999999</v>
      </c>
      <c r="D100" s="2">
        <v>0.43</v>
      </c>
      <c r="E100" s="2">
        <v>0.19400000000000001</v>
      </c>
      <c r="F100" s="2">
        <v>1</v>
      </c>
      <c r="G100" s="2">
        <v>87</v>
      </c>
      <c r="H100" s="2">
        <v>88</v>
      </c>
    </row>
    <row r="101" spans="1:8" x14ac:dyDescent="0.3">
      <c r="A101">
        <v>99</v>
      </c>
      <c r="B101" s="2">
        <v>100</v>
      </c>
      <c r="C101" s="2">
        <v>0.18179999999999999</v>
      </c>
      <c r="D101" s="2">
        <v>0.4</v>
      </c>
      <c r="E101" s="2">
        <v>0.29849999999999999</v>
      </c>
      <c r="F101" s="2">
        <v>3</v>
      </c>
      <c r="G101" s="2">
        <v>192</v>
      </c>
      <c r="H101" s="2">
        <v>195</v>
      </c>
    </row>
    <row r="102" spans="1:8" x14ac:dyDescent="0.3">
      <c r="A102">
        <v>100</v>
      </c>
      <c r="B102" s="2">
        <v>101</v>
      </c>
      <c r="C102" s="2">
        <v>0.19700000000000001</v>
      </c>
      <c r="D102" s="2">
        <v>0.37</v>
      </c>
      <c r="E102" s="2">
        <v>0.32840000000000003</v>
      </c>
      <c r="F102" s="2">
        <v>6</v>
      </c>
      <c r="G102" s="2">
        <v>109</v>
      </c>
      <c r="H102" s="2">
        <v>115</v>
      </c>
    </row>
    <row r="103" spans="1:8" x14ac:dyDescent="0.3">
      <c r="A103">
        <v>101</v>
      </c>
      <c r="B103" s="2">
        <v>102</v>
      </c>
      <c r="C103" s="2">
        <v>0.19700000000000001</v>
      </c>
      <c r="D103" s="2">
        <v>0.37</v>
      </c>
      <c r="E103" s="2">
        <v>0.32840000000000003</v>
      </c>
      <c r="F103" s="2">
        <v>4</v>
      </c>
      <c r="G103" s="2">
        <v>53</v>
      </c>
      <c r="H103" s="2">
        <v>57</v>
      </c>
    </row>
    <row r="104" spans="1:8" x14ac:dyDescent="0.3">
      <c r="A104">
        <v>102</v>
      </c>
      <c r="B104" s="2">
        <v>103</v>
      </c>
      <c r="C104" s="2">
        <v>0.2273</v>
      </c>
      <c r="D104" s="2">
        <v>0.33</v>
      </c>
      <c r="E104" s="2">
        <v>0.32840000000000003</v>
      </c>
      <c r="F104" s="2">
        <v>12</v>
      </c>
      <c r="G104" s="2">
        <v>34</v>
      </c>
      <c r="H104" s="2">
        <v>46</v>
      </c>
    </row>
    <row r="105" spans="1:8" x14ac:dyDescent="0.3">
      <c r="A105">
        <v>103</v>
      </c>
      <c r="B105" s="2">
        <v>104</v>
      </c>
      <c r="C105" s="2">
        <v>0.2273</v>
      </c>
      <c r="D105" s="2">
        <v>0.33</v>
      </c>
      <c r="E105" s="2">
        <v>0.32840000000000003</v>
      </c>
      <c r="F105" s="2">
        <v>5</v>
      </c>
      <c r="G105" s="2">
        <v>74</v>
      </c>
      <c r="H105" s="2">
        <v>79</v>
      </c>
    </row>
    <row r="106" spans="1:8" x14ac:dyDescent="0.3">
      <c r="A106">
        <v>104</v>
      </c>
      <c r="B106" s="2">
        <v>105</v>
      </c>
      <c r="C106" s="2">
        <v>0.2576</v>
      </c>
      <c r="D106" s="2">
        <v>0.3</v>
      </c>
      <c r="E106" s="2">
        <v>0.29849999999999999</v>
      </c>
      <c r="F106" s="2">
        <v>6</v>
      </c>
      <c r="G106" s="2">
        <v>65</v>
      </c>
      <c r="H106" s="2">
        <v>71</v>
      </c>
    </row>
    <row r="107" spans="1:8" x14ac:dyDescent="0.3">
      <c r="A107">
        <v>105</v>
      </c>
      <c r="B107" s="2">
        <v>106</v>
      </c>
      <c r="C107" s="2">
        <v>0.28789999999999999</v>
      </c>
      <c r="D107" s="2">
        <v>0.28000000000000003</v>
      </c>
      <c r="E107" s="2">
        <v>0.19400000000000001</v>
      </c>
      <c r="F107" s="2">
        <v>10</v>
      </c>
      <c r="G107" s="2">
        <v>52</v>
      </c>
      <c r="H107" s="2">
        <v>62</v>
      </c>
    </row>
    <row r="108" spans="1:8" x14ac:dyDescent="0.3">
      <c r="A108">
        <v>106</v>
      </c>
      <c r="B108" s="2">
        <v>107</v>
      </c>
      <c r="C108" s="2">
        <v>0.28789999999999999</v>
      </c>
      <c r="D108" s="2">
        <v>0.28000000000000003</v>
      </c>
      <c r="E108" s="2">
        <v>0.19400000000000001</v>
      </c>
      <c r="F108" s="2">
        <v>7</v>
      </c>
      <c r="G108" s="2">
        <v>55</v>
      </c>
      <c r="H108" s="2">
        <v>62</v>
      </c>
    </row>
    <row r="109" spans="1:8" x14ac:dyDescent="0.3">
      <c r="A109">
        <v>107</v>
      </c>
      <c r="B109" s="2">
        <v>108</v>
      </c>
      <c r="C109" s="2">
        <v>0.31819999999999998</v>
      </c>
      <c r="D109" s="2">
        <v>0.28000000000000003</v>
      </c>
      <c r="E109" s="2">
        <v>8.9599999999999999E-2</v>
      </c>
      <c r="F109" s="2">
        <v>4</v>
      </c>
      <c r="G109" s="2">
        <v>85</v>
      </c>
      <c r="H109" s="2">
        <v>89</v>
      </c>
    </row>
    <row r="110" spans="1:8" x14ac:dyDescent="0.3">
      <c r="A110">
        <v>108</v>
      </c>
      <c r="B110" s="2">
        <v>109</v>
      </c>
      <c r="C110" s="2">
        <v>0.2273</v>
      </c>
      <c r="D110" s="2">
        <v>0.38</v>
      </c>
      <c r="E110" s="2">
        <v>0.19400000000000001</v>
      </c>
      <c r="F110" s="2">
        <v>4</v>
      </c>
      <c r="G110" s="2">
        <v>186</v>
      </c>
      <c r="H110" s="2">
        <v>190</v>
      </c>
    </row>
    <row r="111" spans="1:8" x14ac:dyDescent="0.3">
      <c r="A111">
        <v>109</v>
      </c>
      <c r="B111" s="2">
        <v>110</v>
      </c>
      <c r="C111" s="2">
        <v>0.2424</v>
      </c>
      <c r="D111" s="2">
        <v>0.38</v>
      </c>
      <c r="E111" s="2">
        <v>0.1343</v>
      </c>
      <c r="F111" s="2">
        <v>3</v>
      </c>
      <c r="G111" s="2">
        <v>166</v>
      </c>
      <c r="H111" s="2">
        <v>169</v>
      </c>
    </row>
    <row r="112" spans="1:8" x14ac:dyDescent="0.3">
      <c r="A112">
        <v>110</v>
      </c>
      <c r="B112" s="2">
        <v>111</v>
      </c>
      <c r="C112" s="2">
        <v>0.2576</v>
      </c>
      <c r="D112" s="2">
        <v>0.38</v>
      </c>
      <c r="E112" s="2">
        <v>0.1045</v>
      </c>
      <c r="F112" s="2">
        <v>5</v>
      </c>
      <c r="G112" s="2">
        <v>127</v>
      </c>
      <c r="H112" s="2">
        <v>132</v>
      </c>
    </row>
    <row r="113" spans="1:8" x14ac:dyDescent="0.3">
      <c r="A113">
        <v>111</v>
      </c>
      <c r="B113" s="2">
        <v>112</v>
      </c>
      <c r="C113" s="2">
        <v>0.2273</v>
      </c>
      <c r="D113" s="2">
        <v>0.47</v>
      </c>
      <c r="E113" s="2">
        <v>0.16420000000000001</v>
      </c>
      <c r="F113" s="2">
        <v>7</v>
      </c>
      <c r="G113" s="2">
        <v>82</v>
      </c>
      <c r="H113" s="2">
        <v>89</v>
      </c>
    </row>
    <row r="114" spans="1:8" x14ac:dyDescent="0.3">
      <c r="A114">
        <v>112</v>
      </c>
      <c r="B114" s="2">
        <v>113</v>
      </c>
      <c r="C114" s="2">
        <v>0.19700000000000001</v>
      </c>
      <c r="D114" s="2">
        <v>0.51</v>
      </c>
      <c r="E114" s="2">
        <v>0.19400000000000001</v>
      </c>
      <c r="F114" s="2">
        <v>3</v>
      </c>
      <c r="G114" s="2">
        <v>40</v>
      </c>
      <c r="H114" s="2">
        <v>43</v>
      </c>
    </row>
    <row r="115" spans="1:8" x14ac:dyDescent="0.3">
      <c r="A115">
        <v>113</v>
      </c>
      <c r="B115" s="2">
        <v>114</v>
      </c>
      <c r="C115" s="2">
        <v>0.19700000000000001</v>
      </c>
      <c r="D115" s="2">
        <v>0.55000000000000004</v>
      </c>
      <c r="E115" s="2">
        <v>0.1343</v>
      </c>
      <c r="F115" s="2">
        <v>1</v>
      </c>
      <c r="G115" s="2">
        <v>41</v>
      </c>
      <c r="H115" s="2">
        <v>42</v>
      </c>
    </row>
    <row r="116" spans="1:8" x14ac:dyDescent="0.3">
      <c r="A116">
        <v>114</v>
      </c>
      <c r="B116" s="2">
        <v>115</v>
      </c>
      <c r="C116" s="2">
        <v>0.2576</v>
      </c>
      <c r="D116" s="2">
        <v>0.47</v>
      </c>
      <c r="E116" s="2">
        <v>0</v>
      </c>
      <c r="F116" s="2">
        <v>1</v>
      </c>
      <c r="G116" s="2">
        <v>18</v>
      </c>
      <c r="H116" s="2">
        <v>19</v>
      </c>
    </row>
    <row r="117" spans="1:8" x14ac:dyDescent="0.3">
      <c r="A117">
        <v>115</v>
      </c>
      <c r="B117" s="2">
        <v>116</v>
      </c>
      <c r="C117" s="2">
        <v>0.2424</v>
      </c>
      <c r="D117" s="2">
        <v>0.55000000000000004</v>
      </c>
      <c r="E117" s="2">
        <v>0</v>
      </c>
      <c r="F117" s="2">
        <v>0</v>
      </c>
      <c r="G117" s="2">
        <v>11</v>
      </c>
      <c r="H117" s="2">
        <v>11</v>
      </c>
    </row>
    <row r="118" spans="1:8" x14ac:dyDescent="0.3">
      <c r="A118">
        <v>116</v>
      </c>
      <c r="B118" s="2">
        <v>117</v>
      </c>
      <c r="C118" s="2">
        <v>0.2273</v>
      </c>
      <c r="D118" s="2">
        <v>0.64</v>
      </c>
      <c r="E118" s="2">
        <v>0</v>
      </c>
      <c r="F118" s="2">
        <v>0</v>
      </c>
      <c r="G118" s="2">
        <v>4</v>
      </c>
      <c r="H118" s="2">
        <v>4</v>
      </c>
    </row>
    <row r="119" spans="1:8" x14ac:dyDescent="0.3">
      <c r="A119">
        <v>117</v>
      </c>
      <c r="B119" s="2">
        <v>118</v>
      </c>
      <c r="C119" s="2">
        <v>0.2273</v>
      </c>
      <c r="D119" s="2">
        <v>0.64</v>
      </c>
      <c r="E119" s="2">
        <v>0</v>
      </c>
      <c r="F119" s="2">
        <v>0</v>
      </c>
      <c r="G119" s="2">
        <v>2</v>
      </c>
      <c r="H119" s="2">
        <v>2</v>
      </c>
    </row>
    <row r="120" spans="1:8" x14ac:dyDescent="0.3">
      <c r="A120">
        <v>118</v>
      </c>
      <c r="B120" s="2">
        <v>119</v>
      </c>
      <c r="C120" s="2">
        <v>0.19700000000000001</v>
      </c>
      <c r="D120" s="2">
        <v>0.64</v>
      </c>
      <c r="E120" s="2">
        <v>8.9599999999999999E-2</v>
      </c>
      <c r="F120" s="2">
        <v>0</v>
      </c>
      <c r="G120" s="2">
        <v>1</v>
      </c>
      <c r="H120" s="2">
        <v>1</v>
      </c>
    </row>
    <row r="121" spans="1:8" x14ac:dyDescent="0.3">
      <c r="A121">
        <v>119</v>
      </c>
      <c r="B121" s="2">
        <v>120</v>
      </c>
      <c r="C121" s="2">
        <v>0.18179999999999999</v>
      </c>
      <c r="D121" s="2">
        <v>0.69</v>
      </c>
      <c r="E121" s="2">
        <v>8.9599999999999999E-2</v>
      </c>
      <c r="F121" s="2">
        <v>0</v>
      </c>
      <c r="G121" s="2">
        <v>4</v>
      </c>
      <c r="H121" s="2">
        <v>4</v>
      </c>
    </row>
    <row r="122" spans="1:8" x14ac:dyDescent="0.3">
      <c r="A122">
        <v>120</v>
      </c>
      <c r="B122" s="2">
        <v>121</v>
      </c>
      <c r="C122" s="2">
        <v>0.16669999999999999</v>
      </c>
      <c r="D122" s="2">
        <v>0.63</v>
      </c>
      <c r="E122" s="2">
        <v>0.1045</v>
      </c>
      <c r="F122" s="2">
        <v>0</v>
      </c>
      <c r="G122" s="2">
        <v>36</v>
      </c>
      <c r="H122" s="2">
        <v>36</v>
      </c>
    </row>
    <row r="123" spans="1:8" x14ac:dyDescent="0.3">
      <c r="A123">
        <v>121</v>
      </c>
      <c r="B123" s="2">
        <v>122</v>
      </c>
      <c r="C123" s="2">
        <v>0.2273</v>
      </c>
      <c r="D123" s="2">
        <v>0.59</v>
      </c>
      <c r="E123" s="2">
        <v>0</v>
      </c>
      <c r="F123" s="2">
        <v>0</v>
      </c>
      <c r="G123" s="2">
        <v>95</v>
      </c>
      <c r="H123" s="2">
        <v>95</v>
      </c>
    </row>
    <row r="124" spans="1:8" x14ac:dyDescent="0.3">
      <c r="A124">
        <v>122</v>
      </c>
      <c r="B124" s="2">
        <v>123</v>
      </c>
      <c r="C124" s="2">
        <v>0.2273</v>
      </c>
      <c r="D124" s="2">
        <v>0.59</v>
      </c>
      <c r="E124" s="2">
        <v>0</v>
      </c>
      <c r="F124" s="2">
        <v>3</v>
      </c>
      <c r="G124" s="2">
        <v>216</v>
      </c>
      <c r="H124" s="2">
        <v>219</v>
      </c>
    </row>
    <row r="125" spans="1:8" x14ac:dyDescent="0.3">
      <c r="A125">
        <v>123</v>
      </c>
      <c r="B125" s="2">
        <v>124</v>
      </c>
      <c r="C125" s="2">
        <v>0.2424</v>
      </c>
      <c r="D125" s="2">
        <v>0.51</v>
      </c>
      <c r="E125" s="2">
        <v>0</v>
      </c>
      <c r="F125" s="2">
        <v>6</v>
      </c>
      <c r="G125" s="2">
        <v>116</v>
      </c>
      <c r="H125" s="2">
        <v>122</v>
      </c>
    </row>
    <row r="126" spans="1:8" x14ac:dyDescent="0.3">
      <c r="A126">
        <v>124</v>
      </c>
      <c r="B126" s="2">
        <v>125</v>
      </c>
      <c r="C126" s="2">
        <v>0.2576</v>
      </c>
      <c r="D126" s="2">
        <v>0.47</v>
      </c>
      <c r="E126" s="2">
        <v>0</v>
      </c>
      <c r="F126" s="2">
        <v>3</v>
      </c>
      <c r="G126" s="2">
        <v>42</v>
      </c>
      <c r="H126" s="2">
        <v>45</v>
      </c>
    </row>
    <row r="127" spans="1:8" x14ac:dyDescent="0.3">
      <c r="A127">
        <v>125</v>
      </c>
      <c r="B127" s="2">
        <v>126</v>
      </c>
      <c r="C127" s="2">
        <v>0.2576</v>
      </c>
      <c r="D127" s="2">
        <v>0.44</v>
      </c>
      <c r="E127" s="2">
        <v>8.9599999999999999E-2</v>
      </c>
      <c r="F127" s="2">
        <v>2</v>
      </c>
      <c r="G127" s="2">
        <v>57</v>
      </c>
      <c r="H127" s="2">
        <v>59</v>
      </c>
    </row>
    <row r="128" spans="1:8" x14ac:dyDescent="0.3">
      <c r="A128">
        <v>126</v>
      </c>
      <c r="B128" s="2">
        <v>127</v>
      </c>
      <c r="C128" s="2">
        <v>0.28789999999999999</v>
      </c>
      <c r="D128" s="2">
        <v>0.35</v>
      </c>
      <c r="E128" s="2">
        <v>0</v>
      </c>
      <c r="F128" s="2">
        <v>6</v>
      </c>
      <c r="G128" s="2">
        <v>78</v>
      </c>
      <c r="H128" s="2">
        <v>84</v>
      </c>
    </row>
    <row r="129" spans="1:8" x14ac:dyDescent="0.3">
      <c r="A129">
        <v>127</v>
      </c>
      <c r="B129" s="2">
        <v>128</v>
      </c>
      <c r="C129" s="2">
        <v>0.2727</v>
      </c>
      <c r="D129" s="2">
        <v>0.35</v>
      </c>
      <c r="E129" s="2">
        <v>0.1045</v>
      </c>
      <c r="F129" s="2">
        <v>12</v>
      </c>
      <c r="G129" s="2">
        <v>55</v>
      </c>
      <c r="H129" s="2">
        <v>67</v>
      </c>
    </row>
    <row r="130" spans="1:8" x14ac:dyDescent="0.3">
      <c r="A130">
        <v>128</v>
      </c>
      <c r="B130" s="2">
        <v>129</v>
      </c>
      <c r="C130" s="2">
        <v>0.2727</v>
      </c>
      <c r="D130" s="2">
        <v>0.36</v>
      </c>
      <c r="E130" s="2">
        <v>0.16420000000000001</v>
      </c>
      <c r="F130" s="2">
        <v>11</v>
      </c>
      <c r="G130" s="2">
        <v>59</v>
      </c>
      <c r="H130" s="2">
        <v>70</v>
      </c>
    </row>
    <row r="131" spans="1:8" x14ac:dyDescent="0.3">
      <c r="A131">
        <v>129</v>
      </c>
      <c r="B131" s="2">
        <v>130</v>
      </c>
      <c r="C131" s="2">
        <v>0.2727</v>
      </c>
      <c r="D131" s="2">
        <v>0.36</v>
      </c>
      <c r="E131" s="2">
        <v>0</v>
      </c>
      <c r="F131" s="2">
        <v>8</v>
      </c>
      <c r="G131" s="2">
        <v>54</v>
      </c>
      <c r="H131" s="2">
        <v>62</v>
      </c>
    </row>
    <row r="132" spans="1:8" x14ac:dyDescent="0.3">
      <c r="A132">
        <v>130</v>
      </c>
      <c r="B132" s="2">
        <v>131</v>
      </c>
      <c r="C132" s="2">
        <v>0.2576</v>
      </c>
      <c r="D132" s="2">
        <v>0.38</v>
      </c>
      <c r="E132" s="2">
        <v>0.16420000000000001</v>
      </c>
      <c r="F132" s="2">
        <v>12</v>
      </c>
      <c r="G132" s="2">
        <v>74</v>
      </c>
      <c r="H132" s="2">
        <v>86</v>
      </c>
    </row>
    <row r="133" spans="1:8" x14ac:dyDescent="0.3">
      <c r="A133">
        <v>131</v>
      </c>
      <c r="B133" s="2">
        <v>132</v>
      </c>
      <c r="C133" s="2">
        <v>0.2273</v>
      </c>
      <c r="D133" s="2">
        <v>0.51</v>
      </c>
      <c r="E133" s="2">
        <v>0.16420000000000001</v>
      </c>
      <c r="F133" s="2">
        <v>9</v>
      </c>
      <c r="G133" s="2">
        <v>163</v>
      </c>
      <c r="H133" s="2">
        <v>172</v>
      </c>
    </row>
    <row r="134" spans="1:8" x14ac:dyDescent="0.3">
      <c r="A134">
        <v>132</v>
      </c>
      <c r="B134" s="2">
        <v>133</v>
      </c>
      <c r="C134" s="2">
        <v>0.2273</v>
      </c>
      <c r="D134" s="2">
        <v>0.51</v>
      </c>
      <c r="E134" s="2">
        <v>0.1343</v>
      </c>
      <c r="F134" s="2">
        <v>5</v>
      </c>
      <c r="G134" s="2">
        <v>158</v>
      </c>
      <c r="H134" s="2">
        <v>163</v>
      </c>
    </row>
    <row r="135" spans="1:8" x14ac:dyDescent="0.3">
      <c r="A135">
        <v>133</v>
      </c>
      <c r="B135" s="2">
        <v>134</v>
      </c>
      <c r="C135" s="2">
        <v>0.2576</v>
      </c>
      <c r="D135" s="2">
        <v>0.55000000000000004</v>
      </c>
      <c r="E135" s="2">
        <v>8.9599999999999999E-2</v>
      </c>
      <c r="F135" s="2">
        <v>3</v>
      </c>
      <c r="G135" s="2">
        <v>109</v>
      </c>
      <c r="H135" s="2">
        <v>112</v>
      </c>
    </row>
    <row r="136" spans="1:8" x14ac:dyDescent="0.3">
      <c r="A136">
        <v>134</v>
      </c>
      <c r="B136" s="2">
        <v>135</v>
      </c>
      <c r="C136" s="2">
        <v>0.21210000000000001</v>
      </c>
      <c r="D136" s="2">
        <v>0.51</v>
      </c>
      <c r="E136" s="2">
        <v>0.16420000000000001</v>
      </c>
      <c r="F136" s="2">
        <v>3</v>
      </c>
      <c r="G136" s="2">
        <v>66</v>
      </c>
      <c r="H136" s="2">
        <v>69</v>
      </c>
    </row>
    <row r="137" spans="1:8" x14ac:dyDescent="0.3">
      <c r="A137">
        <v>135</v>
      </c>
      <c r="B137" s="2">
        <v>136</v>
      </c>
      <c r="C137" s="2">
        <v>0.21210000000000001</v>
      </c>
      <c r="D137" s="2">
        <v>0.55000000000000004</v>
      </c>
      <c r="E137" s="2">
        <v>0.22389999999999999</v>
      </c>
      <c r="F137" s="2">
        <v>0</v>
      </c>
      <c r="G137" s="2">
        <v>48</v>
      </c>
      <c r="H137" s="2">
        <v>48</v>
      </c>
    </row>
    <row r="138" spans="1:8" x14ac:dyDescent="0.3">
      <c r="A138">
        <v>136</v>
      </c>
      <c r="B138" s="2">
        <v>137</v>
      </c>
      <c r="C138" s="2">
        <v>0.21210000000000001</v>
      </c>
      <c r="D138" s="2">
        <v>0.51</v>
      </c>
      <c r="E138" s="2">
        <v>0.28360000000000002</v>
      </c>
      <c r="F138" s="2">
        <v>1</v>
      </c>
      <c r="G138" s="2">
        <v>51</v>
      </c>
      <c r="H138" s="2">
        <v>52</v>
      </c>
    </row>
    <row r="139" spans="1:8" x14ac:dyDescent="0.3">
      <c r="A139">
        <v>137</v>
      </c>
      <c r="B139" s="2">
        <v>138</v>
      </c>
      <c r="C139" s="2">
        <v>0.19700000000000001</v>
      </c>
      <c r="D139" s="2">
        <v>0.59</v>
      </c>
      <c r="E139" s="2">
        <v>0.19400000000000001</v>
      </c>
      <c r="F139" s="2">
        <v>4</v>
      </c>
      <c r="G139" s="2">
        <v>19</v>
      </c>
      <c r="H139" s="2">
        <v>23</v>
      </c>
    </row>
    <row r="140" spans="1:8" x14ac:dyDescent="0.3">
      <c r="A140">
        <v>138</v>
      </c>
      <c r="B140" s="2">
        <v>139</v>
      </c>
      <c r="C140" s="2">
        <v>0.19700000000000001</v>
      </c>
      <c r="D140" s="2">
        <v>0.64</v>
      </c>
      <c r="E140" s="2">
        <v>0.19400000000000001</v>
      </c>
      <c r="F140" s="2">
        <v>4</v>
      </c>
      <c r="G140" s="2">
        <v>13</v>
      </c>
      <c r="H140" s="2">
        <v>17</v>
      </c>
    </row>
    <row r="141" spans="1:8" x14ac:dyDescent="0.3">
      <c r="A141">
        <v>139</v>
      </c>
      <c r="B141" s="2">
        <v>140</v>
      </c>
      <c r="C141" s="2">
        <v>0.19700000000000001</v>
      </c>
      <c r="D141" s="2">
        <v>0.69</v>
      </c>
      <c r="E141" s="2">
        <v>0.22389999999999999</v>
      </c>
      <c r="F141" s="2">
        <v>2</v>
      </c>
      <c r="G141" s="2">
        <v>5</v>
      </c>
      <c r="H141" s="2">
        <v>7</v>
      </c>
    </row>
    <row r="142" spans="1:8" x14ac:dyDescent="0.3">
      <c r="A142">
        <v>140</v>
      </c>
      <c r="B142" s="2">
        <v>141</v>
      </c>
      <c r="C142" s="2">
        <v>0.19700000000000001</v>
      </c>
      <c r="D142" s="2">
        <v>0.69</v>
      </c>
      <c r="E142" s="2">
        <v>0.22389999999999999</v>
      </c>
      <c r="F142" s="2">
        <v>0</v>
      </c>
      <c r="G142" s="2">
        <v>1</v>
      </c>
      <c r="H142" s="2">
        <v>1</v>
      </c>
    </row>
    <row r="143" spans="1:8" x14ac:dyDescent="0.3">
      <c r="A143">
        <v>141</v>
      </c>
      <c r="B143" s="2">
        <v>142</v>
      </c>
      <c r="C143" s="2">
        <v>0.21210000000000001</v>
      </c>
      <c r="D143" s="2">
        <v>0.69</v>
      </c>
      <c r="E143" s="2">
        <v>0.1343</v>
      </c>
      <c r="F143" s="2">
        <v>0</v>
      </c>
      <c r="G143" s="2">
        <v>1</v>
      </c>
      <c r="H143" s="2">
        <v>1</v>
      </c>
    </row>
    <row r="144" spans="1:8" x14ac:dyDescent="0.3">
      <c r="A144">
        <v>142</v>
      </c>
      <c r="B144" s="2">
        <v>143</v>
      </c>
      <c r="C144" s="2">
        <v>0.2727</v>
      </c>
      <c r="D144" s="2">
        <v>0.55000000000000004</v>
      </c>
      <c r="E144" s="2">
        <v>0</v>
      </c>
      <c r="F144" s="2">
        <v>0</v>
      </c>
      <c r="G144" s="2">
        <v>5</v>
      </c>
      <c r="H144" s="2">
        <v>5</v>
      </c>
    </row>
    <row r="145" spans="1:8" x14ac:dyDescent="0.3">
      <c r="A145">
        <v>143</v>
      </c>
      <c r="B145" s="2">
        <v>144</v>
      </c>
      <c r="C145" s="2">
        <v>0.2576</v>
      </c>
      <c r="D145" s="2">
        <v>0.69</v>
      </c>
      <c r="E145" s="2">
        <v>0</v>
      </c>
      <c r="F145" s="2">
        <v>8</v>
      </c>
      <c r="G145" s="2">
        <v>26</v>
      </c>
      <c r="H145" s="2">
        <v>34</v>
      </c>
    </row>
    <row r="146" spans="1:8" x14ac:dyDescent="0.3">
      <c r="A146">
        <v>144</v>
      </c>
      <c r="B146" s="2">
        <v>145</v>
      </c>
      <c r="C146" s="2">
        <v>0.21210000000000001</v>
      </c>
      <c r="D146" s="2">
        <v>0.69</v>
      </c>
      <c r="E146" s="2">
        <v>0.1343</v>
      </c>
      <c r="F146" s="2">
        <v>8</v>
      </c>
      <c r="G146" s="2">
        <v>76</v>
      </c>
      <c r="H146" s="2">
        <v>84</v>
      </c>
    </row>
    <row r="147" spans="1:8" x14ac:dyDescent="0.3">
      <c r="A147">
        <v>145</v>
      </c>
      <c r="B147" s="2">
        <v>146</v>
      </c>
      <c r="C147" s="2">
        <v>0.19700000000000001</v>
      </c>
      <c r="D147" s="2">
        <v>0.51</v>
      </c>
      <c r="E147" s="2">
        <v>0.25369999999999998</v>
      </c>
      <c r="F147" s="2">
        <v>20</v>
      </c>
      <c r="G147" s="2">
        <v>190</v>
      </c>
      <c r="H147" s="2">
        <v>210</v>
      </c>
    </row>
    <row r="148" spans="1:8" x14ac:dyDescent="0.3">
      <c r="A148">
        <v>146</v>
      </c>
      <c r="B148" s="2">
        <v>147</v>
      </c>
      <c r="C148" s="2">
        <v>0.18179999999999999</v>
      </c>
      <c r="D148" s="2">
        <v>0.47</v>
      </c>
      <c r="E148" s="2">
        <v>0.29849999999999999</v>
      </c>
      <c r="F148" s="2">
        <v>9</v>
      </c>
      <c r="G148" s="2">
        <v>125</v>
      </c>
      <c r="H148" s="2">
        <v>134</v>
      </c>
    </row>
    <row r="149" spans="1:8" x14ac:dyDescent="0.3">
      <c r="A149">
        <v>147</v>
      </c>
      <c r="B149" s="2">
        <v>148</v>
      </c>
      <c r="C149" s="2">
        <v>0.19700000000000001</v>
      </c>
      <c r="D149" s="2">
        <v>0.37</v>
      </c>
      <c r="E149" s="2">
        <v>0.32840000000000003</v>
      </c>
      <c r="F149" s="2">
        <v>16</v>
      </c>
      <c r="G149" s="2">
        <v>47</v>
      </c>
      <c r="H149" s="2">
        <v>63</v>
      </c>
    </row>
    <row r="150" spans="1:8" x14ac:dyDescent="0.3">
      <c r="A150">
        <v>148</v>
      </c>
      <c r="B150" s="2">
        <v>149</v>
      </c>
      <c r="C150" s="2">
        <v>0.19700000000000001</v>
      </c>
      <c r="D150" s="2">
        <v>0.4</v>
      </c>
      <c r="E150" s="2">
        <v>0.22389999999999999</v>
      </c>
      <c r="F150" s="2">
        <v>19</v>
      </c>
      <c r="G150" s="2">
        <v>48</v>
      </c>
      <c r="H150" s="2">
        <v>67</v>
      </c>
    </row>
    <row r="151" spans="1:8" x14ac:dyDescent="0.3">
      <c r="A151">
        <v>149</v>
      </c>
      <c r="B151" s="2">
        <v>150</v>
      </c>
      <c r="C151" s="2">
        <v>0.19700000000000001</v>
      </c>
      <c r="D151" s="2">
        <v>0.37</v>
      </c>
      <c r="E151" s="2">
        <v>0.25369999999999998</v>
      </c>
      <c r="F151" s="2">
        <v>9</v>
      </c>
      <c r="G151" s="2">
        <v>50</v>
      </c>
      <c r="H151" s="2">
        <v>59</v>
      </c>
    </row>
    <row r="152" spans="1:8" x14ac:dyDescent="0.3">
      <c r="A152">
        <v>150</v>
      </c>
      <c r="B152" s="2">
        <v>151</v>
      </c>
      <c r="C152" s="2">
        <v>0.18179999999999999</v>
      </c>
      <c r="D152" s="2">
        <v>0.37</v>
      </c>
      <c r="E152" s="2">
        <v>0.28360000000000002</v>
      </c>
      <c r="F152" s="2">
        <v>9</v>
      </c>
      <c r="G152" s="2">
        <v>64</v>
      </c>
      <c r="H152" s="2">
        <v>73</v>
      </c>
    </row>
    <row r="153" spans="1:8" x14ac:dyDescent="0.3">
      <c r="A153">
        <v>151</v>
      </c>
      <c r="B153" s="2">
        <v>152</v>
      </c>
      <c r="C153" s="2">
        <v>0.19700000000000001</v>
      </c>
      <c r="D153" s="2">
        <v>0.4</v>
      </c>
      <c r="E153" s="2">
        <v>0.25369999999999998</v>
      </c>
      <c r="F153" s="2">
        <v>7</v>
      </c>
      <c r="G153" s="2">
        <v>43</v>
      </c>
      <c r="H153" s="2">
        <v>50</v>
      </c>
    </row>
    <row r="154" spans="1:8" x14ac:dyDescent="0.3">
      <c r="A154">
        <v>152</v>
      </c>
      <c r="B154" s="2">
        <v>153</v>
      </c>
      <c r="C154" s="2">
        <v>0.21210000000000001</v>
      </c>
      <c r="D154" s="2">
        <v>0.37</v>
      </c>
      <c r="E154" s="2">
        <v>0.16420000000000001</v>
      </c>
      <c r="F154" s="2">
        <v>9</v>
      </c>
      <c r="G154" s="2">
        <v>63</v>
      </c>
      <c r="H154" s="2">
        <v>72</v>
      </c>
    </row>
    <row r="155" spans="1:8" x14ac:dyDescent="0.3">
      <c r="A155">
        <v>153</v>
      </c>
      <c r="B155" s="2">
        <v>154</v>
      </c>
      <c r="C155" s="2">
        <v>0.21210000000000001</v>
      </c>
      <c r="D155" s="2">
        <v>0.37</v>
      </c>
      <c r="E155" s="2">
        <v>0.16420000000000001</v>
      </c>
      <c r="F155" s="2">
        <v>5</v>
      </c>
      <c r="G155" s="2">
        <v>82</v>
      </c>
      <c r="H155" s="2">
        <v>87</v>
      </c>
    </row>
    <row r="156" spans="1:8" x14ac:dyDescent="0.3">
      <c r="A156">
        <v>154</v>
      </c>
      <c r="B156" s="2">
        <v>155</v>
      </c>
      <c r="C156" s="2">
        <v>0.2576</v>
      </c>
      <c r="D156" s="2">
        <v>0.37</v>
      </c>
      <c r="E156" s="2">
        <v>0</v>
      </c>
      <c r="F156" s="2">
        <v>9</v>
      </c>
      <c r="G156" s="2">
        <v>178</v>
      </c>
      <c r="H156" s="2">
        <v>187</v>
      </c>
    </row>
    <row r="157" spans="1:8" x14ac:dyDescent="0.3">
      <c r="A157">
        <v>155</v>
      </c>
      <c r="B157" s="2">
        <v>156</v>
      </c>
      <c r="C157" s="2">
        <v>0.2273</v>
      </c>
      <c r="D157" s="2">
        <v>0.4</v>
      </c>
      <c r="E157" s="2">
        <v>8.9599999999999999E-2</v>
      </c>
      <c r="F157" s="2">
        <v>7</v>
      </c>
      <c r="G157" s="2">
        <v>116</v>
      </c>
      <c r="H157" s="2">
        <v>123</v>
      </c>
    </row>
    <row r="158" spans="1:8" x14ac:dyDescent="0.3">
      <c r="A158">
        <v>156</v>
      </c>
      <c r="B158" s="2">
        <v>157</v>
      </c>
      <c r="C158" s="2">
        <v>0.19700000000000001</v>
      </c>
      <c r="D158" s="2">
        <v>0.55000000000000004</v>
      </c>
      <c r="E158" s="2">
        <v>8.9599999999999999E-2</v>
      </c>
      <c r="F158" s="2">
        <v>3</v>
      </c>
      <c r="G158" s="2">
        <v>92</v>
      </c>
      <c r="H158" s="2">
        <v>95</v>
      </c>
    </row>
    <row r="159" spans="1:8" x14ac:dyDescent="0.3">
      <c r="A159">
        <v>157</v>
      </c>
      <c r="B159" s="2">
        <v>158</v>
      </c>
      <c r="C159" s="2">
        <v>0.21210000000000001</v>
      </c>
      <c r="D159" s="2">
        <v>0.47</v>
      </c>
      <c r="E159" s="2">
        <v>0.1045</v>
      </c>
      <c r="F159" s="2">
        <v>1</v>
      </c>
      <c r="G159" s="2">
        <v>50</v>
      </c>
      <c r="H159" s="2">
        <v>51</v>
      </c>
    </row>
    <row r="160" spans="1:8" x14ac:dyDescent="0.3">
      <c r="A160">
        <v>158</v>
      </c>
      <c r="B160" s="2">
        <v>159</v>
      </c>
      <c r="C160" s="2">
        <v>0.19700000000000001</v>
      </c>
      <c r="D160" s="2">
        <v>0.47</v>
      </c>
      <c r="E160" s="2">
        <v>0.1343</v>
      </c>
      <c r="F160" s="2">
        <v>0</v>
      </c>
      <c r="G160" s="2">
        <v>39</v>
      </c>
      <c r="H160" s="2">
        <v>39</v>
      </c>
    </row>
    <row r="161" spans="1:8" x14ac:dyDescent="0.3">
      <c r="A161">
        <v>159</v>
      </c>
      <c r="B161" s="2">
        <v>160</v>
      </c>
      <c r="C161" s="2">
        <v>0.19700000000000001</v>
      </c>
      <c r="D161" s="2">
        <v>0.43</v>
      </c>
      <c r="E161" s="2">
        <v>0.16420000000000001</v>
      </c>
      <c r="F161" s="2">
        <v>2</v>
      </c>
      <c r="G161" s="2">
        <v>34</v>
      </c>
      <c r="H161" s="2">
        <v>36</v>
      </c>
    </row>
    <row r="162" spans="1:8" x14ac:dyDescent="0.3">
      <c r="A162">
        <v>160</v>
      </c>
      <c r="B162" s="2">
        <v>161</v>
      </c>
      <c r="C162" s="2">
        <v>0.19700000000000001</v>
      </c>
      <c r="D162" s="2">
        <v>0.51</v>
      </c>
      <c r="E162" s="2">
        <v>0.16420000000000001</v>
      </c>
      <c r="F162" s="2">
        <v>1</v>
      </c>
      <c r="G162" s="2">
        <v>14</v>
      </c>
      <c r="H162" s="2">
        <v>15</v>
      </c>
    </row>
    <row r="163" spans="1:8" x14ac:dyDescent="0.3">
      <c r="A163">
        <v>161</v>
      </c>
      <c r="B163" s="2">
        <v>162</v>
      </c>
      <c r="C163" s="2">
        <v>0.19700000000000001</v>
      </c>
      <c r="D163" s="2">
        <v>0.51</v>
      </c>
      <c r="E163" s="2">
        <v>0.16420000000000001</v>
      </c>
      <c r="F163" s="2">
        <v>1</v>
      </c>
      <c r="G163" s="2">
        <v>24</v>
      </c>
      <c r="H163" s="2">
        <v>25</v>
      </c>
    </row>
    <row r="164" spans="1:8" x14ac:dyDescent="0.3">
      <c r="A164">
        <v>162</v>
      </c>
      <c r="B164" s="2">
        <v>163</v>
      </c>
      <c r="C164" s="2">
        <v>0.21210000000000001</v>
      </c>
      <c r="D164" s="2">
        <v>0.55000000000000004</v>
      </c>
      <c r="E164" s="2">
        <v>8.9599999999999999E-2</v>
      </c>
      <c r="F164" s="2">
        <v>1</v>
      </c>
      <c r="G164" s="2">
        <v>15</v>
      </c>
      <c r="H164" s="2">
        <v>16</v>
      </c>
    </row>
    <row r="165" spans="1:8" x14ac:dyDescent="0.3">
      <c r="A165">
        <v>163</v>
      </c>
      <c r="B165" s="2">
        <v>164</v>
      </c>
      <c r="C165" s="2">
        <v>0.2424</v>
      </c>
      <c r="D165" s="2">
        <v>0.55000000000000004</v>
      </c>
      <c r="E165" s="2">
        <v>0</v>
      </c>
      <c r="F165" s="2">
        <v>3</v>
      </c>
      <c r="G165" s="2">
        <v>13</v>
      </c>
      <c r="H165" s="2">
        <v>16</v>
      </c>
    </row>
    <row r="166" spans="1:8" x14ac:dyDescent="0.3">
      <c r="A166">
        <v>164</v>
      </c>
      <c r="B166" s="2">
        <v>165</v>
      </c>
      <c r="C166" s="2">
        <v>0.19700000000000001</v>
      </c>
      <c r="D166" s="2">
        <v>0.55000000000000004</v>
      </c>
      <c r="E166" s="2">
        <v>0.16420000000000001</v>
      </c>
      <c r="F166" s="2">
        <v>0</v>
      </c>
      <c r="G166" s="2">
        <v>7</v>
      </c>
      <c r="H166" s="2">
        <v>7</v>
      </c>
    </row>
    <row r="167" spans="1:8" x14ac:dyDescent="0.3">
      <c r="A167">
        <v>165</v>
      </c>
      <c r="B167" s="2">
        <v>166</v>
      </c>
      <c r="C167" s="2">
        <v>0.19700000000000001</v>
      </c>
      <c r="D167" s="2">
        <v>0.55000000000000004</v>
      </c>
      <c r="E167" s="2">
        <v>0.16420000000000001</v>
      </c>
      <c r="F167" s="2">
        <v>0</v>
      </c>
      <c r="G167" s="2">
        <v>1</v>
      </c>
      <c r="H167" s="2">
        <v>1</v>
      </c>
    </row>
    <row r="168" spans="1:8" x14ac:dyDescent="0.3">
      <c r="A168">
        <v>166</v>
      </c>
      <c r="B168" s="2">
        <v>167</v>
      </c>
      <c r="C168" s="2">
        <v>0.16669999999999999</v>
      </c>
      <c r="D168" s="2">
        <v>0.74</v>
      </c>
      <c r="E168" s="2">
        <v>0.16420000000000001</v>
      </c>
      <c r="F168" s="2">
        <v>0</v>
      </c>
      <c r="G168" s="2">
        <v>5</v>
      </c>
      <c r="H168" s="2">
        <v>5</v>
      </c>
    </row>
    <row r="169" spans="1:8" x14ac:dyDescent="0.3">
      <c r="A169">
        <v>167</v>
      </c>
      <c r="B169" s="2">
        <v>168</v>
      </c>
      <c r="C169" s="2">
        <v>0.16669999999999999</v>
      </c>
      <c r="D169" s="2">
        <v>0.74</v>
      </c>
      <c r="E169" s="2">
        <v>0.16420000000000001</v>
      </c>
      <c r="F169" s="2">
        <v>0</v>
      </c>
      <c r="G169" s="2">
        <v>2</v>
      </c>
      <c r="H169" s="2">
        <v>2</v>
      </c>
    </row>
    <row r="170" spans="1:8" x14ac:dyDescent="0.3">
      <c r="A170">
        <v>168</v>
      </c>
      <c r="B170" s="2">
        <v>169</v>
      </c>
      <c r="C170" s="2">
        <v>0.18179999999999999</v>
      </c>
      <c r="D170" s="2">
        <v>0.74</v>
      </c>
      <c r="E170" s="2">
        <v>0.1045</v>
      </c>
      <c r="F170" s="2">
        <v>1</v>
      </c>
      <c r="G170" s="2">
        <v>8</v>
      </c>
      <c r="H170" s="2">
        <v>9</v>
      </c>
    </row>
    <row r="171" spans="1:8" x14ac:dyDescent="0.3">
      <c r="A171">
        <v>169</v>
      </c>
      <c r="B171" s="2">
        <v>170</v>
      </c>
      <c r="C171" s="2">
        <v>0.18179999999999999</v>
      </c>
      <c r="D171" s="2">
        <v>0.93</v>
      </c>
      <c r="E171" s="2">
        <v>0.1045</v>
      </c>
      <c r="F171" s="2">
        <v>0</v>
      </c>
      <c r="G171" s="2">
        <v>15</v>
      </c>
      <c r="H171" s="2">
        <v>15</v>
      </c>
    </row>
    <row r="172" spans="1:8" x14ac:dyDescent="0.3">
      <c r="A172">
        <v>170</v>
      </c>
      <c r="B172" s="2">
        <v>171</v>
      </c>
      <c r="C172" s="2">
        <v>0.18179999999999999</v>
      </c>
      <c r="D172" s="2">
        <v>0.93</v>
      </c>
      <c r="E172" s="2">
        <v>0.1045</v>
      </c>
      <c r="F172" s="2">
        <v>0</v>
      </c>
      <c r="G172" s="2">
        <v>20</v>
      </c>
      <c r="H172" s="2">
        <v>20</v>
      </c>
    </row>
    <row r="173" spans="1:8" x14ac:dyDescent="0.3">
      <c r="A173">
        <v>171</v>
      </c>
      <c r="B173" s="2">
        <v>172</v>
      </c>
      <c r="C173" s="2">
        <v>0.19700000000000001</v>
      </c>
      <c r="D173" s="2">
        <v>0.8</v>
      </c>
      <c r="E173" s="2">
        <v>0.16420000000000001</v>
      </c>
      <c r="F173" s="2">
        <v>5</v>
      </c>
      <c r="G173" s="2">
        <v>56</v>
      </c>
      <c r="H173" s="2">
        <v>61</v>
      </c>
    </row>
    <row r="174" spans="1:8" x14ac:dyDescent="0.3">
      <c r="A174">
        <v>172</v>
      </c>
      <c r="B174" s="2">
        <v>173</v>
      </c>
      <c r="C174" s="2">
        <v>0.18179999999999999</v>
      </c>
      <c r="D174" s="2">
        <v>0.69</v>
      </c>
      <c r="E174" s="2">
        <v>0.3881</v>
      </c>
      <c r="F174" s="2">
        <v>2</v>
      </c>
      <c r="G174" s="2">
        <v>60</v>
      </c>
      <c r="H174" s="2">
        <v>62</v>
      </c>
    </row>
    <row r="175" spans="1:8" x14ac:dyDescent="0.3">
      <c r="A175">
        <v>173</v>
      </c>
      <c r="B175" s="2">
        <v>174</v>
      </c>
      <c r="C175" s="2">
        <v>0.18179999999999999</v>
      </c>
      <c r="D175" s="2">
        <v>0.59</v>
      </c>
      <c r="E175" s="2">
        <v>0.35820000000000002</v>
      </c>
      <c r="F175" s="2">
        <v>8</v>
      </c>
      <c r="G175" s="2">
        <v>90</v>
      </c>
      <c r="H175" s="2">
        <v>98</v>
      </c>
    </row>
    <row r="176" spans="1:8" x14ac:dyDescent="0.3">
      <c r="A176">
        <v>174</v>
      </c>
      <c r="B176" s="2">
        <v>175</v>
      </c>
      <c r="C176" s="2">
        <v>0.18179999999999999</v>
      </c>
      <c r="D176" s="2">
        <v>0.44</v>
      </c>
      <c r="E176" s="2">
        <v>0.32840000000000003</v>
      </c>
      <c r="F176" s="2">
        <v>7</v>
      </c>
      <c r="G176" s="2">
        <v>95</v>
      </c>
      <c r="H176" s="2">
        <v>102</v>
      </c>
    </row>
    <row r="177" spans="1:8" x14ac:dyDescent="0.3">
      <c r="A177">
        <v>175</v>
      </c>
      <c r="B177" s="2">
        <v>176</v>
      </c>
      <c r="C177" s="2">
        <v>0.16669999999999999</v>
      </c>
      <c r="D177" s="2">
        <v>0.32</v>
      </c>
      <c r="E177" s="2">
        <v>0.49249999999999999</v>
      </c>
      <c r="F177" s="2">
        <v>12</v>
      </c>
      <c r="G177" s="2">
        <v>83</v>
      </c>
      <c r="H177" s="2">
        <v>95</v>
      </c>
    </row>
    <row r="178" spans="1:8" x14ac:dyDescent="0.3">
      <c r="A178">
        <v>176</v>
      </c>
      <c r="B178" s="2">
        <v>177</v>
      </c>
      <c r="C178" s="2">
        <v>0.16669999999999999</v>
      </c>
      <c r="D178" s="2">
        <v>0.32</v>
      </c>
      <c r="E178" s="2">
        <v>0.44779999999999998</v>
      </c>
      <c r="F178" s="2">
        <v>5</v>
      </c>
      <c r="G178" s="2">
        <v>69</v>
      </c>
      <c r="H178" s="2">
        <v>74</v>
      </c>
    </row>
    <row r="179" spans="1:8" x14ac:dyDescent="0.3">
      <c r="A179">
        <v>177</v>
      </c>
      <c r="B179" s="2">
        <v>178</v>
      </c>
      <c r="C179" s="2">
        <v>0.13639999999999999</v>
      </c>
      <c r="D179" s="2">
        <v>0.28999999999999998</v>
      </c>
      <c r="E179" s="2">
        <v>0.44779999999999998</v>
      </c>
      <c r="F179" s="2">
        <v>8</v>
      </c>
      <c r="G179" s="2">
        <v>68</v>
      </c>
      <c r="H179" s="2">
        <v>76</v>
      </c>
    </row>
    <row r="180" spans="1:8" x14ac:dyDescent="0.3">
      <c r="A180">
        <v>178</v>
      </c>
      <c r="B180" s="2">
        <v>179</v>
      </c>
      <c r="C180" s="2">
        <v>0.1212</v>
      </c>
      <c r="D180" s="2">
        <v>0.37</v>
      </c>
      <c r="E180" s="2">
        <v>0.55220000000000002</v>
      </c>
      <c r="F180" s="2">
        <v>5</v>
      </c>
      <c r="G180" s="2">
        <v>64</v>
      </c>
      <c r="H180" s="2">
        <v>69</v>
      </c>
    </row>
    <row r="181" spans="1:8" x14ac:dyDescent="0.3">
      <c r="A181">
        <v>179</v>
      </c>
      <c r="B181" s="2">
        <v>180</v>
      </c>
      <c r="C181" s="2">
        <v>0.1212</v>
      </c>
      <c r="D181" s="2">
        <v>0.39</v>
      </c>
      <c r="E181" s="2">
        <v>0.29849999999999999</v>
      </c>
      <c r="F181" s="2">
        <v>3</v>
      </c>
      <c r="G181" s="2">
        <v>52</v>
      </c>
      <c r="H181" s="2">
        <v>55</v>
      </c>
    </row>
    <row r="182" spans="1:8" x14ac:dyDescent="0.3">
      <c r="A182">
        <v>180</v>
      </c>
      <c r="B182" s="2">
        <v>181</v>
      </c>
      <c r="C182" s="2">
        <v>0.1212</v>
      </c>
      <c r="D182" s="2">
        <v>0.36</v>
      </c>
      <c r="E182" s="2">
        <v>0.25369999999999998</v>
      </c>
      <c r="F182" s="2">
        <v>4</v>
      </c>
      <c r="G182" s="2">
        <v>26</v>
      </c>
      <c r="H182" s="2">
        <v>30</v>
      </c>
    </row>
    <row r="183" spans="1:8" x14ac:dyDescent="0.3">
      <c r="A183">
        <v>181</v>
      </c>
      <c r="B183" s="2">
        <v>182</v>
      </c>
      <c r="C183" s="2">
        <v>0.1212</v>
      </c>
      <c r="D183" s="2">
        <v>0.36</v>
      </c>
      <c r="E183" s="2">
        <v>0.25369999999999998</v>
      </c>
      <c r="F183" s="2">
        <v>0</v>
      </c>
      <c r="G183" s="2">
        <v>28</v>
      </c>
      <c r="H183" s="2">
        <v>28</v>
      </c>
    </row>
    <row r="184" spans="1:8" x14ac:dyDescent="0.3">
      <c r="A184">
        <v>182</v>
      </c>
      <c r="B184" s="2">
        <v>183</v>
      </c>
      <c r="C184" s="2">
        <v>0.1061</v>
      </c>
      <c r="D184" s="2">
        <v>0.39</v>
      </c>
      <c r="E184" s="2">
        <v>0.35820000000000002</v>
      </c>
      <c r="F184" s="2">
        <v>2</v>
      </c>
      <c r="G184" s="2">
        <v>35</v>
      </c>
      <c r="H184" s="2">
        <v>37</v>
      </c>
    </row>
    <row r="185" spans="1:8" x14ac:dyDescent="0.3">
      <c r="A185">
        <v>183</v>
      </c>
      <c r="B185" s="2">
        <v>184</v>
      </c>
      <c r="C185" s="2">
        <v>0.1061</v>
      </c>
      <c r="D185" s="2">
        <v>0.36</v>
      </c>
      <c r="E185" s="2">
        <v>0.3881</v>
      </c>
      <c r="F185" s="2">
        <v>1</v>
      </c>
      <c r="G185" s="2">
        <v>33</v>
      </c>
      <c r="H185" s="2">
        <v>34</v>
      </c>
    </row>
    <row r="186" spans="1:8" x14ac:dyDescent="0.3">
      <c r="A186">
        <v>184</v>
      </c>
      <c r="B186" s="2">
        <v>185</v>
      </c>
      <c r="C186" s="2">
        <v>6.0600000000000001E-2</v>
      </c>
      <c r="D186" s="2">
        <v>0.39</v>
      </c>
      <c r="E186" s="2">
        <v>0.44779999999999998</v>
      </c>
      <c r="F186" s="2">
        <v>0</v>
      </c>
      <c r="G186" s="2">
        <v>22</v>
      </c>
      <c r="H186" s="2">
        <v>22</v>
      </c>
    </row>
    <row r="187" spans="1:8" x14ac:dyDescent="0.3">
      <c r="A187">
        <v>185</v>
      </c>
      <c r="B187" s="2">
        <v>186</v>
      </c>
      <c r="C187" s="2">
        <v>7.5800000000000006E-2</v>
      </c>
      <c r="D187" s="2">
        <v>0.42</v>
      </c>
      <c r="E187" s="2">
        <v>0.3881</v>
      </c>
      <c r="F187" s="2">
        <v>1</v>
      </c>
      <c r="G187" s="2">
        <v>24</v>
      </c>
      <c r="H187" s="2">
        <v>25</v>
      </c>
    </row>
    <row r="188" spans="1:8" x14ac:dyDescent="0.3">
      <c r="A188">
        <v>186</v>
      </c>
      <c r="B188" s="2">
        <v>187</v>
      </c>
      <c r="C188" s="2">
        <v>6.0600000000000001E-2</v>
      </c>
      <c r="D188" s="2">
        <v>0.42</v>
      </c>
      <c r="E188" s="2">
        <v>0.4627</v>
      </c>
      <c r="F188" s="2">
        <v>0</v>
      </c>
      <c r="G188" s="2">
        <v>12</v>
      </c>
      <c r="H188" s="2">
        <v>12</v>
      </c>
    </row>
    <row r="189" spans="1:8" x14ac:dyDescent="0.3">
      <c r="A189">
        <v>187</v>
      </c>
      <c r="B189" s="2">
        <v>188</v>
      </c>
      <c r="C189" s="2">
        <v>6.0600000000000001E-2</v>
      </c>
      <c r="D189" s="2">
        <v>0.46</v>
      </c>
      <c r="E189" s="2">
        <v>0.4627</v>
      </c>
      <c r="F189" s="2">
        <v>0</v>
      </c>
      <c r="G189" s="2">
        <v>11</v>
      </c>
      <c r="H189" s="2">
        <v>11</v>
      </c>
    </row>
    <row r="190" spans="1:8" x14ac:dyDescent="0.3">
      <c r="A190">
        <v>188</v>
      </c>
      <c r="B190" s="2">
        <v>189</v>
      </c>
      <c r="C190" s="2">
        <v>7.5800000000000006E-2</v>
      </c>
      <c r="D190" s="2">
        <v>0.46</v>
      </c>
      <c r="E190" s="2">
        <v>0.41789999999999999</v>
      </c>
      <c r="F190" s="2">
        <v>0</v>
      </c>
      <c r="G190" s="2">
        <v>4</v>
      </c>
      <c r="H190" s="2">
        <v>4</v>
      </c>
    </row>
    <row r="191" spans="1:8" x14ac:dyDescent="0.3">
      <c r="A191">
        <v>189</v>
      </c>
      <c r="B191" s="2">
        <v>190</v>
      </c>
      <c r="C191" s="2">
        <v>9.0899999999999995E-2</v>
      </c>
      <c r="D191" s="2">
        <v>0.53</v>
      </c>
      <c r="E191" s="2">
        <v>0.19400000000000001</v>
      </c>
      <c r="F191" s="2">
        <v>0</v>
      </c>
      <c r="G191" s="2">
        <v>1</v>
      </c>
      <c r="H191" s="2">
        <v>1</v>
      </c>
    </row>
    <row r="192" spans="1:8" x14ac:dyDescent="0.3">
      <c r="A192">
        <v>190</v>
      </c>
      <c r="B192" s="2">
        <v>191</v>
      </c>
      <c r="C192" s="2">
        <v>9.0899999999999995E-2</v>
      </c>
      <c r="D192" s="2">
        <v>0.53</v>
      </c>
      <c r="E192" s="2">
        <v>0.19400000000000001</v>
      </c>
      <c r="F192" s="2">
        <v>0</v>
      </c>
      <c r="G192" s="2">
        <v>1</v>
      </c>
      <c r="H192" s="2">
        <v>1</v>
      </c>
    </row>
    <row r="193" spans="1:8" x14ac:dyDescent="0.3">
      <c r="A193">
        <v>191</v>
      </c>
      <c r="B193" s="2">
        <v>192</v>
      </c>
      <c r="C193" s="2">
        <v>9.0899999999999995E-2</v>
      </c>
      <c r="D193" s="2">
        <v>0.49</v>
      </c>
      <c r="E193" s="2">
        <v>0.28360000000000002</v>
      </c>
      <c r="F193" s="2">
        <v>0</v>
      </c>
      <c r="G193" s="2">
        <v>1</v>
      </c>
      <c r="H193" s="2">
        <v>1</v>
      </c>
    </row>
    <row r="194" spans="1:8" x14ac:dyDescent="0.3">
      <c r="A194">
        <v>192</v>
      </c>
      <c r="B194" s="2">
        <v>193</v>
      </c>
      <c r="C194" s="2">
        <v>9.0899999999999995E-2</v>
      </c>
      <c r="D194" s="2">
        <v>0.53</v>
      </c>
      <c r="E194" s="2">
        <v>0.19400000000000001</v>
      </c>
      <c r="F194" s="2">
        <v>1</v>
      </c>
      <c r="G194" s="2">
        <v>5</v>
      </c>
      <c r="H194" s="2">
        <v>6</v>
      </c>
    </row>
    <row r="195" spans="1:8" x14ac:dyDescent="0.3">
      <c r="A195">
        <v>193</v>
      </c>
      <c r="B195" s="2">
        <v>194</v>
      </c>
      <c r="C195" s="2">
        <v>9.0899999999999995E-2</v>
      </c>
      <c r="D195" s="2">
        <v>0.49</v>
      </c>
      <c r="E195" s="2">
        <v>0.28360000000000002</v>
      </c>
      <c r="F195" s="2">
        <v>0</v>
      </c>
      <c r="G195" s="2">
        <v>10</v>
      </c>
      <c r="H195" s="2">
        <v>10</v>
      </c>
    </row>
    <row r="196" spans="1:8" x14ac:dyDescent="0.3">
      <c r="A196">
        <v>194</v>
      </c>
      <c r="B196" s="2">
        <v>195</v>
      </c>
      <c r="C196" s="2">
        <v>7.5800000000000006E-2</v>
      </c>
      <c r="D196" s="2">
        <v>0.46</v>
      </c>
      <c r="E196" s="2">
        <v>0.52239999999999998</v>
      </c>
      <c r="F196" s="2">
        <v>0</v>
      </c>
      <c r="G196" s="2">
        <v>19</v>
      </c>
      <c r="H196" s="2">
        <v>19</v>
      </c>
    </row>
    <row r="197" spans="1:8" x14ac:dyDescent="0.3">
      <c r="A197">
        <v>195</v>
      </c>
      <c r="B197" s="2">
        <v>196</v>
      </c>
      <c r="C197" s="2">
        <v>0.1061</v>
      </c>
      <c r="D197" s="2">
        <v>0.43</v>
      </c>
      <c r="E197" s="2">
        <v>0.3881</v>
      </c>
      <c r="F197" s="2">
        <v>0</v>
      </c>
      <c r="G197" s="2">
        <v>49</v>
      </c>
      <c r="H197" s="2">
        <v>49</v>
      </c>
    </row>
    <row r="198" spans="1:8" x14ac:dyDescent="0.3">
      <c r="A198">
        <v>196</v>
      </c>
      <c r="B198" s="2">
        <v>197</v>
      </c>
      <c r="C198" s="2">
        <v>0.1212</v>
      </c>
      <c r="D198" s="2">
        <v>0.4</v>
      </c>
      <c r="E198" s="2">
        <v>0.52239999999999998</v>
      </c>
      <c r="F198" s="2">
        <v>2</v>
      </c>
      <c r="G198" s="2">
        <v>47</v>
      </c>
      <c r="H198" s="2">
        <v>49</v>
      </c>
    </row>
    <row r="199" spans="1:8" x14ac:dyDescent="0.3">
      <c r="A199">
        <v>197</v>
      </c>
      <c r="B199" s="2">
        <v>198</v>
      </c>
      <c r="C199" s="2">
        <v>0.13639999999999999</v>
      </c>
      <c r="D199" s="2">
        <v>0.37</v>
      </c>
      <c r="E199" s="2">
        <v>0.44779999999999998</v>
      </c>
      <c r="F199" s="2">
        <v>4</v>
      </c>
      <c r="G199" s="2">
        <v>79</v>
      </c>
      <c r="H199" s="2">
        <v>83</v>
      </c>
    </row>
    <row r="200" spans="1:8" x14ac:dyDescent="0.3">
      <c r="A200">
        <v>198</v>
      </c>
      <c r="B200" s="2">
        <v>199</v>
      </c>
      <c r="C200" s="2">
        <v>0.16669999999999999</v>
      </c>
      <c r="D200" s="2">
        <v>0.34</v>
      </c>
      <c r="E200" s="2">
        <v>0.44779999999999998</v>
      </c>
      <c r="F200" s="2">
        <v>6</v>
      </c>
      <c r="G200" s="2">
        <v>69</v>
      </c>
      <c r="H200" s="2">
        <v>75</v>
      </c>
    </row>
    <row r="201" spans="1:8" x14ac:dyDescent="0.3">
      <c r="A201">
        <v>199</v>
      </c>
      <c r="B201" s="2">
        <v>200</v>
      </c>
      <c r="C201" s="2">
        <v>0.18179999999999999</v>
      </c>
      <c r="D201" s="2">
        <v>0.32</v>
      </c>
      <c r="E201" s="2">
        <v>0.4627</v>
      </c>
      <c r="F201" s="2">
        <v>8</v>
      </c>
      <c r="G201" s="2">
        <v>64</v>
      </c>
      <c r="H201" s="2">
        <v>72</v>
      </c>
    </row>
    <row r="202" spans="1:8" x14ac:dyDescent="0.3">
      <c r="A202">
        <v>200</v>
      </c>
      <c r="B202" s="2">
        <v>201</v>
      </c>
      <c r="C202" s="2">
        <v>0.19700000000000001</v>
      </c>
      <c r="D202" s="2">
        <v>0.35</v>
      </c>
      <c r="E202" s="2">
        <v>0.35820000000000002</v>
      </c>
      <c r="F202" s="2">
        <v>5</v>
      </c>
      <c r="G202" s="2">
        <v>77</v>
      </c>
      <c r="H202" s="2">
        <v>82</v>
      </c>
    </row>
    <row r="203" spans="1:8" x14ac:dyDescent="0.3">
      <c r="A203">
        <v>201</v>
      </c>
      <c r="B203" s="2">
        <v>202</v>
      </c>
      <c r="C203" s="2">
        <v>0.16669999999999999</v>
      </c>
      <c r="D203" s="2">
        <v>0.34</v>
      </c>
      <c r="E203" s="2">
        <v>0.44779999999999998</v>
      </c>
      <c r="F203" s="2">
        <v>13</v>
      </c>
      <c r="G203" s="2">
        <v>79</v>
      </c>
      <c r="H203" s="2">
        <v>92</v>
      </c>
    </row>
    <row r="204" spans="1:8" x14ac:dyDescent="0.3">
      <c r="A204">
        <v>202</v>
      </c>
      <c r="B204" s="2">
        <v>203</v>
      </c>
      <c r="C204" s="2">
        <v>0.1515</v>
      </c>
      <c r="D204" s="2">
        <v>0.37</v>
      </c>
      <c r="E204" s="2">
        <v>0.3881</v>
      </c>
      <c r="F204" s="2">
        <v>3</v>
      </c>
      <c r="G204" s="2">
        <v>59</v>
      </c>
      <c r="H204" s="2">
        <v>62</v>
      </c>
    </row>
    <row r="205" spans="1:8" x14ac:dyDescent="0.3">
      <c r="A205">
        <v>203</v>
      </c>
      <c r="B205" s="2">
        <v>204</v>
      </c>
      <c r="C205" s="2">
        <v>0.13639999999999999</v>
      </c>
      <c r="D205" s="2">
        <v>0.4</v>
      </c>
      <c r="E205" s="2">
        <v>0.32840000000000003</v>
      </c>
      <c r="F205" s="2">
        <v>4</v>
      </c>
      <c r="G205" s="2">
        <v>44</v>
      </c>
      <c r="H205" s="2">
        <v>48</v>
      </c>
    </row>
    <row r="206" spans="1:8" x14ac:dyDescent="0.3">
      <c r="A206">
        <v>204</v>
      </c>
      <c r="B206" s="2">
        <v>205</v>
      </c>
      <c r="C206" s="2">
        <v>0.13639999999999999</v>
      </c>
      <c r="D206" s="2">
        <v>0.43</v>
      </c>
      <c r="E206" s="2">
        <v>0.32840000000000003</v>
      </c>
      <c r="F206" s="2">
        <v>1</v>
      </c>
      <c r="G206" s="2">
        <v>40</v>
      </c>
      <c r="H206" s="2">
        <v>41</v>
      </c>
    </row>
    <row r="207" spans="1:8" x14ac:dyDescent="0.3">
      <c r="A207">
        <v>205</v>
      </c>
      <c r="B207" s="2">
        <v>206</v>
      </c>
      <c r="C207" s="2">
        <v>0.1212</v>
      </c>
      <c r="D207" s="2">
        <v>0.46</v>
      </c>
      <c r="E207" s="2">
        <v>0.25369999999999998</v>
      </c>
      <c r="F207" s="2">
        <v>0</v>
      </c>
      <c r="G207" s="2">
        <v>38</v>
      </c>
      <c r="H207" s="2">
        <v>38</v>
      </c>
    </row>
    <row r="208" spans="1:8" x14ac:dyDescent="0.3">
      <c r="A208">
        <v>206</v>
      </c>
      <c r="B208" s="2">
        <v>207</v>
      </c>
      <c r="C208" s="2">
        <v>0.1061</v>
      </c>
      <c r="D208" s="2">
        <v>0.46</v>
      </c>
      <c r="E208" s="2">
        <v>0.41789999999999999</v>
      </c>
      <c r="F208" s="2">
        <v>1</v>
      </c>
      <c r="G208" s="2">
        <v>19</v>
      </c>
      <c r="H208" s="2">
        <v>20</v>
      </c>
    </row>
    <row r="209" spans="1:8" x14ac:dyDescent="0.3">
      <c r="A209">
        <v>207</v>
      </c>
      <c r="B209" s="2">
        <v>208</v>
      </c>
      <c r="C209" s="2">
        <v>0.1212</v>
      </c>
      <c r="D209" s="2">
        <v>0.46</v>
      </c>
      <c r="E209" s="2">
        <v>0.29849999999999999</v>
      </c>
      <c r="F209" s="2">
        <v>5</v>
      </c>
      <c r="G209" s="2">
        <v>10</v>
      </c>
      <c r="H209" s="2">
        <v>15</v>
      </c>
    </row>
    <row r="210" spans="1:8" x14ac:dyDescent="0.3">
      <c r="A210">
        <v>208</v>
      </c>
      <c r="B210" s="2">
        <v>209</v>
      </c>
      <c r="C210" s="2">
        <v>0.13639999999999999</v>
      </c>
      <c r="D210" s="2">
        <v>0.5</v>
      </c>
      <c r="E210" s="2">
        <v>0.19400000000000001</v>
      </c>
      <c r="F210" s="2">
        <v>0</v>
      </c>
      <c r="G210" s="2">
        <v>6</v>
      </c>
      <c r="H210" s="2">
        <v>6</v>
      </c>
    </row>
    <row r="211" spans="1:8" x14ac:dyDescent="0.3">
      <c r="A211">
        <v>209</v>
      </c>
      <c r="B211" s="2">
        <v>210</v>
      </c>
      <c r="C211" s="2">
        <v>0.1212</v>
      </c>
      <c r="D211" s="2">
        <v>0.5</v>
      </c>
      <c r="E211" s="2">
        <v>0.28360000000000002</v>
      </c>
      <c r="F211" s="2">
        <v>2</v>
      </c>
      <c r="G211" s="2">
        <v>3</v>
      </c>
      <c r="H211" s="2">
        <v>5</v>
      </c>
    </row>
    <row r="212" spans="1:8" x14ac:dyDescent="0.3">
      <c r="A212">
        <v>210</v>
      </c>
      <c r="B212" s="2">
        <v>211</v>
      </c>
      <c r="C212" s="2">
        <v>0.1212</v>
      </c>
      <c r="D212" s="2">
        <v>0.5</v>
      </c>
      <c r="E212" s="2">
        <v>0.28360000000000002</v>
      </c>
      <c r="F212" s="2">
        <v>1</v>
      </c>
      <c r="G212" s="2">
        <v>0</v>
      </c>
      <c r="H212" s="2">
        <v>1</v>
      </c>
    </row>
    <row r="213" spans="1:8" x14ac:dyDescent="0.3">
      <c r="A213">
        <v>211</v>
      </c>
      <c r="B213" s="2">
        <v>212</v>
      </c>
      <c r="C213" s="2">
        <v>0.1212</v>
      </c>
      <c r="D213" s="2">
        <v>0.5</v>
      </c>
      <c r="E213" s="2">
        <v>0.22389999999999999</v>
      </c>
      <c r="F213" s="2">
        <v>0</v>
      </c>
      <c r="G213" s="2">
        <v>3</v>
      </c>
      <c r="H213" s="2">
        <v>3</v>
      </c>
    </row>
    <row r="214" spans="1:8" x14ac:dyDescent="0.3">
      <c r="A214">
        <v>212</v>
      </c>
      <c r="B214" s="2">
        <v>213</v>
      </c>
      <c r="C214" s="2">
        <v>0.1212</v>
      </c>
      <c r="D214" s="2">
        <v>0.5</v>
      </c>
      <c r="E214" s="2">
        <v>0.22389999999999999</v>
      </c>
      <c r="F214" s="2">
        <v>0</v>
      </c>
      <c r="G214" s="2">
        <v>1</v>
      </c>
      <c r="H214" s="2">
        <v>1</v>
      </c>
    </row>
    <row r="215" spans="1:8" x14ac:dyDescent="0.3">
      <c r="A215">
        <v>213</v>
      </c>
      <c r="B215" s="2">
        <v>214</v>
      </c>
      <c r="C215" s="2">
        <v>0.1212</v>
      </c>
      <c r="D215" s="2">
        <v>0.54</v>
      </c>
      <c r="E215" s="2">
        <v>0.1343</v>
      </c>
      <c r="F215" s="2">
        <v>1</v>
      </c>
      <c r="G215" s="2">
        <v>2</v>
      </c>
      <c r="H215" s="2">
        <v>3</v>
      </c>
    </row>
    <row r="216" spans="1:8" x14ac:dyDescent="0.3">
      <c r="A216">
        <v>214</v>
      </c>
      <c r="B216" s="2">
        <v>215</v>
      </c>
      <c r="C216" s="2">
        <v>0.1061</v>
      </c>
      <c r="D216" s="2">
        <v>0.54</v>
      </c>
      <c r="E216" s="2">
        <v>0.25369999999999998</v>
      </c>
      <c r="F216" s="2">
        <v>0</v>
      </c>
      <c r="G216" s="2">
        <v>3</v>
      </c>
      <c r="H216" s="2">
        <v>3</v>
      </c>
    </row>
    <row r="217" spans="1:8" x14ac:dyDescent="0.3">
      <c r="A217">
        <v>215</v>
      </c>
      <c r="B217" s="2">
        <v>216</v>
      </c>
      <c r="C217" s="2">
        <v>0.1212</v>
      </c>
      <c r="D217" s="2">
        <v>0.5</v>
      </c>
      <c r="E217" s="2">
        <v>0.28360000000000002</v>
      </c>
      <c r="F217" s="2">
        <v>0</v>
      </c>
      <c r="G217" s="2">
        <v>31</v>
      </c>
      <c r="H217" s="2">
        <v>31</v>
      </c>
    </row>
    <row r="218" spans="1:8" x14ac:dyDescent="0.3">
      <c r="A218">
        <v>216</v>
      </c>
      <c r="B218" s="2">
        <v>217</v>
      </c>
      <c r="C218" s="2">
        <v>0.1212</v>
      </c>
      <c r="D218" s="2">
        <v>0.5</v>
      </c>
      <c r="E218" s="2">
        <v>0.22389999999999999</v>
      </c>
      <c r="F218" s="2">
        <v>2</v>
      </c>
      <c r="G218" s="2">
        <v>75</v>
      </c>
      <c r="H218" s="2">
        <v>77</v>
      </c>
    </row>
    <row r="219" spans="1:8" x14ac:dyDescent="0.3">
      <c r="A219">
        <v>217</v>
      </c>
      <c r="B219" s="2">
        <v>218</v>
      </c>
      <c r="C219" s="2">
        <v>0.1212</v>
      </c>
      <c r="D219" s="2">
        <v>0.5</v>
      </c>
      <c r="E219" s="2">
        <v>0.28360000000000002</v>
      </c>
      <c r="F219" s="2">
        <v>4</v>
      </c>
      <c r="G219" s="2">
        <v>184</v>
      </c>
      <c r="H219" s="2">
        <v>188</v>
      </c>
    </row>
    <row r="220" spans="1:8" x14ac:dyDescent="0.3">
      <c r="A220">
        <v>218</v>
      </c>
      <c r="B220" s="2">
        <v>219</v>
      </c>
      <c r="C220" s="2">
        <v>0.1212</v>
      </c>
      <c r="D220" s="2">
        <v>0.5</v>
      </c>
      <c r="E220" s="2">
        <v>0.25369999999999998</v>
      </c>
      <c r="F220" s="2">
        <v>2</v>
      </c>
      <c r="G220" s="2">
        <v>92</v>
      </c>
      <c r="H220" s="2">
        <v>94</v>
      </c>
    </row>
    <row r="221" spans="1:8" x14ac:dyDescent="0.3">
      <c r="A221">
        <v>219</v>
      </c>
      <c r="B221" s="2">
        <v>220</v>
      </c>
      <c r="C221" s="2">
        <v>0.1212</v>
      </c>
      <c r="D221" s="2">
        <v>0.5</v>
      </c>
      <c r="E221" s="2">
        <v>0.29849999999999999</v>
      </c>
      <c r="F221" s="2">
        <v>0</v>
      </c>
      <c r="G221" s="2">
        <v>31</v>
      </c>
      <c r="H221" s="2">
        <v>31</v>
      </c>
    </row>
    <row r="222" spans="1:8" x14ac:dyDescent="0.3">
      <c r="A222">
        <v>220</v>
      </c>
      <c r="B222" s="2">
        <v>221</v>
      </c>
      <c r="C222" s="2">
        <v>0.13639999999999999</v>
      </c>
      <c r="D222" s="2">
        <v>0.47</v>
      </c>
      <c r="E222" s="2">
        <v>0.28360000000000002</v>
      </c>
      <c r="F222" s="2">
        <v>2</v>
      </c>
      <c r="G222" s="2">
        <v>28</v>
      </c>
      <c r="H222" s="2">
        <v>30</v>
      </c>
    </row>
    <row r="223" spans="1:8" x14ac:dyDescent="0.3">
      <c r="A223">
        <v>221</v>
      </c>
      <c r="B223" s="2">
        <v>222</v>
      </c>
      <c r="C223" s="2">
        <v>0.18179999999999999</v>
      </c>
      <c r="D223" s="2">
        <v>0.4</v>
      </c>
      <c r="E223" s="2">
        <v>0.28360000000000002</v>
      </c>
      <c r="F223" s="2">
        <v>5</v>
      </c>
      <c r="G223" s="2">
        <v>47</v>
      </c>
      <c r="H223" s="2">
        <v>52</v>
      </c>
    </row>
    <row r="224" spans="1:8" x14ac:dyDescent="0.3">
      <c r="A224">
        <v>222</v>
      </c>
      <c r="B224" s="2">
        <v>223</v>
      </c>
      <c r="C224" s="2">
        <v>0.18179999999999999</v>
      </c>
      <c r="D224" s="2">
        <v>0.4</v>
      </c>
      <c r="E224" s="2">
        <v>0.28360000000000002</v>
      </c>
      <c r="F224" s="2">
        <v>4</v>
      </c>
      <c r="G224" s="2">
        <v>50</v>
      </c>
      <c r="H224" s="2">
        <v>54</v>
      </c>
    </row>
    <row r="225" spans="1:8" x14ac:dyDescent="0.3">
      <c r="A225">
        <v>223</v>
      </c>
      <c r="B225" s="2">
        <v>224</v>
      </c>
      <c r="C225" s="2">
        <v>0.19700000000000001</v>
      </c>
      <c r="D225" s="2">
        <v>0.4</v>
      </c>
      <c r="E225" s="2">
        <v>0.22389999999999999</v>
      </c>
      <c r="F225" s="2">
        <v>0</v>
      </c>
      <c r="G225" s="2">
        <v>47</v>
      </c>
      <c r="H225" s="2">
        <v>47</v>
      </c>
    </row>
    <row r="226" spans="1:8" x14ac:dyDescent="0.3">
      <c r="A226">
        <v>224</v>
      </c>
      <c r="B226" s="2">
        <v>225</v>
      </c>
      <c r="C226" s="2">
        <v>0.19700000000000001</v>
      </c>
      <c r="D226" s="2">
        <v>0.4</v>
      </c>
      <c r="E226" s="2">
        <v>0.22389999999999999</v>
      </c>
      <c r="F226" s="2">
        <v>2</v>
      </c>
      <c r="G226" s="2">
        <v>43</v>
      </c>
      <c r="H226" s="2">
        <v>45</v>
      </c>
    </row>
    <row r="227" spans="1:8" x14ac:dyDescent="0.3">
      <c r="A227">
        <v>225</v>
      </c>
      <c r="B227" s="2">
        <v>226</v>
      </c>
      <c r="C227" s="2">
        <v>0.21210000000000001</v>
      </c>
      <c r="D227" s="2">
        <v>0.4</v>
      </c>
      <c r="E227" s="2">
        <v>0.1343</v>
      </c>
      <c r="F227" s="2">
        <v>4</v>
      </c>
      <c r="G227" s="2">
        <v>70</v>
      </c>
      <c r="H227" s="2">
        <v>74</v>
      </c>
    </row>
    <row r="228" spans="1:8" x14ac:dyDescent="0.3">
      <c r="A228">
        <v>226</v>
      </c>
      <c r="B228" s="2">
        <v>227</v>
      </c>
      <c r="C228" s="2">
        <v>0.2273</v>
      </c>
      <c r="D228" s="2">
        <v>0.4</v>
      </c>
      <c r="E228" s="2">
        <v>0.1045</v>
      </c>
      <c r="F228" s="2">
        <v>4</v>
      </c>
      <c r="G228" s="2">
        <v>174</v>
      </c>
      <c r="H228" s="2">
        <v>178</v>
      </c>
    </row>
    <row r="229" spans="1:8" x14ac:dyDescent="0.3">
      <c r="A229">
        <v>227</v>
      </c>
      <c r="B229" s="2">
        <v>228</v>
      </c>
      <c r="C229" s="2">
        <v>0.19700000000000001</v>
      </c>
      <c r="D229" s="2">
        <v>0.4</v>
      </c>
      <c r="E229" s="2">
        <v>0.22389999999999999</v>
      </c>
      <c r="F229" s="2">
        <v>1</v>
      </c>
      <c r="G229" s="2">
        <v>154</v>
      </c>
      <c r="H229" s="2">
        <v>155</v>
      </c>
    </row>
    <row r="230" spans="1:8" x14ac:dyDescent="0.3">
      <c r="A230">
        <v>228</v>
      </c>
      <c r="B230" s="2">
        <v>229</v>
      </c>
      <c r="C230" s="2">
        <v>0.16669999999999999</v>
      </c>
      <c r="D230" s="2">
        <v>0.47</v>
      </c>
      <c r="E230" s="2">
        <v>0.16420000000000001</v>
      </c>
      <c r="F230" s="2">
        <v>3</v>
      </c>
      <c r="G230" s="2">
        <v>92</v>
      </c>
      <c r="H230" s="2">
        <v>95</v>
      </c>
    </row>
    <row r="231" spans="1:8" x14ac:dyDescent="0.3">
      <c r="A231">
        <v>229</v>
      </c>
      <c r="B231" s="2">
        <v>230</v>
      </c>
      <c r="C231" s="2">
        <v>0.16669999999999999</v>
      </c>
      <c r="D231" s="2">
        <v>0.5</v>
      </c>
      <c r="E231" s="2">
        <v>0.16420000000000001</v>
      </c>
      <c r="F231" s="2">
        <v>1</v>
      </c>
      <c r="G231" s="2">
        <v>73</v>
      </c>
      <c r="H231" s="2">
        <v>74</v>
      </c>
    </row>
    <row r="232" spans="1:8" x14ac:dyDescent="0.3">
      <c r="A232">
        <v>230</v>
      </c>
      <c r="B232" s="2">
        <v>231</v>
      </c>
      <c r="C232" s="2">
        <v>0.13639999999999999</v>
      </c>
      <c r="D232" s="2">
        <v>0.59</v>
      </c>
      <c r="E232" s="2">
        <v>0.19400000000000001</v>
      </c>
      <c r="F232" s="2">
        <v>1</v>
      </c>
      <c r="G232" s="2">
        <v>37</v>
      </c>
      <c r="H232" s="2">
        <v>38</v>
      </c>
    </row>
    <row r="233" spans="1:8" x14ac:dyDescent="0.3">
      <c r="A233">
        <v>231</v>
      </c>
      <c r="B233" s="2">
        <v>232</v>
      </c>
      <c r="C233" s="2">
        <v>0.1515</v>
      </c>
      <c r="D233" s="2">
        <v>0.59</v>
      </c>
      <c r="E233" s="2">
        <v>0.16420000000000001</v>
      </c>
      <c r="F233" s="2">
        <v>2</v>
      </c>
      <c r="G233" s="2">
        <v>22</v>
      </c>
      <c r="H233" s="2">
        <v>24</v>
      </c>
    </row>
    <row r="234" spans="1:8" x14ac:dyDescent="0.3">
      <c r="A234">
        <v>232</v>
      </c>
      <c r="B234" s="2">
        <v>233</v>
      </c>
      <c r="C234" s="2">
        <v>0.1515</v>
      </c>
      <c r="D234" s="2">
        <v>0.59</v>
      </c>
      <c r="E234" s="2">
        <v>0.16420000000000001</v>
      </c>
      <c r="F234" s="2">
        <v>0</v>
      </c>
      <c r="G234" s="2">
        <v>18</v>
      </c>
      <c r="H234" s="2">
        <v>18</v>
      </c>
    </row>
    <row r="235" spans="1:8" x14ac:dyDescent="0.3">
      <c r="A235">
        <v>233</v>
      </c>
      <c r="B235" s="2">
        <v>234</v>
      </c>
      <c r="C235" s="2">
        <v>0.16669999999999999</v>
      </c>
      <c r="D235" s="2">
        <v>0.59</v>
      </c>
      <c r="E235" s="2">
        <v>0.1045</v>
      </c>
      <c r="F235" s="2">
        <v>2</v>
      </c>
      <c r="G235" s="2">
        <v>10</v>
      </c>
      <c r="H235" s="2">
        <v>12</v>
      </c>
    </row>
    <row r="236" spans="1:8" x14ac:dyDescent="0.3">
      <c r="A236">
        <v>234</v>
      </c>
      <c r="B236" s="2">
        <v>235</v>
      </c>
      <c r="C236" s="2">
        <v>0.1515</v>
      </c>
      <c r="D236" s="2">
        <v>0.59</v>
      </c>
      <c r="E236" s="2">
        <v>0.16420000000000001</v>
      </c>
      <c r="F236" s="2">
        <v>0</v>
      </c>
      <c r="G236" s="2">
        <v>3</v>
      </c>
      <c r="H236" s="2">
        <v>3</v>
      </c>
    </row>
    <row r="237" spans="1:8" x14ac:dyDescent="0.3">
      <c r="A237">
        <v>235</v>
      </c>
      <c r="B237" s="2">
        <v>236</v>
      </c>
      <c r="C237" s="2">
        <v>0.1515</v>
      </c>
      <c r="D237" s="2">
        <v>0.55000000000000004</v>
      </c>
      <c r="E237" s="2">
        <v>0.19400000000000001</v>
      </c>
      <c r="F237" s="2">
        <v>0</v>
      </c>
      <c r="G237" s="2">
        <v>3</v>
      </c>
      <c r="H237" s="2">
        <v>3</v>
      </c>
    </row>
    <row r="238" spans="1:8" x14ac:dyDescent="0.3">
      <c r="A238">
        <v>236</v>
      </c>
      <c r="B238" s="2">
        <v>237</v>
      </c>
      <c r="C238" s="2">
        <v>0.18179999999999999</v>
      </c>
      <c r="D238" s="2">
        <v>0.55000000000000004</v>
      </c>
      <c r="E238" s="2">
        <v>0.1343</v>
      </c>
      <c r="F238" s="2">
        <v>0</v>
      </c>
      <c r="G238" s="2">
        <v>6</v>
      </c>
      <c r="H238" s="2">
        <v>6</v>
      </c>
    </row>
    <row r="239" spans="1:8" x14ac:dyDescent="0.3">
      <c r="A239">
        <v>237</v>
      </c>
      <c r="B239" s="2">
        <v>238</v>
      </c>
      <c r="C239" s="2">
        <v>0.18179999999999999</v>
      </c>
      <c r="D239" s="2">
        <v>0.55000000000000004</v>
      </c>
      <c r="E239" s="2">
        <v>0.1343</v>
      </c>
      <c r="F239" s="2">
        <v>0</v>
      </c>
      <c r="G239" s="2">
        <v>27</v>
      </c>
      <c r="H239" s="2">
        <v>27</v>
      </c>
    </row>
    <row r="240" spans="1:8" x14ac:dyDescent="0.3">
      <c r="A240">
        <v>238</v>
      </c>
      <c r="B240" s="2">
        <v>239</v>
      </c>
      <c r="C240" s="2">
        <v>0.2273</v>
      </c>
      <c r="D240" s="2">
        <v>0.55000000000000004</v>
      </c>
      <c r="E240" s="2">
        <v>0</v>
      </c>
      <c r="F240" s="2">
        <v>2</v>
      </c>
      <c r="G240" s="2">
        <v>97</v>
      </c>
      <c r="H240" s="2">
        <v>99</v>
      </c>
    </row>
    <row r="241" spans="1:8" x14ac:dyDescent="0.3">
      <c r="A241">
        <v>239</v>
      </c>
      <c r="B241" s="2">
        <v>240</v>
      </c>
      <c r="C241" s="2">
        <v>0.21210000000000001</v>
      </c>
      <c r="D241" s="2">
        <v>0.51</v>
      </c>
      <c r="E241" s="2">
        <v>8.9599999999999999E-2</v>
      </c>
      <c r="F241" s="2">
        <v>3</v>
      </c>
      <c r="G241" s="2">
        <v>214</v>
      </c>
      <c r="H241" s="2">
        <v>217</v>
      </c>
    </row>
    <row r="242" spans="1:8" x14ac:dyDescent="0.3">
      <c r="A242">
        <v>240</v>
      </c>
      <c r="B242" s="2">
        <v>241</v>
      </c>
      <c r="C242" s="2">
        <v>0.19700000000000001</v>
      </c>
      <c r="D242" s="2">
        <v>0.51</v>
      </c>
      <c r="E242" s="2">
        <v>0.16420000000000001</v>
      </c>
      <c r="F242" s="2">
        <v>3</v>
      </c>
      <c r="G242" s="2">
        <v>127</v>
      </c>
      <c r="H242" s="2">
        <v>130</v>
      </c>
    </row>
    <row r="243" spans="1:8" x14ac:dyDescent="0.3">
      <c r="A243">
        <v>241</v>
      </c>
      <c r="B243" s="2">
        <v>242</v>
      </c>
      <c r="C243" s="2">
        <v>0.21210000000000001</v>
      </c>
      <c r="D243" s="2">
        <v>0.51</v>
      </c>
      <c r="E243" s="2">
        <v>0.16420000000000001</v>
      </c>
      <c r="F243" s="2">
        <v>3</v>
      </c>
      <c r="G243" s="2">
        <v>51</v>
      </c>
      <c r="H243" s="2">
        <v>54</v>
      </c>
    </row>
    <row r="244" spans="1:8" x14ac:dyDescent="0.3">
      <c r="A244">
        <v>242</v>
      </c>
      <c r="B244" s="2">
        <v>243</v>
      </c>
      <c r="C244" s="2">
        <v>0.21210000000000001</v>
      </c>
      <c r="D244" s="2">
        <v>0.47</v>
      </c>
      <c r="E244" s="2">
        <v>0.1343</v>
      </c>
      <c r="F244" s="2">
        <v>4</v>
      </c>
      <c r="G244" s="2">
        <v>31</v>
      </c>
      <c r="H244" s="2">
        <v>35</v>
      </c>
    </row>
    <row r="245" spans="1:8" x14ac:dyDescent="0.3">
      <c r="A245">
        <v>243</v>
      </c>
      <c r="B245" s="2">
        <v>244</v>
      </c>
      <c r="C245" s="2">
        <v>0.2273</v>
      </c>
      <c r="D245" s="2">
        <v>0.51</v>
      </c>
      <c r="E245" s="2">
        <v>0.1045</v>
      </c>
      <c r="F245" s="2">
        <v>2</v>
      </c>
      <c r="G245" s="2">
        <v>55</v>
      </c>
      <c r="H245" s="2">
        <v>57</v>
      </c>
    </row>
    <row r="246" spans="1:8" x14ac:dyDescent="0.3">
      <c r="A246">
        <v>244</v>
      </c>
      <c r="B246" s="2">
        <v>245</v>
      </c>
      <c r="C246" s="2">
        <v>0.2273</v>
      </c>
      <c r="D246" s="2">
        <v>0.59</v>
      </c>
      <c r="E246" s="2">
        <v>8.9599999999999999E-2</v>
      </c>
      <c r="F246" s="2">
        <v>6</v>
      </c>
      <c r="G246" s="2">
        <v>46</v>
      </c>
      <c r="H246" s="2">
        <v>52</v>
      </c>
    </row>
    <row r="247" spans="1:8" x14ac:dyDescent="0.3">
      <c r="A247">
        <v>245</v>
      </c>
      <c r="B247" s="2">
        <v>246</v>
      </c>
      <c r="C247" s="2">
        <v>0.2273</v>
      </c>
      <c r="D247" s="2">
        <v>0.59</v>
      </c>
      <c r="E247" s="2">
        <v>8.9599999999999999E-2</v>
      </c>
      <c r="F247" s="2">
        <v>3</v>
      </c>
      <c r="G247" s="2">
        <v>60</v>
      </c>
      <c r="H247" s="2">
        <v>63</v>
      </c>
    </row>
    <row r="248" spans="1:8" x14ac:dyDescent="0.3">
      <c r="A248">
        <v>246</v>
      </c>
      <c r="B248" s="2">
        <v>247</v>
      </c>
      <c r="C248" s="2">
        <v>0.19700000000000001</v>
      </c>
      <c r="D248" s="2">
        <v>0.8</v>
      </c>
      <c r="E248" s="2">
        <v>8.9599999999999999E-2</v>
      </c>
      <c r="F248" s="2">
        <v>2</v>
      </c>
      <c r="G248" s="2">
        <v>45</v>
      </c>
      <c r="H248" s="2">
        <v>47</v>
      </c>
    </row>
    <row r="249" spans="1:8" x14ac:dyDescent="0.3">
      <c r="A249">
        <v>247</v>
      </c>
      <c r="B249" s="2">
        <v>248</v>
      </c>
      <c r="C249" s="2">
        <v>0.1515</v>
      </c>
      <c r="D249" s="2">
        <v>0.86</v>
      </c>
      <c r="E249" s="2">
        <v>0.22389999999999999</v>
      </c>
      <c r="F249" s="2">
        <v>4</v>
      </c>
      <c r="G249" s="2">
        <v>72</v>
      </c>
      <c r="H249" s="2">
        <v>76</v>
      </c>
    </row>
    <row r="250" spans="1:8" x14ac:dyDescent="0.3">
      <c r="A250">
        <v>248</v>
      </c>
      <c r="B250" s="2">
        <v>249</v>
      </c>
      <c r="C250" s="2">
        <v>0.1515</v>
      </c>
      <c r="D250" s="2">
        <v>0.86</v>
      </c>
      <c r="E250" s="2">
        <v>0.22389999999999999</v>
      </c>
      <c r="F250" s="2">
        <v>6</v>
      </c>
      <c r="G250" s="2">
        <v>130</v>
      </c>
      <c r="H250" s="2">
        <v>136</v>
      </c>
    </row>
    <row r="251" spans="1:8" x14ac:dyDescent="0.3">
      <c r="A251">
        <v>249</v>
      </c>
      <c r="B251" s="2">
        <v>250</v>
      </c>
      <c r="C251" s="2">
        <v>0.18179999999999999</v>
      </c>
      <c r="D251" s="2">
        <v>0.93</v>
      </c>
      <c r="E251" s="2">
        <v>0.1045</v>
      </c>
      <c r="F251" s="2">
        <v>1</v>
      </c>
      <c r="G251" s="2">
        <v>94</v>
      </c>
      <c r="H251" s="2">
        <v>95</v>
      </c>
    </row>
    <row r="252" spans="1:8" x14ac:dyDescent="0.3">
      <c r="A252">
        <v>250</v>
      </c>
      <c r="B252" s="2">
        <v>251</v>
      </c>
      <c r="C252" s="2">
        <v>0.2273</v>
      </c>
      <c r="D252" s="2">
        <v>0.93</v>
      </c>
      <c r="E252" s="2">
        <v>0</v>
      </c>
      <c r="F252" s="2">
        <v>0</v>
      </c>
      <c r="G252" s="2">
        <v>51</v>
      </c>
      <c r="H252" s="2">
        <v>51</v>
      </c>
    </row>
    <row r="253" spans="1:8" x14ac:dyDescent="0.3">
      <c r="A253">
        <v>251</v>
      </c>
      <c r="B253" s="2">
        <v>252</v>
      </c>
      <c r="C253" s="2">
        <v>0.1515</v>
      </c>
      <c r="D253" s="2">
        <v>0.93</v>
      </c>
      <c r="E253" s="2">
        <v>0.19400000000000001</v>
      </c>
      <c r="F253" s="2">
        <v>0</v>
      </c>
      <c r="G253" s="2">
        <v>32</v>
      </c>
      <c r="H253" s="2">
        <v>32</v>
      </c>
    </row>
    <row r="254" spans="1:8" x14ac:dyDescent="0.3">
      <c r="A254">
        <v>252</v>
      </c>
      <c r="B254" s="2">
        <v>253</v>
      </c>
      <c r="C254" s="2">
        <v>0.19700000000000001</v>
      </c>
      <c r="D254" s="2">
        <v>0.86</v>
      </c>
      <c r="E254" s="2">
        <v>8.9599999999999999E-2</v>
      </c>
      <c r="F254" s="2">
        <v>0</v>
      </c>
      <c r="G254" s="2">
        <v>20</v>
      </c>
      <c r="H254" s="2">
        <v>20</v>
      </c>
    </row>
    <row r="255" spans="1:8" x14ac:dyDescent="0.3">
      <c r="A255">
        <v>253</v>
      </c>
      <c r="B255" s="2">
        <v>254</v>
      </c>
      <c r="C255" s="2">
        <v>0.18179999999999999</v>
      </c>
      <c r="D255" s="2">
        <v>0.93</v>
      </c>
      <c r="E255" s="2">
        <v>0.1045</v>
      </c>
      <c r="F255" s="2">
        <v>1</v>
      </c>
      <c r="G255" s="2">
        <v>28</v>
      </c>
      <c r="H255" s="2">
        <v>29</v>
      </c>
    </row>
    <row r="256" spans="1:8" x14ac:dyDescent="0.3">
      <c r="A256">
        <v>254</v>
      </c>
      <c r="B256" s="2">
        <v>255</v>
      </c>
      <c r="C256" s="2">
        <v>0.19700000000000001</v>
      </c>
      <c r="D256" s="2">
        <v>0.93</v>
      </c>
      <c r="E256" s="2">
        <v>8.9599999999999999E-2</v>
      </c>
      <c r="F256" s="2">
        <v>1</v>
      </c>
      <c r="G256" s="2">
        <v>18</v>
      </c>
      <c r="H256" s="2">
        <v>19</v>
      </c>
    </row>
    <row r="257" spans="1:8" x14ac:dyDescent="0.3">
      <c r="A257">
        <v>255</v>
      </c>
      <c r="B257" s="2">
        <v>256</v>
      </c>
      <c r="C257" s="2">
        <v>0.19700000000000001</v>
      </c>
      <c r="D257" s="2">
        <v>0.86</v>
      </c>
      <c r="E257" s="2">
        <v>8.9599999999999999E-2</v>
      </c>
      <c r="F257" s="2">
        <v>0</v>
      </c>
      <c r="G257" s="2">
        <v>7</v>
      </c>
      <c r="H257" s="2">
        <v>7</v>
      </c>
    </row>
    <row r="258" spans="1:8" x14ac:dyDescent="0.3">
      <c r="A258">
        <v>256</v>
      </c>
      <c r="B258" s="2">
        <v>257</v>
      </c>
      <c r="C258" s="2">
        <v>0.18179999999999999</v>
      </c>
      <c r="D258" s="2">
        <v>0.86</v>
      </c>
      <c r="E258" s="2">
        <v>0.1045</v>
      </c>
      <c r="F258" s="2">
        <v>0</v>
      </c>
      <c r="G258" s="2">
        <v>6</v>
      </c>
      <c r="H258" s="2">
        <v>6</v>
      </c>
    </row>
    <row r="259" spans="1:8" x14ac:dyDescent="0.3">
      <c r="A259">
        <v>257</v>
      </c>
      <c r="B259" s="2">
        <v>258</v>
      </c>
      <c r="C259" s="2">
        <v>0.1515</v>
      </c>
      <c r="D259" s="2">
        <v>0.86</v>
      </c>
      <c r="E259" s="2">
        <v>0.1343</v>
      </c>
      <c r="F259" s="2">
        <v>0</v>
      </c>
      <c r="G259" s="2">
        <v>1</v>
      </c>
      <c r="H259" s="2">
        <v>1</v>
      </c>
    </row>
    <row r="260" spans="1:8" x14ac:dyDescent="0.3">
      <c r="A260">
        <v>258</v>
      </c>
      <c r="B260" s="2">
        <v>259</v>
      </c>
      <c r="C260" s="2">
        <v>0.1515</v>
      </c>
      <c r="D260" s="2">
        <v>0.86</v>
      </c>
      <c r="E260" s="2">
        <v>0.16420000000000001</v>
      </c>
      <c r="F260" s="2">
        <v>0</v>
      </c>
      <c r="G260" s="2">
        <v>5</v>
      </c>
      <c r="H260" s="2">
        <v>5</v>
      </c>
    </row>
    <row r="261" spans="1:8" x14ac:dyDescent="0.3">
      <c r="A261">
        <v>259</v>
      </c>
      <c r="B261" s="2">
        <v>260</v>
      </c>
      <c r="C261" s="2">
        <v>0.1515</v>
      </c>
      <c r="D261" s="2">
        <v>0.93</v>
      </c>
      <c r="E261" s="2">
        <v>0.1343</v>
      </c>
      <c r="F261" s="2">
        <v>0</v>
      </c>
      <c r="G261" s="2">
        <v>16</v>
      </c>
      <c r="H261" s="2">
        <v>16</v>
      </c>
    </row>
    <row r="262" spans="1:8" x14ac:dyDescent="0.3">
      <c r="A262">
        <v>260</v>
      </c>
      <c r="B262" s="2">
        <v>261</v>
      </c>
      <c r="C262" s="2">
        <v>0.1515</v>
      </c>
      <c r="D262" s="2">
        <v>0.69</v>
      </c>
      <c r="E262" s="2">
        <v>0.1343</v>
      </c>
      <c r="F262" s="2">
        <v>0</v>
      </c>
      <c r="G262" s="2">
        <v>54</v>
      </c>
      <c r="H262" s="2">
        <v>54</v>
      </c>
    </row>
    <row r="263" spans="1:8" x14ac:dyDescent="0.3">
      <c r="A263">
        <v>261</v>
      </c>
      <c r="B263" s="2">
        <v>262</v>
      </c>
      <c r="C263" s="2">
        <v>0.16669999999999999</v>
      </c>
      <c r="D263" s="2">
        <v>0.59</v>
      </c>
      <c r="E263" s="2">
        <v>0.16420000000000001</v>
      </c>
      <c r="F263" s="2">
        <v>3</v>
      </c>
      <c r="G263" s="2">
        <v>125</v>
      </c>
      <c r="H263" s="2">
        <v>128</v>
      </c>
    </row>
    <row r="264" spans="1:8" x14ac:dyDescent="0.3">
      <c r="A264">
        <v>262</v>
      </c>
      <c r="B264" s="2">
        <v>263</v>
      </c>
      <c r="C264" s="2">
        <v>0.13639999999999999</v>
      </c>
      <c r="D264" s="2">
        <v>0.59</v>
      </c>
      <c r="E264" s="2">
        <v>0.32840000000000003</v>
      </c>
      <c r="F264" s="2">
        <v>3</v>
      </c>
      <c r="G264" s="2">
        <v>78</v>
      </c>
      <c r="H264" s="2">
        <v>81</v>
      </c>
    </row>
    <row r="265" spans="1:8" x14ac:dyDescent="0.3">
      <c r="A265">
        <v>263</v>
      </c>
      <c r="B265" s="2">
        <v>264</v>
      </c>
      <c r="C265" s="2">
        <v>0.18179999999999999</v>
      </c>
      <c r="D265" s="2">
        <v>0.55000000000000004</v>
      </c>
      <c r="E265" s="2">
        <v>0.22389999999999999</v>
      </c>
      <c r="F265" s="2">
        <v>0</v>
      </c>
      <c r="G265" s="2">
        <v>39</v>
      </c>
      <c r="H265" s="2">
        <v>39</v>
      </c>
    </row>
    <row r="266" spans="1:8" x14ac:dyDescent="0.3">
      <c r="A266">
        <v>264</v>
      </c>
      <c r="B266" s="2">
        <v>265</v>
      </c>
      <c r="C266" s="2">
        <v>0.18179999999999999</v>
      </c>
      <c r="D266" s="2">
        <v>0.51</v>
      </c>
      <c r="E266" s="2">
        <v>0.3881</v>
      </c>
      <c r="F266" s="2">
        <v>3</v>
      </c>
      <c r="G266" s="2">
        <v>32</v>
      </c>
      <c r="H266" s="2">
        <v>35</v>
      </c>
    </row>
    <row r="267" spans="1:8" x14ac:dyDescent="0.3">
      <c r="A267">
        <v>265</v>
      </c>
      <c r="B267" s="2">
        <v>266</v>
      </c>
      <c r="C267" s="2">
        <v>0.1515</v>
      </c>
      <c r="D267" s="2">
        <v>0.47</v>
      </c>
      <c r="E267" s="2">
        <v>0.58209999999999995</v>
      </c>
      <c r="F267" s="2">
        <v>3</v>
      </c>
      <c r="G267" s="2">
        <v>52</v>
      </c>
      <c r="H267" s="2">
        <v>55</v>
      </c>
    </row>
    <row r="268" spans="1:8" x14ac:dyDescent="0.3">
      <c r="A268">
        <v>266</v>
      </c>
      <c r="B268" s="2">
        <v>267</v>
      </c>
      <c r="C268" s="2">
        <v>0.19700000000000001</v>
      </c>
      <c r="D268" s="2">
        <v>0.44</v>
      </c>
      <c r="E268" s="2">
        <v>0.35820000000000002</v>
      </c>
      <c r="F268" s="2">
        <v>0</v>
      </c>
      <c r="G268" s="2">
        <v>49</v>
      </c>
      <c r="H268" s="2">
        <v>49</v>
      </c>
    </row>
    <row r="269" spans="1:8" x14ac:dyDescent="0.3">
      <c r="A269">
        <v>267</v>
      </c>
      <c r="B269" s="2">
        <v>268</v>
      </c>
      <c r="C269" s="2">
        <v>0.18179999999999999</v>
      </c>
      <c r="D269" s="2">
        <v>0.47</v>
      </c>
      <c r="E269" s="2">
        <v>0.32840000000000003</v>
      </c>
      <c r="F269" s="2">
        <v>0</v>
      </c>
      <c r="G269" s="2">
        <v>44</v>
      </c>
      <c r="H269" s="2">
        <v>44</v>
      </c>
    </row>
    <row r="270" spans="1:8" x14ac:dyDescent="0.3">
      <c r="A270">
        <v>268</v>
      </c>
      <c r="B270" s="2">
        <v>269</v>
      </c>
      <c r="C270" s="2">
        <v>0.16669999999999999</v>
      </c>
      <c r="D270" s="2">
        <v>0.47</v>
      </c>
      <c r="E270" s="2">
        <v>0.41789999999999999</v>
      </c>
      <c r="F270" s="2">
        <v>1</v>
      </c>
      <c r="G270" s="2">
        <v>48</v>
      </c>
      <c r="H270" s="2">
        <v>49</v>
      </c>
    </row>
    <row r="271" spans="1:8" x14ac:dyDescent="0.3">
      <c r="A271">
        <v>269</v>
      </c>
      <c r="B271" s="2">
        <v>270</v>
      </c>
      <c r="C271" s="2">
        <v>0.19700000000000001</v>
      </c>
      <c r="D271" s="2">
        <v>0.44</v>
      </c>
      <c r="E271" s="2">
        <v>0.32840000000000003</v>
      </c>
      <c r="F271" s="2">
        <v>5</v>
      </c>
      <c r="G271" s="2">
        <v>63</v>
      </c>
      <c r="H271" s="2">
        <v>68</v>
      </c>
    </row>
    <row r="272" spans="1:8" x14ac:dyDescent="0.3">
      <c r="A272">
        <v>270</v>
      </c>
      <c r="B272" s="2">
        <v>271</v>
      </c>
      <c r="C272" s="2">
        <v>0.18179999999999999</v>
      </c>
      <c r="D272" s="2">
        <v>0.47</v>
      </c>
      <c r="E272" s="2">
        <v>0.35820000000000002</v>
      </c>
      <c r="F272" s="2">
        <v>0</v>
      </c>
      <c r="G272" s="2">
        <v>139</v>
      </c>
      <c r="H272" s="2">
        <v>139</v>
      </c>
    </row>
    <row r="273" spans="1:8" x14ac:dyDescent="0.3">
      <c r="A273">
        <v>271</v>
      </c>
      <c r="B273" s="2">
        <v>272</v>
      </c>
      <c r="C273" s="2">
        <v>0.1515</v>
      </c>
      <c r="D273" s="2">
        <v>0.47</v>
      </c>
      <c r="E273" s="2">
        <v>0.52239999999999998</v>
      </c>
      <c r="F273" s="2">
        <v>2</v>
      </c>
      <c r="G273" s="2">
        <v>135</v>
      </c>
      <c r="H273" s="2">
        <v>137</v>
      </c>
    </row>
    <row r="274" spans="1:8" x14ac:dyDescent="0.3">
      <c r="A274">
        <v>272</v>
      </c>
      <c r="B274" s="2">
        <v>273</v>
      </c>
      <c r="C274" s="2">
        <v>0.1515</v>
      </c>
      <c r="D274" s="2">
        <v>0.47</v>
      </c>
      <c r="E274" s="2">
        <v>0.41789999999999999</v>
      </c>
      <c r="F274" s="2">
        <v>1</v>
      </c>
      <c r="G274" s="2">
        <v>82</v>
      </c>
      <c r="H274" s="2">
        <v>83</v>
      </c>
    </row>
    <row r="275" spans="1:8" x14ac:dyDescent="0.3">
      <c r="A275">
        <v>273</v>
      </c>
      <c r="B275" s="2">
        <v>274</v>
      </c>
      <c r="C275" s="2">
        <v>0.13639999999999999</v>
      </c>
      <c r="D275" s="2">
        <v>0.5</v>
      </c>
      <c r="E275" s="2">
        <v>0.32840000000000003</v>
      </c>
      <c r="F275" s="2">
        <v>2</v>
      </c>
      <c r="G275" s="2">
        <v>54</v>
      </c>
      <c r="H275" s="2">
        <v>56</v>
      </c>
    </row>
    <row r="276" spans="1:8" x14ac:dyDescent="0.3">
      <c r="A276">
        <v>274</v>
      </c>
      <c r="B276" s="2">
        <v>275</v>
      </c>
      <c r="C276" s="2">
        <v>0.13639999999999999</v>
      </c>
      <c r="D276" s="2">
        <v>0.55000000000000004</v>
      </c>
      <c r="E276" s="2">
        <v>0.32840000000000003</v>
      </c>
      <c r="F276" s="2">
        <v>0</v>
      </c>
      <c r="G276" s="2">
        <v>57</v>
      </c>
      <c r="H276" s="2">
        <v>57</v>
      </c>
    </row>
    <row r="277" spans="1:8" x14ac:dyDescent="0.3">
      <c r="A277">
        <v>275</v>
      </c>
      <c r="B277" s="2">
        <v>276</v>
      </c>
      <c r="C277" s="2">
        <v>0.1212</v>
      </c>
      <c r="D277" s="2">
        <v>0.55000000000000004</v>
      </c>
      <c r="E277" s="2">
        <v>0.44779999999999998</v>
      </c>
      <c r="F277" s="2">
        <v>1</v>
      </c>
      <c r="G277" s="2">
        <v>32</v>
      </c>
      <c r="H277" s="2">
        <v>33</v>
      </c>
    </row>
    <row r="278" spans="1:8" x14ac:dyDescent="0.3">
      <c r="A278">
        <v>276</v>
      </c>
      <c r="B278" s="2">
        <v>277</v>
      </c>
      <c r="C278" s="2">
        <v>0.1061</v>
      </c>
      <c r="D278" s="2">
        <v>0.59</v>
      </c>
      <c r="E278" s="2">
        <v>0.41789999999999999</v>
      </c>
      <c r="F278" s="2">
        <v>1</v>
      </c>
      <c r="G278" s="2">
        <v>19</v>
      </c>
      <c r="H278" s="2">
        <v>20</v>
      </c>
    </row>
    <row r="279" spans="1:8" x14ac:dyDescent="0.3">
      <c r="A279">
        <v>277</v>
      </c>
      <c r="B279" s="2">
        <v>278</v>
      </c>
      <c r="C279" s="2">
        <v>0.1212</v>
      </c>
      <c r="D279" s="2">
        <v>0.59</v>
      </c>
      <c r="E279" s="2">
        <v>0.28360000000000002</v>
      </c>
      <c r="F279" s="2">
        <v>1</v>
      </c>
      <c r="G279" s="2">
        <v>6</v>
      </c>
      <c r="H279" s="2">
        <v>7</v>
      </c>
    </row>
    <row r="280" spans="1:8" x14ac:dyDescent="0.3">
      <c r="A280">
        <v>278</v>
      </c>
      <c r="B280" s="2">
        <v>279</v>
      </c>
      <c r="C280" s="2">
        <v>0.1212</v>
      </c>
      <c r="D280" s="2">
        <v>0.5</v>
      </c>
      <c r="E280" s="2">
        <v>0.28360000000000002</v>
      </c>
      <c r="F280" s="2">
        <v>0</v>
      </c>
      <c r="G280" s="2">
        <v>2</v>
      </c>
      <c r="H280" s="2">
        <v>2</v>
      </c>
    </row>
    <row r="281" spans="1:8" x14ac:dyDescent="0.3">
      <c r="A281">
        <v>279</v>
      </c>
      <c r="B281" s="2">
        <v>280</v>
      </c>
      <c r="C281" s="2">
        <v>0.1212</v>
      </c>
      <c r="D281" s="2">
        <v>0.5</v>
      </c>
      <c r="E281" s="2">
        <v>0.35820000000000002</v>
      </c>
      <c r="F281" s="2">
        <v>0</v>
      </c>
      <c r="G281" s="2">
        <v>2</v>
      </c>
      <c r="H281" s="2">
        <v>2</v>
      </c>
    </row>
    <row r="282" spans="1:8" x14ac:dyDescent="0.3">
      <c r="A282">
        <v>280</v>
      </c>
      <c r="B282" s="2">
        <v>281</v>
      </c>
      <c r="C282" s="2">
        <v>0.1212</v>
      </c>
      <c r="D282" s="2">
        <v>0.5</v>
      </c>
      <c r="E282" s="2">
        <v>0.32840000000000003</v>
      </c>
      <c r="F282" s="2">
        <v>0</v>
      </c>
      <c r="G282" s="2">
        <v>3</v>
      </c>
      <c r="H282" s="2">
        <v>3</v>
      </c>
    </row>
    <row r="283" spans="1:8" x14ac:dyDescent="0.3">
      <c r="A283">
        <v>281</v>
      </c>
      <c r="B283" s="2">
        <v>282</v>
      </c>
      <c r="C283" s="2">
        <v>0.1212</v>
      </c>
      <c r="D283" s="2">
        <v>0.5</v>
      </c>
      <c r="E283" s="2">
        <v>0.25369999999999998</v>
      </c>
      <c r="F283" s="2">
        <v>0</v>
      </c>
      <c r="G283" s="2">
        <v>4</v>
      </c>
      <c r="H283" s="2">
        <v>4</v>
      </c>
    </row>
    <row r="284" spans="1:8" x14ac:dyDescent="0.3">
      <c r="A284">
        <v>282</v>
      </c>
      <c r="B284" s="2">
        <v>283</v>
      </c>
      <c r="C284" s="2">
        <v>0.1212</v>
      </c>
      <c r="D284" s="2">
        <v>0.5</v>
      </c>
      <c r="E284" s="2">
        <v>0.29849999999999999</v>
      </c>
      <c r="F284" s="2">
        <v>0</v>
      </c>
      <c r="G284" s="2">
        <v>3</v>
      </c>
      <c r="H284" s="2">
        <v>3</v>
      </c>
    </row>
    <row r="285" spans="1:8" x14ac:dyDescent="0.3">
      <c r="A285">
        <v>283</v>
      </c>
      <c r="B285" s="2">
        <v>284</v>
      </c>
      <c r="C285" s="2">
        <v>0.1515</v>
      </c>
      <c r="D285" s="2">
        <v>0.54</v>
      </c>
      <c r="E285" s="2">
        <v>0.1343</v>
      </c>
      <c r="F285" s="2">
        <v>0</v>
      </c>
      <c r="G285" s="2">
        <v>28</v>
      </c>
      <c r="H285" s="2">
        <v>28</v>
      </c>
    </row>
    <row r="286" spans="1:8" x14ac:dyDescent="0.3">
      <c r="A286">
        <v>284</v>
      </c>
      <c r="B286" s="2">
        <v>285</v>
      </c>
      <c r="C286" s="2">
        <v>0.1515</v>
      </c>
      <c r="D286" s="2">
        <v>0.54</v>
      </c>
      <c r="E286" s="2">
        <v>0.1343</v>
      </c>
      <c r="F286" s="2">
        <v>0</v>
      </c>
      <c r="G286" s="2">
        <v>72</v>
      </c>
      <c r="H286" s="2">
        <v>72</v>
      </c>
    </row>
    <row r="287" spans="1:8" x14ac:dyDescent="0.3">
      <c r="A287">
        <v>285</v>
      </c>
      <c r="B287" s="2">
        <v>286</v>
      </c>
      <c r="C287" s="2">
        <v>0.13639999999999999</v>
      </c>
      <c r="D287" s="2">
        <v>0.5</v>
      </c>
      <c r="E287" s="2">
        <v>0.19400000000000001</v>
      </c>
      <c r="F287" s="2">
        <v>5</v>
      </c>
      <c r="G287" s="2">
        <v>197</v>
      </c>
      <c r="H287" s="2">
        <v>202</v>
      </c>
    </row>
    <row r="288" spans="1:8" x14ac:dyDescent="0.3">
      <c r="A288">
        <v>286</v>
      </c>
      <c r="B288" s="2">
        <v>287</v>
      </c>
      <c r="C288" s="2">
        <v>0.1212</v>
      </c>
      <c r="D288" s="2">
        <v>0.5</v>
      </c>
      <c r="E288" s="2">
        <v>0.32840000000000003</v>
      </c>
      <c r="F288" s="2">
        <v>2</v>
      </c>
      <c r="G288" s="2">
        <v>137</v>
      </c>
      <c r="H288" s="2">
        <v>139</v>
      </c>
    </row>
    <row r="289" spans="1:8" x14ac:dyDescent="0.3">
      <c r="A289">
        <v>287</v>
      </c>
      <c r="B289" s="2">
        <v>288</v>
      </c>
      <c r="C289" s="2">
        <v>0.13639999999999999</v>
      </c>
      <c r="D289" s="2">
        <v>0.5</v>
      </c>
      <c r="E289" s="2">
        <v>0.35820000000000002</v>
      </c>
      <c r="F289" s="2">
        <v>2</v>
      </c>
      <c r="G289" s="2">
        <v>36</v>
      </c>
      <c r="H289" s="2">
        <v>38</v>
      </c>
    </row>
    <row r="290" spans="1:8" x14ac:dyDescent="0.3">
      <c r="A290">
        <v>288</v>
      </c>
      <c r="B290" s="2">
        <v>289</v>
      </c>
      <c r="C290" s="2">
        <v>0.16669999999999999</v>
      </c>
      <c r="D290" s="2">
        <v>0.44</v>
      </c>
      <c r="E290" s="2">
        <v>0.44779999999999998</v>
      </c>
      <c r="F290" s="2">
        <v>4</v>
      </c>
      <c r="G290" s="2">
        <v>33</v>
      </c>
      <c r="H290" s="2">
        <v>37</v>
      </c>
    </row>
    <row r="291" spans="1:8" x14ac:dyDescent="0.3">
      <c r="A291">
        <v>289</v>
      </c>
      <c r="B291" s="2">
        <v>290</v>
      </c>
      <c r="C291" s="2">
        <v>0.16669999999999999</v>
      </c>
      <c r="D291" s="2">
        <v>0.44</v>
      </c>
      <c r="E291" s="2">
        <v>0.41789999999999999</v>
      </c>
      <c r="F291" s="2">
        <v>3</v>
      </c>
      <c r="G291" s="2">
        <v>49</v>
      </c>
      <c r="H291" s="2">
        <v>52</v>
      </c>
    </row>
    <row r="292" spans="1:8" x14ac:dyDescent="0.3">
      <c r="A292">
        <v>290</v>
      </c>
      <c r="B292" s="2">
        <v>291</v>
      </c>
      <c r="C292" s="2">
        <v>0.19700000000000001</v>
      </c>
      <c r="D292" s="2">
        <v>0.41</v>
      </c>
      <c r="E292" s="2">
        <v>0.44779999999999998</v>
      </c>
      <c r="F292" s="2">
        <v>2</v>
      </c>
      <c r="G292" s="2">
        <v>81</v>
      </c>
      <c r="H292" s="2">
        <v>83</v>
      </c>
    </row>
    <row r="293" spans="1:8" x14ac:dyDescent="0.3">
      <c r="A293">
        <v>291</v>
      </c>
      <c r="B293" s="2">
        <v>292</v>
      </c>
      <c r="C293" s="2">
        <v>0.19700000000000001</v>
      </c>
      <c r="D293" s="2">
        <v>0.41</v>
      </c>
      <c r="E293" s="2">
        <v>0.3881</v>
      </c>
      <c r="F293" s="2">
        <v>3</v>
      </c>
      <c r="G293" s="2">
        <v>39</v>
      </c>
      <c r="H293" s="2">
        <v>42</v>
      </c>
    </row>
    <row r="294" spans="1:8" x14ac:dyDescent="0.3">
      <c r="A294">
        <v>292</v>
      </c>
      <c r="B294" s="2">
        <v>293</v>
      </c>
      <c r="C294" s="2">
        <v>0.21210000000000001</v>
      </c>
      <c r="D294" s="2">
        <v>0.38</v>
      </c>
      <c r="E294" s="2">
        <v>0.29849999999999999</v>
      </c>
      <c r="F294" s="2">
        <v>5</v>
      </c>
      <c r="G294" s="2">
        <v>55</v>
      </c>
      <c r="H294" s="2">
        <v>60</v>
      </c>
    </row>
    <row r="295" spans="1:8" x14ac:dyDescent="0.3">
      <c r="A295">
        <v>293</v>
      </c>
      <c r="B295" s="2">
        <v>294</v>
      </c>
      <c r="C295" s="2">
        <v>0.21210000000000001</v>
      </c>
      <c r="D295" s="2">
        <v>0.38</v>
      </c>
      <c r="E295" s="2">
        <v>0.35820000000000002</v>
      </c>
      <c r="F295" s="2">
        <v>2</v>
      </c>
      <c r="G295" s="2">
        <v>76</v>
      </c>
      <c r="H295" s="2">
        <v>78</v>
      </c>
    </row>
    <row r="296" spans="1:8" x14ac:dyDescent="0.3">
      <c r="A296">
        <v>294</v>
      </c>
      <c r="B296" s="2">
        <v>295</v>
      </c>
      <c r="C296" s="2">
        <v>0.18179999999999999</v>
      </c>
      <c r="D296" s="2">
        <v>0.4</v>
      </c>
      <c r="E296" s="2">
        <v>0.28360000000000002</v>
      </c>
      <c r="F296" s="2">
        <v>4</v>
      </c>
      <c r="G296" s="2">
        <v>158</v>
      </c>
      <c r="H296" s="2">
        <v>162</v>
      </c>
    </row>
    <row r="297" spans="1:8" x14ac:dyDescent="0.3">
      <c r="A297">
        <v>295</v>
      </c>
      <c r="B297" s="2">
        <v>296</v>
      </c>
      <c r="C297" s="2">
        <v>0.18179999999999999</v>
      </c>
      <c r="D297" s="2">
        <v>0.4</v>
      </c>
      <c r="E297" s="2">
        <v>0.32840000000000003</v>
      </c>
      <c r="F297" s="2">
        <v>3</v>
      </c>
      <c r="G297" s="2">
        <v>141</v>
      </c>
      <c r="H297" s="2">
        <v>144</v>
      </c>
    </row>
    <row r="298" spans="1:8" x14ac:dyDescent="0.3">
      <c r="A298">
        <v>296</v>
      </c>
      <c r="B298" s="2">
        <v>297</v>
      </c>
      <c r="C298" s="2">
        <v>0.1515</v>
      </c>
      <c r="D298" s="2">
        <v>0.47</v>
      </c>
      <c r="E298" s="2">
        <v>0.25369999999999998</v>
      </c>
      <c r="F298" s="2">
        <v>1</v>
      </c>
      <c r="G298" s="2">
        <v>98</v>
      </c>
      <c r="H298" s="2">
        <v>99</v>
      </c>
    </row>
    <row r="299" spans="1:8" x14ac:dyDescent="0.3">
      <c r="A299">
        <v>297</v>
      </c>
      <c r="B299" s="2">
        <v>298</v>
      </c>
      <c r="C299" s="2">
        <v>0.1515</v>
      </c>
      <c r="D299" s="2">
        <v>0.47</v>
      </c>
      <c r="E299" s="2">
        <v>0.22389999999999999</v>
      </c>
      <c r="F299" s="2">
        <v>0</v>
      </c>
      <c r="G299" s="2">
        <v>64</v>
      </c>
      <c r="H299" s="2">
        <v>64</v>
      </c>
    </row>
    <row r="300" spans="1:8" x14ac:dyDescent="0.3">
      <c r="A300">
        <v>298</v>
      </c>
      <c r="B300" s="2">
        <v>299</v>
      </c>
      <c r="C300" s="2">
        <v>0.1212</v>
      </c>
      <c r="D300" s="2">
        <v>0.46</v>
      </c>
      <c r="E300" s="2">
        <v>0.29849999999999999</v>
      </c>
      <c r="F300" s="2">
        <v>0</v>
      </c>
      <c r="G300" s="2">
        <v>40</v>
      </c>
      <c r="H300" s="2">
        <v>40</v>
      </c>
    </row>
    <row r="301" spans="1:8" x14ac:dyDescent="0.3">
      <c r="A301">
        <v>299</v>
      </c>
      <c r="B301" s="2">
        <v>300</v>
      </c>
      <c r="C301" s="2">
        <v>0.1212</v>
      </c>
      <c r="D301" s="2">
        <v>0.46</v>
      </c>
      <c r="E301" s="2">
        <v>0.32840000000000003</v>
      </c>
      <c r="F301" s="2">
        <v>0</v>
      </c>
      <c r="G301" s="2">
        <v>30</v>
      </c>
      <c r="H301" s="2">
        <v>30</v>
      </c>
    </row>
    <row r="302" spans="1:8" x14ac:dyDescent="0.3">
      <c r="A302">
        <v>300</v>
      </c>
      <c r="B302" s="2">
        <v>301</v>
      </c>
      <c r="C302" s="2">
        <v>0.13639999999999999</v>
      </c>
      <c r="D302" s="2">
        <v>0.5</v>
      </c>
      <c r="E302" s="2">
        <v>0.19400000000000001</v>
      </c>
      <c r="F302" s="2">
        <v>1</v>
      </c>
      <c r="G302" s="2">
        <v>14</v>
      </c>
      <c r="H302" s="2">
        <v>15</v>
      </c>
    </row>
    <row r="303" spans="1:8" x14ac:dyDescent="0.3">
      <c r="A303">
        <v>301</v>
      </c>
      <c r="B303" s="2">
        <v>302</v>
      </c>
      <c r="C303" s="2">
        <v>0.13639999999999999</v>
      </c>
      <c r="D303" s="2">
        <v>0.5</v>
      </c>
      <c r="E303" s="2">
        <v>0.19400000000000001</v>
      </c>
      <c r="F303" s="2">
        <v>0</v>
      </c>
      <c r="G303" s="2">
        <v>14</v>
      </c>
      <c r="H303" s="2">
        <v>14</v>
      </c>
    </row>
    <row r="304" spans="1:8" x14ac:dyDescent="0.3">
      <c r="A304">
        <v>302</v>
      </c>
      <c r="B304" s="2">
        <v>303</v>
      </c>
      <c r="C304" s="2">
        <v>0.1212</v>
      </c>
      <c r="D304" s="2">
        <v>0.54</v>
      </c>
      <c r="E304" s="2">
        <v>0.16420000000000001</v>
      </c>
      <c r="F304" s="2">
        <v>0</v>
      </c>
      <c r="G304" s="2">
        <v>5</v>
      </c>
      <c r="H304" s="2">
        <v>5</v>
      </c>
    </row>
    <row r="305" spans="1:8" x14ac:dyDescent="0.3">
      <c r="A305">
        <v>303</v>
      </c>
      <c r="B305" s="2">
        <v>304</v>
      </c>
      <c r="C305" s="2">
        <v>0.1212</v>
      </c>
      <c r="D305" s="2">
        <v>0.54</v>
      </c>
      <c r="E305" s="2">
        <v>0.1343</v>
      </c>
      <c r="F305" s="2">
        <v>0</v>
      </c>
      <c r="G305" s="2">
        <v>1</v>
      </c>
      <c r="H305" s="2">
        <v>1</v>
      </c>
    </row>
    <row r="306" spans="1:8" x14ac:dyDescent="0.3">
      <c r="A306">
        <v>304</v>
      </c>
      <c r="B306" s="2">
        <v>305</v>
      </c>
      <c r="C306" s="2">
        <v>0.13639999999999999</v>
      </c>
      <c r="D306" s="2">
        <v>0.54</v>
      </c>
      <c r="E306" s="2">
        <v>0.1045</v>
      </c>
      <c r="F306" s="2">
        <v>0</v>
      </c>
      <c r="G306" s="2">
        <v>1</v>
      </c>
      <c r="H306" s="2">
        <v>1</v>
      </c>
    </row>
    <row r="307" spans="1:8" x14ac:dyDescent="0.3">
      <c r="A307">
        <v>305</v>
      </c>
      <c r="B307" s="2">
        <v>306</v>
      </c>
      <c r="C307" s="2">
        <v>0.13639999999999999</v>
      </c>
      <c r="D307" s="2">
        <v>0.54</v>
      </c>
      <c r="E307" s="2">
        <v>8.9599999999999999E-2</v>
      </c>
      <c r="F307" s="2">
        <v>0</v>
      </c>
      <c r="G307" s="2">
        <v>8</v>
      </c>
      <c r="H307" s="2">
        <v>8</v>
      </c>
    </row>
    <row r="308" spans="1:8" x14ac:dyDescent="0.3">
      <c r="A308">
        <v>306</v>
      </c>
      <c r="B308" s="2">
        <v>307</v>
      </c>
      <c r="C308" s="2">
        <v>0.18179999999999999</v>
      </c>
      <c r="D308" s="2">
        <v>0.54</v>
      </c>
      <c r="E308" s="2">
        <v>0</v>
      </c>
      <c r="F308" s="2">
        <v>0</v>
      </c>
      <c r="G308" s="2">
        <v>17</v>
      </c>
      <c r="H308" s="2">
        <v>17</v>
      </c>
    </row>
    <row r="309" spans="1:8" x14ac:dyDescent="0.3">
      <c r="A309">
        <v>307</v>
      </c>
      <c r="B309" s="2">
        <v>308</v>
      </c>
      <c r="C309" s="2">
        <v>0.1212</v>
      </c>
      <c r="D309" s="2">
        <v>0.74</v>
      </c>
      <c r="E309" s="2">
        <v>0.16420000000000001</v>
      </c>
      <c r="F309" s="2">
        <v>0</v>
      </c>
      <c r="G309" s="2">
        <v>70</v>
      </c>
      <c r="H309" s="2">
        <v>70</v>
      </c>
    </row>
    <row r="310" spans="1:8" x14ac:dyDescent="0.3">
      <c r="A310">
        <v>308</v>
      </c>
      <c r="B310" s="2">
        <v>309</v>
      </c>
      <c r="C310" s="2">
        <v>0.16669999999999999</v>
      </c>
      <c r="D310" s="2">
        <v>0.68</v>
      </c>
      <c r="E310" s="2">
        <v>0</v>
      </c>
      <c r="F310" s="2">
        <v>2</v>
      </c>
      <c r="G310" s="2">
        <v>156</v>
      </c>
      <c r="H310" s="2">
        <v>158</v>
      </c>
    </row>
    <row r="311" spans="1:8" x14ac:dyDescent="0.3">
      <c r="A311">
        <v>309</v>
      </c>
      <c r="B311" s="2">
        <v>310</v>
      </c>
      <c r="C311" s="2">
        <v>0.1515</v>
      </c>
      <c r="D311" s="2">
        <v>0.69</v>
      </c>
      <c r="E311" s="2">
        <v>0.1343</v>
      </c>
      <c r="F311" s="2">
        <v>0</v>
      </c>
      <c r="G311" s="2">
        <v>117</v>
      </c>
      <c r="H311" s="2">
        <v>117</v>
      </c>
    </row>
    <row r="312" spans="1:8" x14ac:dyDescent="0.3">
      <c r="A312">
        <v>310</v>
      </c>
      <c r="B312" s="2">
        <v>311</v>
      </c>
      <c r="C312" s="2">
        <v>0.18179999999999999</v>
      </c>
      <c r="D312" s="2">
        <v>0.55000000000000004</v>
      </c>
      <c r="E312" s="2">
        <v>0.19400000000000001</v>
      </c>
      <c r="F312" s="2">
        <v>4</v>
      </c>
      <c r="G312" s="2">
        <v>40</v>
      </c>
      <c r="H312" s="2">
        <v>44</v>
      </c>
    </row>
    <row r="313" spans="1:8" x14ac:dyDescent="0.3">
      <c r="A313">
        <v>311</v>
      </c>
      <c r="B313" s="2">
        <v>312</v>
      </c>
      <c r="C313" s="2">
        <v>0.16669999999999999</v>
      </c>
      <c r="D313" s="2">
        <v>0.51</v>
      </c>
      <c r="E313" s="2">
        <v>0.28360000000000002</v>
      </c>
      <c r="F313" s="2">
        <v>6</v>
      </c>
      <c r="G313" s="2">
        <v>47</v>
      </c>
      <c r="H313" s="2">
        <v>53</v>
      </c>
    </row>
    <row r="314" spans="1:8" x14ac:dyDescent="0.3">
      <c r="A314">
        <v>312</v>
      </c>
      <c r="B314" s="2">
        <v>313</v>
      </c>
      <c r="C314" s="2">
        <v>0.19700000000000001</v>
      </c>
      <c r="D314" s="2">
        <v>0.44</v>
      </c>
      <c r="E314" s="2">
        <v>0.25369999999999998</v>
      </c>
      <c r="F314" s="2">
        <v>2</v>
      </c>
      <c r="G314" s="2">
        <v>59</v>
      </c>
      <c r="H314" s="2">
        <v>61</v>
      </c>
    </row>
    <row r="315" spans="1:8" x14ac:dyDescent="0.3">
      <c r="A315">
        <v>313</v>
      </c>
      <c r="B315" s="2">
        <v>314</v>
      </c>
      <c r="C315" s="2">
        <v>0.19700000000000001</v>
      </c>
      <c r="D315" s="2">
        <v>0.37</v>
      </c>
      <c r="E315" s="2">
        <v>0.3881</v>
      </c>
      <c r="F315" s="2">
        <v>4</v>
      </c>
      <c r="G315" s="2">
        <v>73</v>
      </c>
      <c r="H315" s="2">
        <v>77</v>
      </c>
    </row>
    <row r="316" spans="1:8" x14ac:dyDescent="0.3">
      <c r="A316">
        <v>314</v>
      </c>
      <c r="B316" s="2">
        <v>315</v>
      </c>
      <c r="C316" s="2">
        <v>0.21210000000000001</v>
      </c>
      <c r="D316" s="2">
        <v>0.41</v>
      </c>
      <c r="E316" s="2">
        <v>0.28360000000000002</v>
      </c>
      <c r="F316" s="2">
        <v>5</v>
      </c>
      <c r="G316" s="2">
        <v>59</v>
      </c>
      <c r="H316" s="2">
        <v>64</v>
      </c>
    </row>
    <row r="317" spans="1:8" x14ac:dyDescent="0.3">
      <c r="A317">
        <v>315</v>
      </c>
      <c r="B317" s="2">
        <v>316</v>
      </c>
      <c r="C317" s="2">
        <v>0.2424</v>
      </c>
      <c r="D317" s="2">
        <v>0.38</v>
      </c>
      <c r="E317" s="2">
        <v>0.16420000000000001</v>
      </c>
      <c r="F317" s="2">
        <v>9</v>
      </c>
      <c r="G317" s="2">
        <v>59</v>
      </c>
      <c r="H317" s="2">
        <v>68</v>
      </c>
    </row>
    <row r="318" spans="1:8" x14ac:dyDescent="0.3">
      <c r="A318">
        <v>316</v>
      </c>
      <c r="B318" s="2">
        <v>317</v>
      </c>
      <c r="C318" s="2">
        <v>0.2424</v>
      </c>
      <c r="D318" s="2">
        <v>0.41</v>
      </c>
      <c r="E318" s="2">
        <v>0.1045</v>
      </c>
      <c r="F318" s="2">
        <v>3</v>
      </c>
      <c r="G318" s="2">
        <v>87</v>
      </c>
      <c r="H318" s="2">
        <v>90</v>
      </c>
    </row>
    <row r="319" spans="1:8" x14ac:dyDescent="0.3">
      <c r="A319">
        <v>317</v>
      </c>
      <c r="B319" s="2">
        <v>318</v>
      </c>
      <c r="C319" s="2">
        <v>0.2273</v>
      </c>
      <c r="D319" s="2">
        <v>0.41</v>
      </c>
      <c r="E319" s="2">
        <v>0.16420000000000001</v>
      </c>
      <c r="F319" s="2">
        <v>4</v>
      </c>
      <c r="G319" s="2">
        <v>155</v>
      </c>
      <c r="H319" s="2">
        <v>159</v>
      </c>
    </row>
    <row r="320" spans="1:8" x14ac:dyDescent="0.3">
      <c r="A320">
        <v>318</v>
      </c>
      <c r="B320" s="2">
        <v>319</v>
      </c>
      <c r="C320" s="2">
        <v>0.2576</v>
      </c>
      <c r="D320" s="2">
        <v>0.47</v>
      </c>
      <c r="E320" s="2">
        <v>0</v>
      </c>
      <c r="F320" s="2">
        <v>5</v>
      </c>
      <c r="G320" s="2">
        <v>134</v>
      </c>
      <c r="H320" s="2">
        <v>139</v>
      </c>
    </row>
    <row r="321" spans="1:8" x14ac:dyDescent="0.3">
      <c r="A321">
        <v>319</v>
      </c>
      <c r="B321" s="2">
        <v>320</v>
      </c>
      <c r="C321" s="2">
        <v>0.19700000000000001</v>
      </c>
      <c r="D321" s="2">
        <v>0.59</v>
      </c>
      <c r="E321" s="2">
        <v>8.9599999999999999E-2</v>
      </c>
      <c r="F321" s="2">
        <v>3</v>
      </c>
      <c r="G321" s="2">
        <v>89</v>
      </c>
      <c r="H321" s="2">
        <v>92</v>
      </c>
    </row>
    <row r="322" spans="1:8" x14ac:dyDescent="0.3">
      <c r="A322">
        <v>320</v>
      </c>
      <c r="B322" s="2">
        <v>321</v>
      </c>
      <c r="C322" s="2">
        <v>0.2424</v>
      </c>
      <c r="D322" s="2">
        <v>0.59</v>
      </c>
      <c r="E322" s="2">
        <v>0</v>
      </c>
      <c r="F322" s="2">
        <v>0</v>
      </c>
      <c r="G322" s="2">
        <v>68</v>
      </c>
      <c r="H322" s="2">
        <v>68</v>
      </c>
    </row>
    <row r="323" spans="1:8" x14ac:dyDescent="0.3">
      <c r="A323">
        <v>321</v>
      </c>
      <c r="B323" s="2">
        <v>322</v>
      </c>
      <c r="C323" s="2">
        <v>0.2273</v>
      </c>
      <c r="D323" s="2">
        <v>0.69</v>
      </c>
      <c r="E323" s="2">
        <v>0</v>
      </c>
      <c r="F323" s="2">
        <v>4</v>
      </c>
      <c r="G323" s="2">
        <v>48</v>
      </c>
      <c r="H323" s="2">
        <v>52</v>
      </c>
    </row>
    <row r="324" spans="1:8" x14ac:dyDescent="0.3">
      <c r="A324">
        <v>322</v>
      </c>
      <c r="B324" s="2">
        <v>323</v>
      </c>
      <c r="C324" s="2">
        <v>0.2273</v>
      </c>
      <c r="D324" s="2">
        <v>0.69</v>
      </c>
      <c r="E324" s="2">
        <v>0</v>
      </c>
      <c r="F324" s="2">
        <v>2</v>
      </c>
      <c r="G324" s="2">
        <v>34</v>
      </c>
      <c r="H324" s="2">
        <v>36</v>
      </c>
    </row>
    <row r="325" spans="1:8" x14ac:dyDescent="0.3">
      <c r="A325">
        <v>323</v>
      </c>
      <c r="B325" s="2">
        <v>324</v>
      </c>
      <c r="C325" s="2">
        <v>0.2424</v>
      </c>
      <c r="D325" s="2">
        <v>0.55000000000000004</v>
      </c>
      <c r="E325" s="2">
        <v>0</v>
      </c>
      <c r="F325" s="2">
        <v>1</v>
      </c>
      <c r="G325" s="2">
        <v>26</v>
      </c>
      <c r="H325" s="2">
        <v>27</v>
      </c>
    </row>
    <row r="326" spans="1:8" x14ac:dyDescent="0.3">
      <c r="A326">
        <v>324</v>
      </c>
      <c r="B326" s="2">
        <v>325</v>
      </c>
      <c r="C326" s="2">
        <v>0.2424</v>
      </c>
      <c r="D326" s="2">
        <v>0.55000000000000004</v>
      </c>
      <c r="E326" s="2">
        <v>0</v>
      </c>
      <c r="F326" s="2">
        <v>3</v>
      </c>
      <c r="G326" s="2">
        <v>25</v>
      </c>
      <c r="H326" s="2">
        <v>28</v>
      </c>
    </row>
    <row r="327" spans="1:8" x14ac:dyDescent="0.3">
      <c r="A327">
        <v>325</v>
      </c>
      <c r="B327" s="2">
        <v>326</v>
      </c>
      <c r="C327" s="2">
        <v>0.19700000000000001</v>
      </c>
      <c r="D327" s="2">
        <v>0.59</v>
      </c>
      <c r="E327" s="2">
        <v>8.9599999999999999E-2</v>
      </c>
      <c r="F327" s="2">
        <v>2</v>
      </c>
      <c r="G327" s="2">
        <v>18</v>
      </c>
      <c r="H327" s="2">
        <v>20</v>
      </c>
    </row>
    <row r="328" spans="1:8" x14ac:dyDescent="0.3">
      <c r="A328">
        <v>326</v>
      </c>
      <c r="B328" s="2">
        <v>327</v>
      </c>
      <c r="C328" s="2">
        <v>0.19700000000000001</v>
      </c>
      <c r="D328" s="2">
        <v>0.59</v>
      </c>
      <c r="E328" s="2">
        <v>8.9599999999999999E-2</v>
      </c>
      <c r="F328" s="2">
        <v>0</v>
      </c>
      <c r="G328" s="2">
        <v>12</v>
      </c>
      <c r="H328" s="2">
        <v>12</v>
      </c>
    </row>
    <row r="329" spans="1:8" x14ac:dyDescent="0.3">
      <c r="A329">
        <v>327</v>
      </c>
      <c r="B329" s="2">
        <v>328</v>
      </c>
      <c r="C329" s="2">
        <v>0.2273</v>
      </c>
      <c r="D329" s="2">
        <v>0.59</v>
      </c>
      <c r="E329" s="2">
        <v>0</v>
      </c>
      <c r="F329" s="2">
        <v>1</v>
      </c>
      <c r="G329" s="2">
        <v>7</v>
      </c>
      <c r="H329" s="2">
        <v>8</v>
      </c>
    </row>
    <row r="330" spans="1:8" x14ac:dyDescent="0.3">
      <c r="A330">
        <v>328</v>
      </c>
      <c r="B330" s="2">
        <v>329</v>
      </c>
      <c r="C330" s="2">
        <v>0.2273</v>
      </c>
      <c r="D330" s="2">
        <v>0.59</v>
      </c>
      <c r="E330" s="2">
        <v>0</v>
      </c>
      <c r="F330" s="2">
        <v>0</v>
      </c>
      <c r="G330" s="2">
        <v>5</v>
      </c>
      <c r="H330" s="2">
        <v>5</v>
      </c>
    </row>
    <row r="331" spans="1:8" x14ac:dyDescent="0.3">
      <c r="A331">
        <v>329</v>
      </c>
      <c r="B331" s="2">
        <v>330</v>
      </c>
      <c r="C331" s="2">
        <v>0.2273</v>
      </c>
      <c r="D331" s="2">
        <v>0.59</v>
      </c>
      <c r="E331" s="2">
        <v>0</v>
      </c>
      <c r="F331" s="2">
        <v>0</v>
      </c>
      <c r="G331" s="2">
        <v>1</v>
      </c>
      <c r="H331" s="2">
        <v>1</v>
      </c>
    </row>
    <row r="332" spans="1:8" x14ac:dyDescent="0.3">
      <c r="A332">
        <v>330</v>
      </c>
      <c r="B332" s="2">
        <v>331</v>
      </c>
      <c r="C332" s="2">
        <v>0.16669999999999999</v>
      </c>
      <c r="D332" s="2">
        <v>0.63</v>
      </c>
      <c r="E332" s="2">
        <v>0.1045</v>
      </c>
      <c r="F332" s="2">
        <v>1</v>
      </c>
      <c r="G332" s="2">
        <v>2</v>
      </c>
      <c r="H332" s="2">
        <v>3</v>
      </c>
    </row>
    <row r="333" spans="1:8" x14ac:dyDescent="0.3">
      <c r="A333">
        <v>331</v>
      </c>
      <c r="B333" s="2">
        <v>332</v>
      </c>
      <c r="C333" s="2">
        <v>0.21210000000000001</v>
      </c>
      <c r="D333" s="2">
        <v>0.63</v>
      </c>
      <c r="E333" s="2">
        <v>0</v>
      </c>
      <c r="F333" s="2">
        <v>1</v>
      </c>
      <c r="G333" s="2">
        <v>9</v>
      </c>
      <c r="H333" s="2">
        <v>10</v>
      </c>
    </row>
    <row r="334" spans="1:8" x14ac:dyDescent="0.3">
      <c r="A334">
        <v>332</v>
      </c>
      <c r="B334" s="2">
        <v>333</v>
      </c>
      <c r="C334" s="2">
        <v>0.1515</v>
      </c>
      <c r="D334" s="2">
        <v>0.63</v>
      </c>
      <c r="E334" s="2">
        <v>0.1343</v>
      </c>
      <c r="F334" s="2">
        <v>1</v>
      </c>
      <c r="G334" s="2">
        <v>22</v>
      </c>
      <c r="H334" s="2">
        <v>23</v>
      </c>
    </row>
    <row r="335" spans="1:8" x14ac:dyDescent="0.3">
      <c r="A335">
        <v>333</v>
      </c>
      <c r="B335" s="2">
        <v>334</v>
      </c>
      <c r="C335" s="2">
        <v>0.18179999999999999</v>
      </c>
      <c r="D335" s="2">
        <v>0.64</v>
      </c>
      <c r="E335" s="2">
        <v>0.1343</v>
      </c>
      <c r="F335" s="2">
        <v>2</v>
      </c>
      <c r="G335" s="2">
        <v>31</v>
      </c>
      <c r="H335" s="2">
        <v>33</v>
      </c>
    </row>
    <row r="336" spans="1:8" x14ac:dyDescent="0.3">
      <c r="A336">
        <v>334</v>
      </c>
      <c r="B336" s="2">
        <v>335</v>
      </c>
      <c r="C336" s="2">
        <v>0.19700000000000001</v>
      </c>
      <c r="D336" s="2">
        <v>0.59</v>
      </c>
      <c r="E336" s="2">
        <v>0.16420000000000001</v>
      </c>
      <c r="F336" s="2">
        <v>2</v>
      </c>
      <c r="G336" s="2">
        <v>57</v>
      </c>
      <c r="H336" s="2">
        <v>59</v>
      </c>
    </row>
    <row r="337" spans="1:8" x14ac:dyDescent="0.3">
      <c r="A337">
        <v>335</v>
      </c>
      <c r="B337" s="2">
        <v>336</v>
      </c>
      <c r="C337" s="2">
        <v>0.19700000000000001</v>
      </c>
      <c r="D337" s="2">
        <v>0.55000000000000004</v>
      </c>
      <c r="E337" s="2">
        <v>0.22389999999999999</v>
      </c>
      <c r="F337" s="2">
        <v>18</v>
      </c>
      <c r="G337" s="2">
        <v>54</v>
      </c>
      <c r="H337" s="2">
        <v>72</v>
      </c>
    </row>
    <row r="338" spans="1:8" x14ac:dyDescent="0.3">
      <c r="A338">
        <v>336</v>
      </c>
      <c r="B338" s="2">
        <v>337</v>
      </c>
      <c r="C338" s="2">
        <v>0.2273</v>
      </c>
      <c r="D338" s="2">
        <v>0.48</v>
      </c>
      <c r="E338" s="2">
        <v>0.22389999999999999</v>
      </c>
      <c r="F338" s="2">
        <v>15</v>
      </c>
      <c r="G338" s="2">
        <v>74</v>
      </c>
      <c r="H338" s="2">
        <v>89</v>
      </c>
    </row>
    <row r="339" spans="1:8" x14ac:dyDescent="0.3">
      <c r="A339">
        <v>337</v>
      </c>
      <c r="B339" s="2">
        <v>338</v>
      </c>
      <c r="C339" s="2">
        <v>0.2576</v>
      </c>
      <c r="D339" s="2">
        <v>0.38</v>
      </c>
      <c r="E339" s="2">
        <v>0.29849999999999999</v>
      </c>
      <c r="F339" s="2">
        <v>21</v>
      </c>
      <c r="G339" s="2">
        <v>80</v>
      </c>
      <c r="H339" s="2">
        <v>101</v>
      </c>
    </row>
    <row r="340" spans="1:8" x14ac:dyDescent="0.3">
      <c r="A340">
        <v>338</v>
      </c>
      <c r="B340" s="2">
        <v>339</v>
      </c>
      <c r="C340" s="2">
        <v>0.28789999999999999</v>
      </c>
      <c r="D340" s="2">
        <v>0.39</v>
      </c>
      <c r="E340" s="2">
        <v>0.28360000000000002</v>
      </c>
      <c r="F340" s="2">
        <v>26</v>
      </c>
      <c r="G340" s="2">
        <v>92</v>
      </c>
      <c r="H340" s="2">
        <v>118</v>
      </c>
    </row>
    <row r="341" spans="1:8" x14ac:dyDescent="0.3">
      <c r="A341">
        <v>339</v>
      </c>
      <c r="B341" s="2">
        <v>340</v>
      </c>
      <c r="C341" s="2">
        <v>0.31819999999999998</v>
      </c>
      <c r="D341" s="2">
        <v>0.36</v>
      </c>
      <c r="E341" s="2">
        <v>0.19400000000000001</v>
      </c>
      <c r="F341" s="2">
        <v>21</v>
      </c>
      <c r="G341" s="2">
        <v>108</v>
      </c>
      <c r="H341" s="2">
        <v>129</v>
      </c>
    </row>
    <row r="342" spans="1:8" x14ac:dyDescent="0.3">
      <c r="A342">
        <v>340</v>
      </c>
      <c r="B342" s="2">
        <v>341</v>
      </c>
      <c r="C342" s="2">
        <v>0.33329999999999999</v>
      </c>
      <c r="D342" s="2">
        <v>0.34</v>
      </c>
      <c r="E342" s="2">
        <v>0.19400000000000001</v>
      </c>
      <c r="F342" s="2">
        <v>33</v>
      </c>
      <c r="G342" s="2">
        <v>95</v>
      </c>
      <c r="H342" s="2">
        <v>128</v>
      </c>
    </row>
    <row r="343" spans="1:8" x14ac:dyDescent="0.3">
      <c r="A343">
        <v>341</v>
      </c>
      <c r="B343" s="2">
        <v>342</v>
      </c>
      <c r="C343" s="2">
        <v>0.30299999999999999</v>
      </c>
      <c r="D343" s="2">
        <v>0.36</v>
      </c>
      <c r="E343" s="2">
        <v>0.28360000000000002</v>
      </c>
      <c r="F343" s="2">
        <v>29</v>
      </c>
      <c r="G343" s="2">
        <v>54</v>
      </c>
      <c r="H343" s="2">
        <v>83</v>
      </c>
    </row>
    <row r="344" spans="1:8" x14ac:dyDescent="0.3">
      <c r="A344">
        <v>342</v>
      </c>
      <c r="B344" s="2">
        <v>343</v>
      </c>
      <c r="C344" s="2">
        <v>0.28789999999999999</v>
      </c>
      <c r="D344" s="2">
        <v>0.45</v>
      </c>
      <c r="E344" s="2">
        <v>0.25369999999999998</v>
      </c>
      <c r="F344" s="2">
        <v>15</v>
      </c>
      <c r="G344" s="2">
        <v>69</v>
      </c>
      <c r="H344" s="2">
        <v>84</v>
      </c>
    </row>
    <row r="345" spans="1:8" x14ac:dyDescent="0.3">
      <c r="A345">
        <v>343</v>
      </c>
      <c r="B345" s="2">
        <v>344</v>
      </c>
      <c r="C345" s="2">
        <v>0.30299999999999999</v>
      </c>
      <c r="D345" s="2">
        <v>0.39</v>
      </c>
      <c r="E345" s="2">
        <v>0.25369999999999998</v>
      </c>
      <c r="F345" s="2">
        <v>14</v>
      </c>
      <c r="G345" s="2">
        <v>60</v>
      </c>
      <c r="H345" s="2">
        <v>74</v>
      </c>
    </row>
    <row r="346" spans="1:8" x14ac:dyDescent="0.3">
      <c r="A346">
        <v>344</v>
      </c>
      <c r="B346" s="2">
        <v>345</v>
      </c>
      <c r="C346" s="2">
        <v>0.30299999999999999</v>
      </c>
      <c r="D346" s="2">
        <v>0.39</v>
      </c>
      <c r="E346" s="2">
        <v>0.25369999999999998</v>
      </c>
      <c r="F346" s="2">
        <v>6</v>
      </c>
      <c r="G346" s="2">
        <v>35</v>
      </c>
      <c r="H346" s="2">
        <v>41</v>
      </c>
    </row>
    <row r="347" spans="1:8" x14ac:dyDescent="0.3">
      <c r="A347">
        <v>345</v>
      </c>
      <c r="B347" s="2">
        <v>346</v>
      </c>
      <c r="C347" s="2">
        <v>0.30299999999999999</v>
      </c>
      <c r="D347" s="2">
        <v>0.39</v>
      </c>
      <c r="E347" s="2">
        <v>0.22389999999999999</v>
      </c>
      <c r="F347" s="2">
        <v>6</v>
      </c>
      <c r="G347" s="2">
        <v>51</v>
      </c>
      <c r="H347" s="2">
        <v>57</v>
      </c>
    </row>
    <row r="348" spans="1:8" x14ac:dyDescent="0.3">
      <c r="A348">
        <v>346</v>
      </c>
      <c r="B348" s="2">
        <v>347</v>
      </c>
      <c r="C348" s="2">
        <v>0.31819999999999998</v>
      </c>
      <c r="D348" s="2">
        <v>0.42</v>
      </c>
      <c r="E348" s="2">
        <v>0.1045</v>
      </c>
      <c r="F348" s="2">
        <v>0</v>
      </c>
      <c r="G348" s="2">
        <v>26</v>
      </c>
      <c r="H348" s="2">
        <v>26</v>
      </c>
    </row>
    <row r="349" spans="1:8" x14ac:dyDescent="0.3">
      <c r="A349">
        <v>347</v>
      </c>
      <c r="B349" s="2">
        <v>348</v>
      </c>
      <c r="C349" s="2">
        <v>0.28789999999999999</v>
      </c>
      <c r="D349" s="2">
        <v>0.45</v>
      </c>
      <c r="E349" s="2">
        <v>0.28360000000000002</v>
      </c>
      <c r="F349" s="2">
        <v>5</v>
      </c>
      <c r="G349" s="2">
        <v>39</v>
      </c>
      <c r="H349" s="2">
        <v>44</v>
      </c>
    </row>
    <row r="350" spans="1:8" x14ac:dyDescent="0.3">
      <c r="A350">
        <v>348</v>
      </c>
      <c r="B350" s="2">
        <v>349</v>
      </c>
      <c r="C350" s="2">
        <v>0.30299999999999999</v>
      </c>
      <c r="D350" s="2">
        <v>0.56000000000000005</v>
      </c>
      <c r="E350" s="2">
        <v>0</v>
      </c>
      <c r="F350" s="2">
        <v>6</v>
      </c>
      <c r="G350" s="2">
        <v>33</v>
      </c>
      <c r="H350" s="2">
        <v>39</v>
      </c>
    </row>
    <row r="351" spans="1:8" x14ac:dyDescent="0.3">
      <c r="A351">
        <v>349</v>
      </c>
      <c r="B351" s="2">
        <v>350</v>
      </c>
      <c r="C351" s="2">
        <v>0.2727</v>
      </c>
      <c r="D351" s="2">
        <v>0.56000000000000005</v>
      </c>
      <c r="E351" s="2">
        <v>0.1343</v>
      </c>
      <c r="F351" s="2">
        <v>4</v>
      </c>
      <c r="G351" s="2">
        <v>19</v>
      </c>
      <c r="H351" s="2">
        <v>23</v>
      </c>
    </row>
    <row r="352" spans="1:8" x14ac:dyDescent="0.3">
      <c r="A352">
        <v>350</v>
      </c>
      <c r="B352" s="2">
        <v>351</v>
      </c>
      <c r="C352" s="2">
        <v>0.28789999999999999</v>
      </c>
      <c r="D352" s="2">
        <v>0.56000000000000005</v>
      </c>
      <c r="E352" s="2">
        <v>8.9599999999999999E-2</v>
      </c>
      <c r="F352" s="2">
        <v>3</v>
      </c>
      <c r="G352" s="2">
        <v>13</v>
      </c>
      <c r="H352" s="2">
        <v>16</v>
      </c>
    </row>
    <row r="353" spans="1:8" x14ac:dyDescent="0.3">
      <c r="A353">
        <v>351</v>
      </c>
      <c r="B353" s="2">
        <v>352</v>
      </c>
      <c r="C353" s="2">
        <v>0.2727</v>
      </c>
      <c r="D353" s="2">
        <v>0.69</v>
      </c>
      <c r="E353" s="2">
        <v>0</v>
      </c>
      <c r="F353" s="2">
        <v>9</v>
      </c>
      <c r="G353" s="2">
        <v>6</v>
      </c>
      <c r="H353" s="2">
        <v>15</v>
      </c>
    </row>
    <row r="354" spans="1:8" x14ac:dyDescent="0.3">
      <c r="A354">
        <v>352</v>
      </c>
      <c r="B354" s="2">
        <v>353</v>
      </c>
      <c r="C354" s="2">
        <v>0.2576</v>
      </c>
      <c r="D354" s="2">
        <v>0.56000000000000005</v>
      </c>
      <c r="E354" s="2">
        <v>0.16420000000000001</v>
      </c>
      <c r="F354" s="2">
        <v>0</v>
      </c>
      <c r="G354" s="2">
        <v>1</v>
      </c>
      <c r="H354" s="2">
        <v>1</v>
      </c>
    </row>
    <row r="355" spans="1:8" x14ac:dyDescent="0.3">
      <c r="A355">
        <v>353</v>
      </c>
      <c r="B355" s="2">
        <v>354</v>
      </c>
      <c r="C355" s="2">
        <v>0.2576</v>
      </c>
      <c r="D355" s="2">
        <v>0.56000000000000005</v>
      </c>
      <c r="E355" s="2">
        <v>0.16420000000000001</v>
      </c>
      <c r="F355" s="2">
        <v>1</v>
      </c>
      <c r="G355" s="2">
        <v>1</v>
      </c>
      <c r="H355" s="2">
        <v>2</v>
      </c>
    </row>
    <row r="356" spans="1:8" x14ac:dyDescent="0.3">
      <c r="A356">
        <v>354</v>
      </c>
      <c r="B356" s="2">
        <v>355</v>
      </c>
      <c r="C356" s="2">
        <v>0.2576</v>
      </c>
      <c r="D356" s="2">
        <v>0.56000000000000005</v>
      </c>
      <c r="E356" s="2">
        <v>0.16420000000000001</v>
      </c>
      <c r="F356" s="2">
        <v>0</v>
      </c>
      <c r="G356" s="2">
        <v>1</v>
      </c>
      <c r="H356" s="2">
        <v>1</v>
      </c>
    </row>
    <row r="357" spans="1:8" x14ac:dyDescent="0.3">
      <c r="A357">
        <v>355</v>
      </c>
      <c r="B357" s="2">
        <v>356</v>
      </c>
      <c r="C357" s="2">
        <v>0.21210000000000001</v>
      </c>
      <c r="D357" s="2">
        <v>0.56000000000000005</v>
      </c>
      <c r="E357" s="2">
        <v>0.29849999999999999</v>
      </c>
      <c r="F357" s="2">
        <v>0</v>
      </c>
      <c r="G357" s="2">
        <v>3</v>
      </c>
      <c r="H357" s="2">
        <v>3</v>
      </c>
    </row>
    <row r="358" spans="1:8" x14ac:dyDescent="0.3">
      <c r="A358">
        <v>356</v>
      </c>
      <c r="B358" s="2">
        <v>357</v>
      </c>
      <c r="C358" s="2">
        <v>0.21210000000000001</v>
      </c>
      <c r="D358" s="2">
        <v>0.55000000000000004</v>
      </c>
      <c r="E358" s="2">
        <v>0.28360000000000002</v>
      </c>
      <c r="F358" s="2">
        <v>0</v>
      </c>
      <c r="G358" s="2">
        <v>18</v>
      </c>
      <c r="H358" s="2">
        <v>18</v>
      </c>
    </row>
    <row r="359" spans="1:8" x14ac:dyDescent="0.3">
      <c r="A359">
        <v>357</v>
      </c>
      <c r="B359" s="2">
        <v>358</v>
      </c>
      <c r="C359" s="2">
        <v>0.21210000000000001</v>
      </c>
      <c r="D359" s="2">
        <v>0.51</v>
      </c>
      <c r="E359" s="2">
        <v>0.25369999999999998</v>
      </c>
      <c r="F359" s="2">
        <v>3</v>
      </c>
      <c r="G359" s="2">
        <v>29</v>
      </c>
      <c r="H359" s="2">
        <v>32</v>
      </c>
    </row>
    <row r="360" spans="1:8" x14ac:dyDescent="0.3">
      <c r="A360">
        <v>358</v>
      </c>
      <c r="B360" s="2">
        <v>359</v>
      </c>
      <c r="C360" s="2">
        <v>0.21210000000000001</v>
      </c>
      <c r="D360" s="2">
        <v>0.51</v>
      </c>
      <c r="E360" s="2">
        <v>0.28360000000000002</v>
      </c>
      <c r="F360" s="2">
        <v>8</v>
      </c>
      <c r="G360" s="2">
        <v>71</v>
      </c>
      <c r="H360" s="2">
        <v>79</v>
      </c>
    </row>
    <row r="361" spans="1:8" x14ac:dyDescent="0.3">
      <c r="A361">
        <v>359</v>
      </c>
      <c r="B361" s="2">
        <v>360</v>
      </c>
      <c r="C361" s="2">
        <v>0.2273</v>
      </c>
      <c r="D361" s="2">
        <v>0.44</v>
      </c>
      <c r="E361" s="2">
        <v>0.25369999999999998</v>
      </c>
      <c r="F361" s="2">
        <v>23</v>
      </c>
      <c r="G361" s="2">
        <v>70</v>
      </c>
      <c r="H361" s="2">
        <v>93</v>
      </c>
    </row>
    <row r="362" spans="1:8" x14ac:dyDescent="0.3">
      <c r="A362">
        <v>360</v>
      </c>
      <c r="B362" s="2">
        <v>361</v>
      </c>
      <c r="C362" s="2">
        <v>0.21210000000000001</v>
      </c>
      <c r="D362" s="2">
        <v>0.41</v>
      </c>
      <c r="E362" s="2">
        <v>0.28360000000000002</v>
      </c>
      <c r="F362" s="2">
        <v>29</v>
      </c>
      <c r="G362" s="2">
        <v>75</v>
      </c>
      <c r="H362" s="2">
        <v>104</v>
      </c>
    </row>
    <row r="363" spans="1:8" x14ac:dyDescent="0.3">
      <c r="A363">
        <v>361</v>
      </c>
      <c r="B363" s="2">
        <v>362</v>
      </c>
      <c r="C363" s="2">
        <v>0.2273</v>
      </c>
      <c r="D363" s="2">
        <v>0.35</v>
      </c>
      <c r="E363" s="2">
        <v>0.29849999999999999</v>
      </c>
      <c r="F363" s="2">
        <v>23</v>
      </c>
      <c r="G363" s="2">
        <v>95</v>
      </c>
      <c r="H363" s="2">
        <v>118</v>
      </c>
    </row>
    <row r="364" spans="1:8" x14ac:dyDescent="0.3">
      <c r="A364">
        <v>362</v>
      </c>
      <c r="B364" s="2">
        <v>363</v>
      </c>
      <c r="C364" s="2">
        <v>0.2727</v>
      </c>
      <c r="D364" s="2">
        <v>0.36</v>
      </c>
      <c r="E364" s="2">
        <v>0.25369999999999998</v>
      </c>
      <c r="F364" s="2">
        <v>22</v>
      </c>
      <c r="G364" s="2">
        <v>69</v>
      </c>
      <c r="H364" s="2">
        <v>91</v>
      </c>
    </row>
    <row r="365" spans="1:8" x14ac:dyDescent="0.3">
      <c r="A365">
        <v>363</v>
      </c>
      <c r="B365" s="2">
        <v>364</v>
      </c>
      <c r="C365" s="2">
        <v>0.2424</v>
      </c>
      <c r="D365" s="2">
        <v>0.38</v>
      </c>
      <c r="E365" s="2">
        <v>0.25369999999999998</v>
      </c>
      <c r="F365" s="2">
        <v>35</v>
      </c>
      <c r="G365" s="2">
        <v>78</v>
      </c>
      <c r="H365" s="2">
        <v>113</v>
      </c>
    </row>
    <row r="366" spans="1:8" x14ac:dyDescent="0.3">
      <c r="A366">
        <v>364</v>
      </c>
      <c r="B366" s="2">
        <v>365</v>
      </c>
      <c r="C366" s="2">
        <v>0.2273</v>
      </c>
      <c r="D366" s="2">
        <v>0.38</v>
      </c>
      <c r="E366" s="2">
        <v>0.22389999999999999</v>
      </c>
      <c r="F366" s="2">
        <v>22</v>
      </c>
      <c r="G366" s="2">
        <v>77</v>
      </c>
      <c r="H366" s="2">
        <v>99</v>
      </c>
    </row>
    <row r="367" spans="1:8" x14ac:dyDescent="0.3">
      <c r="A367">
        <v>365</v>
      </c>
      <c r="B367" s="2">
        <v>366</v>
      </c>
      <c r="C367" s="2">
        <v>0.21210000000000001</v>
      </c>
      <c r="D367" s="2">
        <v>0.37</v>
      </c>
      <c r="E367" s="2">
        <v>0.25369999999999998</v>
      </c>
      <c r="F367" s="2">
        <v>23</v>
      </c>
      <c r="G367" s="2">
        <v>82</v>
      </c>
      <c r="H367" s="2">
        <v>105</v>
      </c>
    </row>
    <row r="368" spans="1:8" x14ac:dyDescent="0.3">
      <c r="A368">
        <v>366</v>
      </c>
      <c r="B368" s="2">
        <v>367</v>
      </c>
      <c r="C368" s="2">
        <v>0.21210000000000001</v>
      </c>
      <c r="D368" s="2">
        <v>0.4</v>
      </c>
      <c r="E368" s="2">
        <v>0.16420000000000001</v>
      </c>
      <c r="F368" s="2">
        <v>11</v>
      </c>
      <c r="G368" s="2">
        <v>56</v>
      </c>
      <c r="H368" s="2">
        <v>67</v>
      </c>
    </row>
    <row r="369" spans="1:8" x14ac:dyDescent="0.3">
      <c r="A369">
        <v>367</v>
      </c>
      <c r="B369" s="2">
        <v>368</v>
      </c>
      <c r="C369" s="2">
        <v>0.19700000000000001</v>
      </c>
      <c r="D369" s="2">
        <v>0.47</v>
      </c>
      <c r="E369" s="2">
        <v>0.1343</v>
      </c>
      <c r="F369" s="2">
        <v>14</v>
      </c>
      <c r="G369" s="2">
        <v>47</v>
      </c>
      <c r="H369" s="2">
        <v>61</v>
      </c>
    </row>
    <row r="370" spans="1:8" x14ac:dyDescent="0.3">
      <c r="A370">
        <v>368</v>
      </c>
      <c r="B370" s="2">
        <v>369</v>
      </c>
      <c r="C370" s="2">
        <v>0.19700000000000001</v>
      </c>
      <c r="D370" s="2">
        <v>0.47</v>
      </c>
      <c r="E370" s="2">
        <v>0.16420000000000001</v>
      </c>
      <c r="F370" s="2">
        <v>7</v>
      </c>
      <c r="G370" s="2">
        <v>50</v>
      </c>
      <c r="H370" s="2">
        <v>57</v>
      </c>
    </row>
    <row r="371" spans="1:8" x14ac:dyDescent="0.3">
      <c r="A371">
        <v>369</v>
      </c>
      <c r="B371" s="2">
        <v>370</v>
      </c>
      <c r="C371" s="2">
        <v>0.19700000000000001</v>
      </c>
      <c r="D371" s="2">
        <v>0.51</v>
      </c>
      <c r="E371" s="2">
        <v>0.16420000000000001</v>
      </c>
      <c r="F371" s="2">
        <v>6</v>
      </c>
      <c r="G371" s="2">
        <v>22</v>
      </c>
      <c r="H371" s="2">
        <v>28</v>
      </c>
    </row>
    <row r="372" spans="1:8" x14ac:dyDescent="0.3">
      <c r="A372">
        <v>370</v>
      </c>
      <c r="B372" s="2">
        <v>371</v>
      </c>
      <c r="C372" s="2">
        <v>0.21210000000000001</v>
      </c>
      <c r="D372" s="2">
        <v>0.49</v>
      </c>
      <c r="E372" s="2">
        <v>0.1343</v>
      </c>
      <c r="F372" s="2">
        <v>2</v>
      </c>
      <c r="G372" s="2">
        <v>19</v>
      </c>
      <c r="H372" s="2">
        <v>21</v>
      </c>
    </row>
    <row r="373" spans="1:8" x14ac:dyDescent="0.3">
      <c r="A373">
        <v>371</v>
      </c>
      <c r="B373" s="2">
        <v>372</v>
      </c>
      <c r="C373" s="2">
        <v>0.2273</v>
      </c>
      <c r="D373" s="2">
        <v>0.4</v>
      </c>
      <c r="E373" s="2">
        <v>0.1045</v>
      </c>
      <c r="F373" s="2">
        <v>0</v>
      </c>
      <c r="G373" s="2">
        <v>18</v>
      </c>
      <c r="H373" s="2">
        <v>18</v>
      </c>
    </row>
    <row r="374" spans="1:8" x14ac:dyDescent="0.3">
      <c r="A374">
        <v>372</v>
      </c>
      <c r="B374" s="2">
        <v>373</v>
      </c>
      <c r="C374" s="2">
        <v>0.19700000000000001</v>
      </c>
      <c r="D374" s="2">
        <v>0.47</v>
      </c>
      <c r="E374" s="2">
        <v>0.22389999999999999</v>
      </c>
      <c r="F374" s="2">
        <v>1</v>
      </c>
      <c r="G374" s="2">
        <v>16</v>
      </c>
      <c r="H374" s="2">
        <v>17</v>
      </c>
    </row>
    <row r="375" spans="1:8" x14ac:dyDescent="0.3">
      <c r="A375">
        <v>373</v>
      </c>
      <c r="B375" s="2">
        <v>374</v>
      </c>
      <c r="C375" s="2">
        <v>0.19700000000000001</v>
      </c>
      <c r="D375" s="2">
        <v>0.44</v>
      </c>
      <c r="E375" s="2">
        <v>0.19400000000000001</v>
      </c>
      <c r="F375" s="2">
        <v>1</v>
      </c>
      <c r="G375" s="2">
        <v>15</v>
      </c>
      <c r="H375" s="2">
        <v>16</v>
      </c>
    </row>
    <row r="376" spans="1:8" x14ac:dyDescent="0.3">
      <c r="A376">
        <v>374</v>
      </c>
      <c r="B376" s="2">
        <v>375</v>
      </c>
      <c r="C376" s="2">
        <v>0.16669999999999999</v>
      </c>
      <c r="D376" s="2">
        <v>0.43</v>
      </c>
      <c r="E376" s="2">
        <v>0.25369999999999998</v>
      </c>
      <c r="F376" s="2">
        <v>0</v>
      </c>
      <c r="G376" s="2">
        <v>8</v>
      </c>
      <c r="H376" s="2">
        <v>8</v>
      </c>
    </row>
    <row r="377" spans="1:8" x14ac:dyDescent="0.3">
      <c r="A377">
        <v>375</v>
      </c>
      <c r="B377" s="2">
        <v>376</v>
      </c>
      <c r="C377" s="2">
        <v>0.18179999999999999</v>
      </c>
      <c r="D377" s="2">
        <v>0.43</v>
      </c>
      <c r="E377" s="2">
        <v>0.19400000000000001</v>
      </c>
      <c r="F377" s="2">
        <v>0</v>
      </c>
      <c r="G377" s="2">
        <v>2</v>
      </c>
      <c r="H377" s="2">
        <v>2</v>
      </c>
    </row>
    <row r="378" spans="1:8" x14ac:dyDescent="0.3">
      <c r="A378">
        <v>376</v>
      </c>
      <c r="B378" s="2">
        <v>377</v>
      </c>
      <c r="C378" s="2">
        <v>0.19700000000000001</v>
      </c>
      <c r="D378" s="2">
        <v>0.43</v>
      </c>
      <c r="E378" s="2">
        <v>0.1343</v>
      </c>
      <c r="F378" s="2">
        <v>1</v>
      </c>
      <c r="G378" s="2">
        <v>2</v>
      </c>
      <c r="H378" s="2">
        <v>3</v>
      </c>
    </row>
    <row r="379" spans="1:8" x14ac:dyDescent="0.3">
      <c r="A379">
        <v>377</v>
      </c>
      <c r="B379" s="2">
        <v>378</v>
      </c>
      <c r="C379" s="2">
        <v>0.19700000000000001</v>
      </c>
      <c r="D379" s="2">
        <v>0.43</v>
      </c>
      <c r="E379" s="2">
        <v>0.16420000000000001</v>
      </c>
      <c r="F379" s="2">
        <v>0</v>
      </c>
      <c r="G379" s="2">
        <v>1</v>
      </c>
      <c r="H379" s="2">
        <v>1</v>
      </c>
    </row>
    <row r="380" spans="1:8" x14ac:dyDescent="0.3">
      <c r="A380">
        <v>378</v>
      </c>
      <c r="B380" s="2">
        <v>379</v>
      </c>
      <c r="C380" s="2">
        <v>0.18179999999999999</v>
      </c>
      <c r="D380" s="2">
        <v>0.43</v>
      </c>
      <c r="E380" s="2">
        <v>0.19400000000000001</v>
      </c>
      <c r="F380" s="2">
        <v>0</v>
      </c>
      <c r="G380" s="2">
        <v>5</v>
      </c>
      <c r="H380" s="2">
        <v>5</v>
      </c>
    </row>
    <row r="381" spans="1:8" x14ac:dyDescent="0.3">
      <c r="A381">
        <v>379</v>
      </c>
      <c r="B381" s="2">
        <v>380</v>
      </c>
      <c r="C381" s="2">
        <v>0.18179999999999999</v>
      </c>
      <c r="D381" s="2">
        <v>0.5</v>
      </c>
      <c r="E381" s="2">
        <v>0.1343</v>
      </c>
      <c r="F381" s="2">
        <v>4</v>
      </c>
      <c r="G381" s="2">
        <v>9</v>
      </c>
      <c r="H381" s="2">
        <v>13</v>
      </c>
    </row>
    <row r="382" spans="1:8" x14ac:dyDescent="0.3">
      <c r="A382">
        <v>380</v>
      </c>
      <c r="B382" s="2">
        <v>381</v>
      </c>
      <c r="C382" s="2">
        <v>0.1515</v>
      </c>
      <c r="D382" s="2">
        <v>0.47</v>
      </c>
      <c r="E382" s="2">
        <v>0.22389999999999999</v>
      </c>
      <c r="F382" s="2">
        <v>3</v>
      </c>
      <c r="G382" s="2">
        <v>30</v>
      </c>
      <c r="H382" s="2">
        <v>33</v>
      </c>
    </row>
    <row r="383" spans="1:8" x14ac:dyDescent="0.3">
      <c r="A383">
        <v>381</v>
      </c>
      <c r="B383" s="2">
        <v>382</v>
      </c>
      <c r="C383" s="2">
        <v>0.1515</v>
      </c>
      <c r="D383" s="2">
        <v>0.47</v>
      </c>
      <c r="E383" s="2">
        <v>0.22389999999999999</v>
      </c>
      <c r="F383" s="2">
        <v>8</v>
      </c>
      <c r="G383" s="2">
        <v>39</v>
      </c>
      <c r="H383" s="2">
        <v>47</v>
      </c>
    </row>
    <row r="384" spans="1:8" x14ac:dyDescent="0.3">
      <c r="A384">
        <v>382</v>
      </c>
      <c r="B384" s="2">
        <v>383</v>
      </c>
      <c r="C384" s="2">
        <v>0.1515</v>
      </c>
      <c r="D384" s="2">
        <v>0.5</v>
      </c>
      <c r="E384" s="2">
        <v>0.25369999999999998</v>
      </c>
      <c r="F384" s="2">
        <v>7</v>
      </c>
      <c r="G384" s="2">
        <v>50</v>
      </c>
      <c r="H384" s="2">
        <v>57</v>
      </c>
    </row>
    <row r="385" spans="1:8" x14ac:dyDescent="0.3">
      <c r="A385">
        <v>383</v>
      </c>
      <c r="B385" s="2">
        <v>384</v>
      </c>
      <c r="C385" s="2">
        <v>0.1515</v>
      </c>
      <c r="D385" s="2">
        <v>0.55000000000000004</v>
      </c>
      <c r="E385" s="2">
        <v>0.19400000000000001</v>
      </c>
      <c r="F385" s="2">
        <v>9</v>
      </c>
      <c r="G385" s="2">
        <v>55</v>
      </c>
      <c r="H385" s="2">
        <v>64</v>
      </c>
    </row>
    <row r="386" spans="1:8" x14ac:dyDescent="0.3">
      <c r="A386">
        <v>384</v>
      </c>
      <c r="B386" s="2">
        <v>385</v>
      </c>
      <c r="C386" s="2">
        <v>0.19700000000000001</v>
      </c>
      <c r="D386" s="2">
        <v>0.47</v>
      </c>
      <c r="E386" s="2">
        <v>0.1343</v>
      </c>
      <c r="F386" s="2">
        <v>10</v>
      </c>
      <c r="G386" s="2">
        <v>70</v>
      </c>
      <c r="H386" s="2">
        <v>80</v>
      </c>
    </row>
    <row r="387" spans="1:8" x14ac:dyDescent="0.3">
      <c r="A387">
        <v>385</v>
      </c>
      <c r="B387" s="2">
        <v>386</v>
      </c>
      <c r="C387" s="2">
        <v>0.19700000000000001</v>
      </c>
      <c r="D387" s="2">
        <v>0.47</v>
      </c>
      <c r="E387" s="2">
        <v>0.1343</v>
      </c>
      <c r="F387" s="2">
        <v>13</v>
      </c>
      <c r="G387" s="2">
        <v>80</v>
      </c>
      <c r="H387" s="2">
        <v>93</v>
      </c>
    </row>
    <row r="388" spans="1:8" x14ac:dyDescent="0.3">
      <c r="A388">
        <v>386</v>
      </c>
      <c r="B388" s="2">
        <v>387</v>
      </c>
      <c r="C388" s="2">
        <v>0.21210000000000001</v>
      </c>
      <c r="D388" s="2">
        <v>0.43</v>
      </c>
      <c r="E388" s="2">
        <v>0.1045</v>
      </c>
      <c r="F388" s="2">
        <v>12</v>
      </c>
      <c r="G388" s="2">
        <v>74</v>
      </c>
      <c r="H388" s="2">
        <v>86</v>
      </c>
    </row>
    <row r="389" spans="1:8" x14ac:dyDescent="0.3">
      <c r="A389">
        <v>387</v>
      </c>
      <c r="B389" s="2">
        <v>388</v>
      </c>
      <c r="C389" s="2">
        <v>0.21210000000000001</v>
      </c>
      <c r="D389" s="2">
        <v>0.47</v>
      </c>
      <c r="E389" s="2">
        <v>0.16420000000000001</v>
      </c>
      <c r="F389" s="2">
        <v>21</v>
      </c>
      <c r="G389" s="2">
        <v>72</v>
      </c>
      <c r="H389" s="2">
        <v>93</v>
      </c>
    </row>
    <row r="390" spans="1:8" x14ac:dyDescent="0.3">
      <c r="A390">
        <v>388</v>
      </c>
      <c r="B390" s="2">
        <v>389</v>
      </c>
      <c r="C390" s="2">
        <v>0.21210000000000001</v>
      </c>
      <c r="D390" s="2">
        <v>0.47</v>
      </c>
      <c r="E390" s="2">
        <v>0.16420000000000001</v>
      </c>
      <c r="F390" s="2">
        <v>6</v>
      </c>
      <c r="G390" s="2">
        <v>76</v>
      </c>
      <c r="H390" s="2">
        <v>82</v>
      </c>
    </row>
    <row r="391" spans="1:8" x14ac:dyDescent="0.3">
      <c r="A391">
        <v>389</v>
      </c>
      <c r="B391" s="2">
        <v>390</v>
      </c>
      <c r="C391" s="2">
        <v>0.19700000000000001</v>
      </c>
      <c r="D391" s="2">
        <v>0.51</v>
      </c>
      <c r="E391" s="2">
        <v>0.19400000000000001</v>
      </c>
      <c r="F391" s="2">
        <v>4</v>
      </c>
      <c r="G391" s="2">
        <v>67</v>
      </c>
      <c r="H391" s="2">
        <v>71</v>
      </c>
    </row>
    <row r="392" spans="1:8" x14ac:dyDescent="0.3">
      <c r="A392">
        <v>390</v>
      </c>
      <c r="B392" s="2">
        <v>391</v>
      </c>
      <c r="C392" s="2">
        <v>0.16669999999999999</v>
      </c>
      <c r="D392" s="2">
        <v>0.55000000000000004</v>
      </c>
      <c r="E392" s="2">
        <v>0.25369999999999998</v>
      </c>
      <c r="F392" s="2">
        <v>7</v>
      </c>
      <c r="G392" s="2">
        <v>85</v>
      </c>
      <c r="H392" s="2">
        <v>92</v>
      </c>
    </row>
    <row r="393" spans="1:8" x14ac:dyDescent="0.3">
      <c r="A393">
        <v>391</v>
      </c>
      <c r="B393" s="2">
        <v>392</v>
      </c>
      <c r="C393" s="2">
        <v>0.18179999999999999</v>
      </c>
      <c r="D393" s="2">
        <v>0.59</v>
      </c>
      <c r="E393" s="2">
        <v>0.19400000000000001</v>
      </c>
      <c r="F393" s="2">
        <v>2</v>
      </c>
      <c r="G393" s="2">
        <v>58</v>
      </c>
      <c r="H393" s="2">
        <v>60</v>
      </c>
    </row>
    <row r="394" spans="1:8" x14ac:dyDescent="0.3">
      <c r="A394">
        <v>392</v>
      </c>
      <c r="B394" s="2">
        <v>393</v>
      </c>
      <c r="C394" s="2">
        <v>0.1515</v>
      </c>
      <c r="D394" s="2">
        <v>0.8</v>
      </c>
      <c r="E394" s="2">
        <v>0.19400000000000001</v>
      </c>
      <c r="F394" s="2">
        <v>4</v>
      </c>
      <c r="G394" s="2">
        <v>29</v>
      </c>
      <c r="H394" s="2">
        <v>33</v>
      </c>
    </row>
    <row r="395" spans="1:8" x14ac:dyDescent="0.3">
      <c r="A395">
        <v>393</v>
      </c>
      <c r="B395" s="2">
        <v>394</v>
      </c>
      <c r="C395" s="2">
        <v>0.1515</v>
      </c>
      <c r="D395" s="2">
        <v>0.8</v>
      </c>
      <c r="E395" s="2">
        <v>0.19400000000000001</v>
      </c>
      <c r="F395" s="2">
        <v>3</v>
      </c>
      <c r="G395" s="2">
        <v>24</v>
      </c>
      <c r="H395" s="2">
        <v>27</v>
      </c>
    </row>
    <row r="396" spans="1:8" x14ac:dyDescent="0.3">
      <c r="A396">
        <v>394</v>
      </c>
      <c r="B396" s="2">
        <v>395</v>
      </c>
      <c r="C396" s="2">
        <v>0.1212</v>
      </c>
      <c r="D396" s="2">
        <v>0.93</v>
      </c>
      <c r="E396" s="2">
        <v>0.25369999999999998</v>
      </c>
      <c r="F396" s="2">
        <v>0</v>
      </c>
      <c r="G396" s="2">
        <v>13</v>
      </c>
      <c r="H396" s="2">
        <v>13</v>
      </c>
    </row>
    <row r="397" spans="1:8" x14ac:dyDescent="0.3">
      <c r="A397">
        <v>395</v>
      </c>
      <c r="B397" s="2">
        <v>396</v>
      </c>
      <c r="C397" s="2">
        <v>0.13639999999999999</v>
      </c>
      <c r="D397" s="2">
        <v>0.86</v>
      </c>
      <c r="E397" s="2">
        <v>0.28360000000000002</v>
      </c>
      <c r="F397" s="2">
        <v>1</v>
      </c>
      <c r="G397" s="2">
        <v>3</v>
      </c>
      <c r="H397" s="2">
        <v>4</v>
      </c>
    </row>
    <row r="398" spans="1:8" x14ac:dyDescent="0.3">
      <c r="A398">
        <v>396</v>
      </c>
      <c r="B398" s="2">
        <v>397</v>
      </c>
      <c r="C398" s="2">
        <v>0.18179999999999999</v>
      </c>
      <c r="D398" s="2">
        <v>0.86</v>
      </c>
      <c r="E398" s="2">
        <v>0.32840000000000003</v>
      </c>
      <c r="F398" s="2">
        <v>0</v>
      </c>
      <c r="G398" s="2">
        <v>3</v>
      </c>
      <c r="H398" s="2">
        <v>3</v>
      </c>
    </row>
    <row r="399" spans="1:8" x14ac:dyDescent="0.3">
      <c r="A399">
        <v>397</v>
      </c>
      <c r="B399" s="2">
        <v>398</v>
      </c>
      <c r="C399" s="2">
        <v>0.19700000000000001</v>
      </c>
      <c r="D399" s="2">
        <v>0.86</v>
      </c>
      <c r="E399" s="2">
        <v>0.22389999999999999</v>
      </c>
      <c r="F399" s="2">
        <v>0</v>
      </c>
      <c r="G399" s="2">
        <v>22</v>
      </c>
      <c r="H399" s="2">
        <v>22</v>
      </c>
    </row>
    <row r="400" spans="1:8" x14ac:dyDescent="0.3">
      <c r="A400">
        <v>398</v>
      </c>
      <c r="B400" s="2">
        <v>399</v>
      </c>
      <c r="C400" s="2">
        <v>0.2273</v>
      </c>
      <c r="D400" s="2">
        <v>0.8</v>
      </c>
      <c r="E400" s="2">
        <v>0.16420000000000001</v>
      </c>
      <c r="F400" s="2">
        <v>2</v>
      </c>
      <c r="G400" s="2">
        <v>26</v>
      </c>
      <c r="H400" s="2">
        <v>28</v>
      </c>
    </row>
    <row r="401" spans="1:8" x14ac:dyDescent="0.3">
      <c r="A401">
        <v>399</v>
      </c>
      <c r="B401" s="2">
        <v>400</v>
      </c>
      <c r="C401" s="2">
        <v>0.2273</v>
      </c>
      <c r="D401" s="2">
        <v>0.87</v>
      </c>
      <c r="E401" s="2">
        <v>0.16420000000000001</v>
      </c>
      <c r="F401" s="2">
        <v>3</v>
      </c>
      <c r="G401" s="2">
        <v>32</v>
      </c>
      <c r="H401" s="2">
        <v>35</v>
      </c>
    </row>
    <row r="402" spans="1:8" x14ac:dyDescent="0.3">
      <c r="A402">
        <v>400</v>
      </c>
      <c r="B402" s="2">
        <v>401</v>
      </c>
      <c r="C402" s="2">
        <v>0.2273</v>
      </c>
      <c r="D402" s="2">
        <v>0.87</v>
      </c>
      <c r="E402" s="2">
        <v>0.19400000000000001</v>
      </c>
      <c r="F402" s="2">
        <v>0</v>
      </c>
      <c r="G402" s="2">
        <v>61</v>
      </c>
      <c r="H402" s="2">
        <v>61</v>
      </c>
    </row>
    <row r="403" spans="1:8" x14ac:dyDescent="0.3">
      <c r="A403">
        <v>401</v>
      </c>
      <c r="B403" s="2">
        <v>402</v>
      </c>
      <c r="C403" s="2">
        <v>0.2273</v>
      </c>
      <c r="D403" s="2">
        <v>0.82</v>
      </c>
      <c r="E403" s="2">
        <v>0.19400000000000001</v>
      </c>
      <c r="F403" s="2">
        <v>1</v>
      </c>
      <c r="G403" s="2">
        <v>124</v>
      </c>
      <c r="H403" s="2">
        <v>125</v>
      </c>
    </row>
    <row r="404" spans="1:8" x14ac:dyDescent="0.3">
      <c r="A404">
        <v>402</v>
      </c>
      <c r="B404" s="2">
        <v>403</v>
      </c>
      <c r="C404" s="2">
        <v>0.2273</v>
      </c>
      <c r="D404" s="2">
        <v>0.8</v>
      </c>
      <c r="E404" s="2">
        <v>0.16420000000000001</v>
      </c>
      <c r="F404" s="2">
        <v>1</v>
      </c>
      <c r="G404" s="2">
        <v>132</v>
      </c>
      <c r="H404" s="2">
        <v>133</v>
      </c>
    </row>
    <row r="405" spans="1:8" x14ac:dyDescent="0.3">
      <c r="A405">
        <v>403</v>
      </c>
      <c r="B405" s="2">
        <v>404</v>
      </c>
      <c r="C405" s="2">
        <v>0.2273</v>
      </c>
      <c r="D405" s="2">
        <v>0.8</v>
      </c>
      <c r="E405" s="2">
        <v>0.1343</v>
      </c>
      <c r="F405" s="2">
        <v>1</v>
      </c>
      <c r="G405" s="2">
        <v>98</v>
      </c>
      <c r="H405" s="2">
        <v>99</v>
      </c>
    </row>
    <row r="406" spans="1:8" x14ac:dyDescent="0.3">
      <c r="A406">
        <v>404</v>
      </c>
      <c r="B406" s="2">
        <v>405</v>
      </c>
      <c r="C406" s="2">
        <v>0.2727</v>
      </c>
      <c r="D406" s="2">
        <v>0.87</v>
      </c>
      <c r="E406" s="2">
        <v>0</v>
      </c>
      <c r="F406" s="2">
        <v>0</v>
      </c>
      <c r="G406" s="2">
        <v>83</v>
      </c>
      <c r="H406" s="2">
        <v>83</v>
      </c>
    </row>
    <row r="407" spans="1:8" x14ac:dyDescent="0.3">
      <c r="A407">
        <v>405</v>
      </c>
      <c r="B407" s="2">
        <v>406</v>
      </c>
      <c r="C407" s="2">
        <v>0.2424</v>
      </c>
      <c r="D407" s="2">
        <v>0.93</v>
      </c>
      <c r="E407" s="2">
        <v>0.1045</v>
      </c>
      <c r="F407" s="2">
        <v>0</v>
      </c>
      <c r="G407" s="2">
        <v>41</v>
      </c>
      <c r="H407" s="2">
        <v>41</v>
      </c>
    </row>
    <row r="408" spans="1:8" x14ac:dyDescent="0.3">
      <c r="A408">
        <v>406</v>
      </c>
      <c r="B408" s="2">
        <v>407</v>
      </c>
      <c r="C408" s="2">
        <v>0.2576</v>
      </c>
      <c r="D408" s="2">
        <v>0.93</v>
      </c>
      <c r="E408" s="2">
        <v>8.9599999999999999E-2</v>
      </c>
      <c r="F408" s="2">
        <v>0</v>
      </c>
      <c r="G408" s="2">
        <v>33</v>
      </c>
      <c r="H408" s="2">
        <v>33</v>
      </c>
    </row>
    <row r="409" spans="1:8" x14ac:dyDescent="0.3">
      <c r="A409">
        <v>407</v>
      </c>
      <c r="B409" s="2">
        <v>408</v>
      </c>
      <c r="C409" s="2">
        <v>0.2727</v>
      </c>
      <c r="D409" s="2">
        <v>0.93</v>
      </c>
      <c r="E409" s="2">
        <v>0</v>
      </c>
      <c r="F409" s="2">
        <v>1</v>
      </c>
      <c r="G409" s="2">
        <v>19</v>
      </c>
      <c r="H409" s="2">
        <v>20</v>
      </c>
    </row>
    <row r="410" spans="1:8" x14ac:dyDescent="0.3">
      <c r="A410">
        <v>408</v>
      </c>
      <c r="B410" s="2">
        <v>409</v>
      </c>
      <c r="C410" s="2">
        <v>0.2727</v>
      </c>
      <c r="D410" s="2">
        <v>0.93</v>
      </c>
      <c r="E410" s="2">
        <v>0</v>
      </c>
      <c r="F410" s="2">
        <v>0</v>
      </c>
      <c r="G410" s="2">
        <v>3</v>
      </c>
      <c r="H410" s="2">
        <v>3</v>
      </c>
    </row>
    <row r="411" spans="1:8" x14ac:dyDescent="0.3">
      <c r="A411">
        <v>409</v>
      </c>
      <c r="B411" s="2">
        <v>410</v>
      </c>
      <c r="C411" s="2">
        <v>0.2273</v>
      </c>
      <c r="D411" s="2">
        <v>0.93</v>
      </c>
      <c r="E411" s="2">
        <v>0.1343</v>
      </c>
      <c r="F411" s="2">
        <v>1</v>
      </c>
      <c r="G411" s="2">
        <v>6</v>
      </c>
      <c r="H411" s="2">
        <v>7</v>
      </c>
    </row>
    <row r="412" spans="1:8" x14ac:dyDescent="0.3">
      <c r="A412">
        <v>410</v>
      </c>
      <c r="B412" s="2">
        <v>411</v>
      </c>
      <c r="C412" s="2">
        <v>0.2273</v>
      </c>
      <c r="D412" s="2">
        <v>0.93</v>
      </c>
      <c r="E412" s="2">
        <v>0.1343</v>
      </c>
      <c r="F412" s="2">
        <v>0</v>
      </c>
      <c r="G412" s="2">
        <v>3</v>
      </c>
      <c r="H412" s="2">
        <v>3</v>
      </c>
    </row>
    <row r="413" spans="1:8" x14ac:dyDescent="0.3">
      <c r="A413">
        <v>411</v>
      </c>
      <c r="B413" s="2">
        <v>412</v>
      </c>
      <c r="C413" s="2">
        <v>0.2273</v>
      </c>
      <c r="D413" s="2">
        <v>0.93</v>
      </c>
      <c r="E413" s="2">
        <v>0.1343</v>
      </c>
      <c r="F413" s="2">
        <v>1</v>
      </c>
      <c r="G413" s="2">
        <v>1</v>
      </c>
      <c r="H413" s="2">
        <v>2</v>
      </c>
    </row>
    <row r="414" spans="1:8" x14ac:dyDescent="0.3">
      <c r="A414">
        <v>412</v>
      </c>
      <c r="B414" s="2">
        <v>413</v>
      </c>
      <c r="C414" s="2">
        <v>0.2576</v>
      </c>
      <c r="D414" s="2">
        <v>0.93</v>
      </c>
      <c r="E414" s="2">
        <v>8.9599999999999999E-2</v>
      </c>
      <c r="F414" s="2">
        <v>0</v>
      </c>
      <c r="G414" s="2">
        <v>7</v>
      </c>
      <c r="H414" s="2">
        <v>7</v>
      </c>
    </row>
    <row r="415" spans="1:8" x14ac:dyDescent="0.3">
      <c r="A415">
        <v>413</v>
      </c>
      <c r="B415" s="2">
        <v>414</v>
      </c>
      <c r="C415" s="2">
        <v>0.2576</v>
      </c>
      <c r="D415" s="2">
        <v>0.93</v>
      </c>
      <c r="E415" s="2">
        <v>8.9599999999999999E-2</v>
      </c>
      <c r="F415" s="2">
        <v>0</v>
      </c>
      <c r="G415" s="2">
        <v>32</v>
      </c>
      <c r="H415" s="2">
        <v>32</v>
      </c>
    </row>
    <row r="416" spans="1:8" x14ac:dyDescent="0.3">
      <c r="A416">
        <v>414</v>
      </c>
      <c r="B416" s="2">
        <v>415</v>
      </c>
      <c r="C416" s="2">
        <v>0.2576</v>
      </c>
      <c r="D416" s="2">
        <v>0.92</v>
      </c>
      <c r="E416" s="2">
        <v>0.1045</v>
      </c>
      <c r="F416" s="2">
        <v>1</v>
      </c>
      <c r="G416" s="2">
        <v>89</v>
      </c>
      <c r="H416" s="2">
        <v>90</v>
      </c>
    </row>
    <row r="417" spans="1:8" x14ac:dyDescent="0.3">
      <c r="A417">
        <v>415</v>
      </c>
      <c r="B417" s="2">
        <v>416</v>
      </c>
      <c r="C417" s="2">
        <v>0.2576</v>
      </c>
      <c r="D417" s="2">
        <v>0.93</v>
      </c>
      <c r="E417" s="2">
        <v>0.1045</v>
      </c>
      <c r="F417" s="2">
        <v>1</v>
      </c>
      <c r="G417" s="2">
        <v>196</v>
      </c>
      <c r="H417" s="2">
        <v>197</v>
      </c>
    </row>
    <row r="418" spans="1:8" x14ac:dyDescent="0.3">
      <c r="A418">
        <v>416</v>
      </c>
      <c r="B418" s="2">
        <v>417</v>
      </c>
      <c r="C418" s="2">
        <v>0.2576</v>
      </c>
      <c r="D418" s="2">
        <v>0.93</v>
      </c>
      <c r="E418" s="2">
        <v>0.1045</v>
      </c>
      <c r="F418" s="2">
        <v>2</v>
      </c>
      <c r="G418" s="2">
        <v>107</v>
      </c>
      <c r="H418" s="2">
        <v>109</v>
      </c>
    </row>
    <row r="419" spans="1:8" x14ac:dyDescent="0.3">
      <c r="A419">
        <v>417</v>
      </c>
      <c r="B419" s="2">
        <v>418</v>
      </c>
      <c r="C419" s="2">
        <v>0.2727</v>
      </c>
      <c r="D419" s="2">
        <v>0.93</v>
      </c>
      <c r="E419" s="2">
        <v>0.1343</v>
      </c>
      <c r="F419" s="2">
        <v>1</v>
      </c>
      <c r="G419" s="2">
        <v>46</v>
      </c>
      <c r="H419" s="2">
        <v>47</v>
      </c>
    </row>
    <row r="420" spans="1:8" x14ac:dyDescent="0.3">
      <c r="A420">
        <v>418</v>
      </c>
      <c r="B420" s="2">
        <v>419</v>
      </c>
      <c r="C420" s="2">
        <v>0.30299999999999999</v>
      </c>
      <c r="D420" s="2">
        <v>0.87</v>
      </c>
      <c r="E420" s="2">
        <v>8.9599999999999999E-2</v>
      </c>
      <c r="F420" s="2">
        <v>5</v>
      </c>
      <c r="G420" s="2">
        <v>47</v>
      </c>
      <c r="H420" s="2">
        <v>52</v>
      </c>
    </row>
    <row r="421" spans="1:8" x14ac:dyDescent="0.3">
      <c r="A421">
        <v>419</v>
      </c>
      <c r="B421" s="2">
        <v>420</v>
      </c>
      <c r="C421" s="2">
        <v>0.31819999999999998</v>
      </c>
      <c r="D421" s="2">
        <v>0.81</v>
      </c>
      <c r="E421" s="2">
        <v>8.9599999999999999E-2</v>
      </c>
      <c r="F421" s="2">
        <v>5</v>
      </c>
      <c r="G421" s="2">
        <v>65</v>
      </c>
      <c r="H421" s="2">
        <v>70</v>
      </c>
    </row>
    <row r="422" spans="1:8" x14ac:dyDescent="0.3">
      <c r="A422">
        <v>420</v>
      </c>
      <c r="B422" s="2">
        <v>421</v>
      </c>
      <c r="C422" s="2">
        <v>0.40910000000000002</v>
      </c>
      <c r="D422" s="2">
        <v>0.62</v>
      </c>
      <c r="E422" s="2">
        <v>0.28360000000000002</v>
      </c>
      <c r="F422" s="2">
        <v>11</v>
      </c>
      <c r="G422" s="2">
        <v>67</v>
      </c>
      <c r="H422" s="2">
        <v>78</v>
      </c>
    </row>
    <row r="423" spans="1:8" x14ac:dyDescent="0.3">
      <c r="A423">
        <v>421</v>
      </c>
      <c r="B423" s="2">
        <v>422</v>
      </c>
      <c r="C423" s="2">
        <v>0.40910000000000002</v>
      </c>
      <c r="D423" s="2">
        <v>0.57999999999999996</v>
      </c>
      <c r="E423" s="2">
        <v>0.25369999999999998</v>
      </c>
      <c r="F423" s="2">
        <v>7</v>
      </c>
      <c r="G423" s="2">
        <v>68</v>
      </c>
      <c r="H423" s="2">
        <v>75</v>
      </c>
    </row>
    <row r="424" spans="1:8" x14ac:dyDescent="0.3">
      <c r="A424">
        <v>422</v>
      </c>
      <c r="B424" s="2">
        <v>423</v>
      </c>
      <c r="C424" s="2">
        <v>0.40910000000000002</v>
      </c>
      <c r="D424" s="2">
        <v>0.54</v>
      </c>
      <c r="E424" s="2">
        <v>0.28360000000000002</v>
      </c>
      <c r="F424" s="2">
        <v>4</v>
      </c>
      <c r="G424" s="2">
        <v>78</v>
      </c>
      <c r="H424" s="2">
        <v>82</v>
      </c>
    </row>
    <row r="425" spans="1:8" x14ac:dyDescent="0.3">
      <c r="A425">
        <v>423</v>
      </c>
      <c r="B425" s="2">
        <v>424</v>
      </c>
      <c r="C425" s="2">
        <v>0.39389999999999997</v>
      </c>
      <c r="D425" s="2">
        <v>0.57999999999999996</v>
      </c>
      <c r="E425" s="2">
        <v>0.3881</v>
      </c>
      <c r="F425" s="2">
        <v>10</v>
      </c>
      <c r="G425" s="2">
        <v>94</v>
      </c>
      <c r="H425" s="2">
        <v>104</v>
      </c>
    </row>
    <row r="426" spans="1:8" x14ac:dyDescent="0.3">
      <c r="A426">
        <v>424</v>
      </c>
      <c r="B426" s="2">
        <v>425</v>
      </c>
      <c r="C426" s="2">
        <v>0.33329999999999999</v>
      </c>
      <c r="D426" s="2">
        <v>0.56999999999999995</v>
      </c>
      <c r="E426" s="2">
        <v>0.32840000000000003</v>
      </c>
      <c r="F426" s="2">
        <v>7</v>
      </c>
      <c r="G426" s="2">
        <v>190</v>
      </c>
      <c r="H426" s="2">
        <v>197</v>
      </c>
    </row>
    <row r="427" spans="1:8" x14ac:dyDescent="0.3">
      <c r="A427">
        <v>425</v>
      </c>
      <c r="B427" s="2">
        <v>426</v>
      </c>
      <c r="C427" s="2">
        <v>0.31819999999999998</v>
      </c>
      <c r="D427" s="2">
        <v>0.61</v>
      </c>
      <c r="E427" s="2">
        <v>0.28360000000000002</v>
      </c>
      <c r="F427" s="2">
        <v>5</v>
      </c>
      <c r="G427" s="2">
        <v>156</v>
      </c>
      <c r="H427" s="2">
        <v>161</v>
      </c>
    </row>
    <row r="428" spans="1:8" x14ac:dyDescent="0.3">
      <c r="A428">
        <v>426</v>
      </c>
      <c r="B428" s="2">
        <v>427</v>
      </c>
      <c r="C428" s="2">
        <v>0.28789999999999999</v>
      </c>
      <c r="D428" s="2">
        <v>0.56999999999999995</v>
      </c>
      <c r="E428" s="2">
        <v>0.41789999999999999</v>
      </c>
      <c r="F428" s="2">
        <v>4</v>
      </c>
      <c r="G428" s="2">
        <v>108</v>
      </c>
      <c r="H428" s="2">
        <v>112</v>
      </c>
    </row>
    <row r="429" spans="1:8" x14ac:dyDescent="0.3">
      <c r="A429">
        <v>427</v>
      </c>
      <c r="B429" s="2">
        <v>428</v>
      </c>
      <c r="C429" s="2">
        <v>0.30299999999999999</v>
      </c>
      <c r="D429" s="2">
        <v>0.49</v>
      </c>
      <c r="E429" s="2">
        <v>0.29849999999999999</v>
      </c>
      <c r="F429" s="2">
        <v>2</v>
      </c>
      <c r="G429" s="2">
        <v>74</v>
      </c>
      <c r="H429" s="2">
        <v>76</v>
      </c>
    </row>
    <row r="430" spans="1:8" x14ac:dyDescent="0.3">
      <c r="A430">
        <v>428</v>
      </c>
      <c r="B430" s="2">
        <v>429</v>
      </c>
      <c r="C430" s="2">
        <v>0.28789999999999999</v>
      </c>
      <c r="D430" s="2">
        <v>0.49</v>
      </c>
      <c r="E430" s="2">
        <v>0.41789999999999999</v>
      </c>
      <c r="F430" s="2">
        <v>4</v>
      </c>
      <c r="G430" s="2">
        <v>55</v>
      </c>
      <c r="H430" s="2">
        <v>59</v>
      </c>
    </row>
    <row r="431" spans="1:8" x14ac:dyDescent="0.3">
      <c r="A431">
        <v>429</v>
      </c>
      <c r="B431" s="2">
        <v>430</v>
      </c>
      <c r="C431" s="2">
        <v>0.30299999999999999</v>
      </c>
      <c r="D431" s="2">
        <v>0.52</v>
      </c>
      <c r="E431" s="2">
        <v>0.16420000000000001</v>
      </c>
      <c r="F431" s="2">
        <v>6</v>
      </c>
      <c r="G431" s="2">
        <v>53</v>
      </c>
      <c r="H431" s="2">
        <v>59</v>
      </c>
    </row>
    <row r="432" spans="1:8" x14ac:dyDescent="0.3">
      <c r="A432">
        <v>430</v>
      </c>
      <c r="B432" s="2">
        <v>431</v>
      </c>
      <c r="C432" s="2">
        <v>0.2727</v>
      </c>
      <c r="D432" s="2">
        <v>0.52</v>
      </c>
      <c r="E432" s="2">
        <v>0.4627</v>
      </c>
      <c r="F432" s="2">
        <v>1</v>
      </c>
      <c r="G432" s="2">
        <v>27</v>
      </c>
      <c r="H432" s="2">
        <v>28</v>
      </c>
    </row>
    <row r="433" spans="1:8" x14ac:dyDescent="0.3">
      <c r="A433">
        <v>431</v>
      </c>
      <c r="B433" s="2">
        <v>432</v>
      </c>
      <c r="C433" s="2">
        <v>0.2273</v>
      </c>
      <c r="D433" s="2">
        <v>0.56000000000000005</v>
      </c>
      <c r="E433" s="2">
        <v>0.3881</v>
      </c>
      <c r="F433" s="2">
        <v>5</v>
      </c>
      <c r="G433" s="2">
        <v>8</v>
      </c>
      <c r="H433" s="2">
        <v>13</v>
      </c>
    </row>
    <row r="434" spans="1:8" x14ac:dyDescent="0.3">
      <c r="A434">
        <v>432</v>
      </c>
      <c r="B434" s="2">
        <v>433</v>
      </c>
      <c r="C434" s="2">
        <v>0.2727</v>
      </c>
      <c r="D434" s="2">
        <v>0.56000000000000005</v>
      </c>
      <c r="E434" s="2">
        <v>0</v>
      </c>
      <c r="F434" s="2">
        <v>2</v>
      </c>
      <c r="G434" s="2">
        <v>3</v>
      </c>
      <c r="H434" s="2">
        <v>5</v>
      </c>
    </row>
    <row r="435" spans="1:8" x14ac:dyDescent="0.3">
      <c r="A435">
        <v>433</v>
      </c>
      <c r="B435" s="2">
        <v>434</v>
      </c>
      <c r="C435" s="2">
        <v>0.2727</v>
      </c>
      <c r="D435" s="2">
        <v>0.56000000000000005</v>
      </c>
      <c r="E435" s="2">
        <v>0</v>
      </c>
      <c r="F435" s="2">
        <v>0</v>
      </c>
      <c r="G435" s="2">
        <v>2</v>
      </c>
      <c r="H435" s="2">
        <v>2</v>
      </c>
    </row>
    <row r="436" spans="1:8" x14ac:dyDescent="0.3">
      <c r="A436">
        <v>434</v>
      </c>
      <c r="B436" s="2">
        <v>435</v>
      </c>
      <c r="C436" s="2">
        <v>0.2576</v>
      </c>
      <c r="D436" s="2">
        <v>0.56000000000000005</v>
      </c>
      <c r="E436" s="2">
        <v>0.16420000000000001</v>
      </c>
      <c r="F436" s="2">
        <v>0</v>
      </c>
      <c r="G436" s="2">
        <v>1</v>
      </c>
      <c r="H436" s="2">
        <v>1</v>
      </c>
    </row>
    <row r="437" spans="1:8" x14ac:dyDescent="0.3">
      <c r="A437">
        <v>435</v>
      </c>
      <c r="B437" s="2">
        <v>436</v>
      </c>
      <c r="C437" s="2">
        <v>0.2576</v>
      </c>
      <c r="D437" s="2">
        <v>0.56000000000000005</v>
      </c>
      <c r="E437" s="2">
        <v>0.16420000000000001</v>
      </c>
      <c r="F437" s="2">
        <v>0</v>
      </c>
      <c r="G437" s="2">
        <v>1</v>
      </c>
      <c r="H437" s="2">
        <v>1</v>
      </c>
    </row>
    <row r="438" spans="1:8" x14ac:dyDescent="0.3">
      <c r="A438">
        <v>436</v>
      </c>
      <c r="B438" s="2">
        <v>437</v>
      </c>
      <c r="C438" s="2">
        <v>0.2273</v>
      </c>
      <c r="D438" s="2">
        <v>0.6</v>
      </c>
      <c r="E438" s="2">
        <v>0.22389999999999999</v>
      </c>
      <c r="F438" s="2">
        <v>0</v>
      </c>
      <c r="G438" s="2">
        <v>6</v>
      </c>
      <c r="H438" s="2">
        <v>6</v>
      </c>
    </row>
    <row r="439" spans="1:8" x14ac:dyDescent="0.3">
      <c r="A439">
        <v>437</v>
      </c>
      <c r="B439" s="2">
        <v>438</v>
      </c>
      <c r="C439" s="2">
        <v>0.21210000000000001</v>
      </c>
      <c r="D439" s="2">
        <v>0.6</v>
      </c>
      <c r="E439" s="2">
        <v>0.22389999999999999</v>
      </c>
      <c r="F439" s="2">
        <v>0</v>
      </c>
      <c r="G439" s="2">
        <v>35</v>
      </c>
      <c r="H439" s="2">
        <v>35</v>
      </c>
    </row>
    <row r="440" spans="1:8" x14ac:dyDescent="0.3">
      <c r="A440">
        <v>438</v>
      </c>
      <c r="B440" s="2">
        <v>439</v>
      </c>
      <c r="C440" s="2">
        <v>0.21210000000000001</v>
      </c>
      <c r="D440" s="2">
        <v>0.55000000000000004</v>
      </c>
      <c r="E440" s="2">
        <v>0.22389999999999999</v>
      </c>
      <c r="F440" s="2">
        <v>1</v>
      </c>
      <c r="G440" s="2">
        <v>100</v>
      </c>
      <c r="H440" s="2">
        <v>101</v>
      </c>
    </row>
    <row r="441" spans="1:8" x14ac:dyDescent="0.3">
      <c r="A441">
        <v>439</v>
      </c>
      <c r="B441" s="2">
        <v>440</v>
      </c>
      <c r="C441" s="2">
        <v>0.21210000000000001</v>
      </c>
      <c r="D441" s="2">
        <v>0.55000000000000004</v>
      </c>
      <c r="E441" s="2">
        <v>0.28360000000000002</v>
      </c>
      <c r="F441" s="2">
        <v>2</v>
      </c>
      <c r="G441" s="2">
        <v>247</v>
      </c>
      <c r="H441" s="2">
        <v>249</v>
      </c>
    </row>
    <row r="442" spans="1:8" x14ac:dyDescent="0.3">
      <c r="A442">
        <v>440</v>
      </c>
      <c r="B442" s="2">
        <v>441</v>
      </c>
      <c r="C442" s="2">
        <v>0.2273</v>
      </c>
      <c r="D442" s="2">
        <v>0.52</v>
      </c>
      <c r="E442" s="2">
        <v>0.22389999999999999</v>
      </c>
      <c r="F442" s="2">
        <v>3</v>
      </c>
      <c r="G442" s="2">
        <v>140</v>
      </c>
      <c r="H442" s="2">
        <v>143</v>
      </c>
    </row>
    <row r="443" spans="1:8" x14ac:dyDescent="0.3">
      <c r="A443">
        <v>441</v>
      </c>
      <c r="B443" s="2">
        <v>442</v>
      </c>
      <c r="C443" s="2">
        <v>0.2273</v>
      </c>
      <c r="D443" s="2">
        <v>0.48</v>
      </c>
      <c r="E443" s="2">
        <v>0.29849999999999999</v>
      </c>
      <c r="F443" s="2">
        <v>1</v>
      </c>
      <c r="G443" s="2">
        <v>56</v>
      </c>
      <c r="H443" s="2">
        <v>57</v>
      </c>
    </row>
    <row r="444" spans="1:8" x14ac:dyDescent="0.3">
      <c r="A444">
        <v>442</v>
      </c>
      <c r="B444" s="2">
        <v>443</v>
      </c>
      <c r="C444" s="2">
        <v>0.2727</v>
      </c>
      <c r="D444" s="2">
        <v>0.45</v>
      </c>
      <c r="E444" s="2">
        <v>0.16420000000000001</v>
      </c>
      <c r="F444" s="2">
        <v>5</v>
      </c>
      <c r="G444" s="2">
        <v>63</v>
      </c>
      <c r="H444" s="2">
        <v>68</v>
      </c>
    </row>
    <row r="445" spans="1:8" x14ac:dyDescent="0.3">
      <c r="A445">
        <v>443</v>
      </c>
      <c r="B445" s="2">
        <v>444</v>
      </c>
      <c r="C445" s="2">
        <v>0.33329999999999999</v>
      </c>
      <c r="D445" s="2">
        <v>0.42</v>
      </c>
      <c r="E445" s="2">
        <v>0</v>
      </c>
      <c r="F445" s="2">
        <v>7</v>
      </c>
      <c r="G445" s="2">
        <v>77</v>
      </c>
      <c r="H445" s="2">
        <v>84</v>
      </c>
    </row>
    <row r="446" spans="1:8" x14ac:dyDescent="0.3">
      <c r="A446">
        <v>444</v>
      </c>
      <c r="B446" s="2">
        <v>445</v>
      </c>
      <c r="C446" s="2">
        <v>0.28789999999999999</v>
      </c>
      <c r="D446" s="2">
        <v>0.45</v>
      </c>
      <c r="E446" s="2">
        <v>0.1045</v>
      </c>
      <c r="F446" s="2">
        <v>12</v>
      </c>
      <c r="G446" s="2">
        <v>86</v>
      </c>
      <c r="H446" s="2">
        <v>98</v>
      </c>
    </row>
    <row r="447" spans="1:8" x14ac:dyDescent="0.3">
      <c r="A447">
        <v>445</v>
      </c>
      <c r="B447" s="2">
        <v>446</v>
      </c>
      <c r="C447" s="2">
        <v>0.30299999999999999</v>
      </c>
      <c r="D447" s="2">
        <v>0.45</v>
      </c>
      <c r="E447" s="2">
        <v>0.1343</v>
      </c>
      <c r="F447" s="2">
        <v>6</v>
      </c>
      <c r="G447" s="2">
        <v>75</v>
      </c>
      <c r="H447" s="2">
        <v>81</v>
      </c>
    </row>
    <row r="448" spans="1:8" x14ac:dyDescent="0.3">
      <c r="A448">
        <v>446</v>
      </c>
      <c r="B448" s="2">
        <v>447</v>
      </c>
      <c r="C448" s="2">
        <v>0.31819999999999998</v>
      </c>
      <c r="D448" s="2">
        <v>0.45</v>
      </c>
      <c r="E448" s="2">
        <v>0.19400000000000001</v>
      </c>
      <c r="F448" s="2">
        <v>8</v>
      </c>
      <c r="G448" s="2">
        <v>62</v>
      </c>
      <c r="H448" s="2">
        <v>70</v>
      </c>
    </row>
    <row r="449" spans="1:8" x14ac:dyDescent="0.3">
      <c r="A449">
        <v>447</v>
      </c>
      <c r="B449" s="2">
        <v>448</v>
      </c>
      <c r="C449" s="2">
        <v>0.30299999999999999</v>
      </c>
      <c r="D449" s="2">
        <v>0.49</v>
      </c>
      <c r="E449" s="2">
        <v>0.1343</v>
      </c>
      <c r="F449" s="2">
        <v>8</v>
      </c>
      <c r="G449" s="2">
        <v>83</v>
      </c>
      <c r="H449" s="2">
        <v>91</v>
      </c>
    </row>
    <row r="450" spans="1:8" x14ac:dyDescent="0.3">
      <c r="A450">
        <v>448</v>
      </c>
      <c r="B450" s="2">
        <v>449</v>
      </c>
      <c r="C450" s="2">
        <v>0.31819999999999998</v>
      </c>
      <c r="D450" s="2">
        <v>0.49</v>
      </c>
      <c r="E450" s="2">
        <v>0.1045</v>
      </c>
      <c r="F450" s="2">
        <v>8</v>
      </c>
      <c r="G450" s="2">
        <v>207</v>
      </c>
      <c r="H450" s="2">
        <v>215</v>
      </c>
    </row>
    <row r="451" spans="1:8" x14ac:dyDescent="0.3">
      <c r="A451">
        <v>449</v>
      </c>
      <c r="B451" s="2">
        <v>450</v>
      </c>
      <c r="C451" s="2">
        <v>0.2576</v>
      </c>
      <c r="D451" s="2">
        <v>0.56000000000000005</v>
      </c>
      <c r="E451" s="2">
        <v>0.19400000000000001</v>
      </c>
      <c r="F451" s="2">
        <v>1</v>
      </c>
      <c r="G451" s="2">
        <v>184</v>
      </c>
      <c r="H451" s="2">
        <v>185</v>
      </c>
    </row>
    <row r="452" spans="1:8" x14ac:dyDescent="0.3">
      <c r="A452">
        <v>450</v>
      </c>
      <c r="B452" s="2">
        <v>451</v>
      </c>
      <c r="C452" s="2">
        <v>0.2273</v>
      </c>
      <c r="D452" s="2">
        <v>0.56000000000000005</v>
      </c>
      <c r="E452" s="2">
        <v>0.32840000000000003</v>
      </c>
      <c r="F452" s="2">
        <v>6</v>
      </c>
      <c r="G452" s="2">
        <v>146</v>
      </c>
      <c r="H452" s="2">
        <v>152</v>
      </c>
    </row>
    <row r="453" spans="1:8" x14ac:dyDescent="0.3">
      <c r="A453">
        <v>451</v>
      </c>
      <c r="B453" s="2">
        <v>452</v>
      </c>
      <c r="C453" s="2">
        <v>0.2424</v>
      </c>
      <c r="D453" s="2">
        <v>0.6</v>
      </c>
      <c r="E453" s="2">
        <v>0.28360000000000002</v>
      </c>
      <c r="F453" s="2">
        <v>2</v>
      </c>
      <c r="G453" s="2">
        <v>124</v>
      </c>
      <c r="H453" s="2">
        <v>126</v>
      </c>
    </row>
    <row r="454" spans="1:8" x14ac:dyDescent="0.3">
      <c r="A454">
        <v>452</v>
      </c>
      <c r="B454" s="2">
        <v>453</v>
      </c>
      <c r="C454" s="2">
        <v>0.2273</v>
      </c>
      <c r="D454" s="2">
        <v>0.6</v>
      </c>
      <c r="E454" s="2">
        <v>0.25369999999999998</v>
      </c>
      <c r="F454" s="2">
        <v>3</v>
      </c>
      <c r="G454" s="2">
        <v>54</v>
      </c>
      <c r="H454" s="2">
        <v>57</v>
      </c>
    </row>
    <row r="455" spans="1:8" x14ac:dyDescent="0.3">
      <c r="A455">
        <v>453</v>
      </c>
      <c r="B455" s="2">
        <v>454</v>
      </c>
      <c r="C455" s="2">
        <v>0.21210000000000001</v>
      </c>
      <c r="D455" s="2">
        <v>0.65</v>
      </c>
      <c r="E455" s="2">
        <v>0.28360000000000002</v>
      </c>
      <c r="F455" s="2">
        <v>0</v>
      </c>
      <c r="G455" s="2">
        <v>56</v>
      </c>
      <c r="H455" s="2">
        <v>56</v>
      </c>
    </row>
    <row r="456" spans="1:8" x14ac:dyDescent="0.3">
      <c r="A456">
        <v>454</v>
      </c>
      <c r="B456" s="2">
        <v>455</v>
      </c>
      <c r="C456" s="2">
        <v>0.21210000000000001</v>
      </c>
      <c r="D456" s="2">
        <v>0.65</v>
      </c>
      <c r="E456" s="2">
        <v>0.32840000000000003</v>
      </c>
      <c r="F456" s="2">
        <v>3</v>
      </c>
      <c r="G456" s="2">
        <v>28</v>
      </c>
      <c r="H456" s="2">
        <v>31</v>
      </c>
    </row>
    <row r="457" spans="1:8" x14ac:dyDescent="0.3">
      <c r="A457">
        <v>455</v>
      </c>
      <c r="B457" s="2">
        <v>456</v>
      </c>
      <c r="C457" s="2">
        <v>0.2273</v>
      </c>
      <c r="D457" s="2">
        <v>0.7</v>
      </c>
      <c r="E457" s="2">
        <v>0.25369999999999998</v>
      </c>
      <c r="F457" s="2">
        <v>1</v>
      </c>
      <c r="G457" s="2">
        <v>20</v>
      </c>
      <c r="H457" s="2">
        <v>21</v>
      </c>
    </row>
    <row r="458" spans="1:8" x14ac:dyDescent="0.3">
      <c r="A458">
        <v>456</v>
      </c>
      <c r="B458" s="2">
        <v>457</v>
      </c>
      <c r="C458" s="2">
        <v>0.2273</v>
      </c>
      <c r="D458" s="2">
        <v>0.7</v>
      </c>
      <c r="E458" s="2">
        <v>0.25369999999999998</v>
      </c>
      <c r="F458" s="2">
        <v>0</v>
      </c>
      <c r="G458" s="2">
        <v>6</v>
      </c>
      <c r="H458" s="2">
        <v>6</v>
      </c>
    </row>
    <row r="459" spans="1:8" x14ac:dyDescent="0.3">
      <c r="A459">
        <v>457</v>
      </c>
      <c r="B459" s="2">
        <v>458</v>
      </c>
      <c r="C459" s="2">
        <v>0.2424</v>
      </c>
      <c r="D459" s="2">
        <v>0.75</v>
      </c>
      <c r="E459" s="2">
        <v>0.16420000000000001</v>
      </c>
      <c r="F459" s="2">
        <v>0</v>
      </c>
      <c r="G459" s="2">
        <v>2</v>
      </c>
      <c r="H459" s="2">
        <v>2</v>
      </c>
    </row>
    <row r="460" spans="1:8" x14ac:dyDescent="0.3">
      <c r="A460">
        <v>458</v>
      </c>
      <c r="B460" s="2">
        <v>459</v>
      </c>
      <c r="C460" s="2">
        <v>0.21210000000000001</v>
      </c>
      <c r="D460" s="2">
        <v>0.8</v>
      </c>
      <c r="E460" s="2">
        <v>0.29849999999999999</v>
      </c>
      <c r="F460" s="2">
        <v>0</v>
      </c>
      <c r="G460" s="2">
        <v>1</v>
      </c>
      <c r="H460" s="2">
        <v>1</v>
      </c>
    </row>
    <row r="461" spans="1:8" x14ac:dyDescent="0.3">
      <c r="A461">
        <v>459</v>
      </c>
      <c r="B461" s="2">
        <v>460</v>
      </c>
      <c r="C461" s="2">
        <v>0.2576</v>
      </c>
      <c r="D461" s="2">
        <v>0.87</v>
      </c>
      <c r="E461" s="2">
        <v>8.9599999999999999E-2</v>
      </c>
      <c r="F461" s="2">
        <v>0</v>
      </c>
      <c r="G461" s="2">
        <v>1</v>
      </c>
      <c r="H461" s="2">
        <v>1</v>
      </c>
    </row>
    <row r="462" spans="1:8" x14ac:dyDescent="0.3">
      <c r="A462">
        <v>460</v>
      </c>
      <c r="B462" s="2">
        <v>461</v>
      </c>
      <c r="C462" s="2">
        <v>0.19700000000000001</v>
      </c>
      <c r="D462" s="2">
        <v>0.6</v>
      </c>
      <c r="E462" s="2">
        <v>0.41789999999999999</v>
      </c>
      <c r="F462" s="2">
        <v>1</v>
      </c>
      <c r="G462" s="2">
        <v>4</v>
      </c>
      <c r="H462" s="2">
        <v>5</v>
      </c>
    </row>
    <row r="463" spans="1:8" x14ac:dyDescent="0.3">
      <c r="A463">
        <v>461</v>
      </c>
      <c r="B463" s="2">
        <v>462</v>
      </c>
      <c r="C463" s="2">
        <v>0.21210000000000001</v>
      </c>
      <c r="D463" s="2">
        <v>0.55000000000000004</v>
      </c>
      <c r="E463" s="2">
        <v>0.25369999999999998</v>
      </c>
      <c r="F463" s="2">
        <v>0</v>
      </c>
      <c r="G463" s="2">
        <v>27</v>
      </c>
      <c r="H463" s="2">
        <v>27</v>
      </c>
    </row>
    <row r="464" spans="1:8" x14ac:dyDescent="0.3">
      <c r="A464">
        <v>462</v>
      </c>
      <c r="B464" s="2">
        <v>463</v>
      </c>
      <c r="C464" s="2">
        <v>0.18179999999999999</v>
      </c>
      <c r="D464" s="2">
        <v>0.51</v>
      </c>
      <c r="E464" s="2">
        <v>0.28360000000000002</v>
      </c>
      <c r="F464" s="2">
        <v>2</v>
      </c>
      <c r="G464" s="2">
        <v>66</v>
      </c>
      <c r="H464" s="2">
        <v>68</v>
      </c>
    </row>
    <row r="465" spans="1:8" x14ac:dyDescent="0.3">
      <c r="A465">
        <v>463</v>
      </c>
      <c r="B465" s="2">
        <v>464</v>
      </c>
      <c r="C465" s="2">
        <v>0.18179999999999999</v>
      </c>
      <c r="D465" s="2">
        <v>0.47</v>
      </c>
      <c r="E465" s="2">
        <v>0.32840000000000003</v>
      </c>
      <c r="F465" s="2">
        <v>7</v>
      </c>
      <c r="G465" s="2">
        <v>210</v>
      </c>
      <c r="H465" s="2">
        <v>217</v>
      </c>
    </row>
    <row r="466" spans="1:8" x14ac:dyDescent="0.3">
      <c r="A466">
        <v>464</v>
      </c>
      <c r="B466" s="2">
        <v>465</v>
      </c>
      <c r="C466" s="2">
        <v>0.18179999999999999</v>
      </c>
      <c r="D466" s="2">
        <v>0.51</v>
      </c>
      <c r="E466" s="2">
        <v>0.35820000000000002</v>
      </c>
      <c r="F466" s="2">
        <v>7</v>
      </c>
      <c r="G466" s="2">
        <v>159</v>
      </c>
      <c r="H466" s="2">
        <v>166</v>
      </c>
    </row>
    <row r="467" spans="1:8" x14ac:dyDescent="0.3">
      <c r="A467">
        <v>465</v>
      </c>
      <c r="B467" s="2">
        <v>466</v>
      </c>
      <c r="C467" s="2">
        <v>0.16669999999999999</v>
      </c>
      <c r="D467" s="2">
        <v>0.47</v>
      </c>
      <c r="E467" s="2">
        <v>0.4627</v>
      </c>
      <c r="F467" s="2">
        <v>6</v>
      </c>
      <c r="G467" s="2">
        <v>57</v>
      </c>
      <c r="H467" s="2">
        <v>63</v>
      </c>
    </row>
    <row r="468" spans="1:8" x14ac:dyDescent="0.3">
      <c r="A468">
        <v>466</v>
      </c>
      <c r="B468" s="2">
        <v>467</v>
      </c>
      <c r="C468" s="2">
        <v>0.18179999999999999</v>
      </c>
      <c r="D468" s="2">
        <v>0.41</v>
      </c>
      <c r="E468" s="2">
        <v>0.4627</v>
      </c>
      <c r="F468" s="2">
        <v>6</v>
      </c>
      <c r="G468" s="2">
        <v>53</v>
      </c>
      <c r="H468" s="2">
        <v>59</v>
      </c>
    </row>
    <row r="469" spans="1:8" x14ac:dyDescent="0.3">
      <c r="A469">
        <v>467</v>
      </c>
      <c r="B469" s="2">
        <v>468</v>
      </c>
      <c r="C469" s="2">
        <v>0.18179999999999999</v>
      </c>
      <c r="D469" s="2">
        <v>0.27</v>
      </c>
      <c r="E469" s="2">
        <v>0.58209999999999995</v>
      </c>
      <c r="F469" s="2">
        <v>11</v>
      </c>
      <c r="G469" s="2">
        <v>67</v>
      </c>
      <c r="H469" s="2">
        <v>78</v>
      </c>
    </row>
    <row r="470" spans="1:8" x14ac:dyDescent="0.3">
      <c r="A470">
        <v>468</v>
      </c>
      <c r="B470" s="2">
        <v>469</v>
      </c>
      <c r="C470" s="2">
        <v>0.1515</v>
      </c>
      <c r="D470" s="2">
        <v>0.21</v>
      </c>
      <c r="E470" s="2">
        <v>0.58209999999999995</v>
      </c>
      <c r="F470" s="2">
        <v>8</v>
      </c>
      <c r="G470" s="2">
        <v>65</v>
      </c>
      <c r="H470" s="2">
        <v>73</v>
      </c>
    </row>
    <row r="471" spans="1:8" x14ac:dyDescent="0.3">
      <c r="A471">
        <v>469</v>
      </c>
      <c r="B471" s="2">
        <v>470</v>
      </c>
      <c r="C471" s="2">
        <v>0.1515</v>
      </c>
      <c r="D471" s="2">
        <v>0.25</v>
      </c>
      <c r="E471" s="2">
        <v>0.52239999999999998</v>
      </c>
      <c r="F471" s="2">
        <v>6</v>
      </c>
      <c r="G471" s="2">
        <v>56</v>
      </c>
      <c r="H471" s="2">
        <v>62</v>
      </c>
    </row>
    <row r="472" spans="1:8" x14ac:dyDescent="0.3">
      <c r="A472">
        <v>470</v>
      </c>
      <c r="B472" s="2">
        <v>471</v>
      </c>
      <c r="C472" s="2">
        <v>0.1212</v>
      </c>
      <c r="D472" s="2">
        <v>0.26</v>
      </c>
      <c r="E472" s="2">
        <v>0.44779999999999998</v>
      </c>
      <c r="F472" s="2">
        <v>4</v>
      </c>
      <c r="G472" s="2">
        <v>61</v>
      </c>
      <c r="H472" s="2">
        <v>65</v>
      </c>
    </row>
    <row r="473" spans="1:8" x14ac:dyDescent="0.3">
      <c r="A473">
        <v>471</v>
      </c>
      <c r="B473" s="2">
        <v>472</v>
      </c>
      <c r="C473" s="2">
        <v>0.13639999999999999</v>
      </c>
      <c r="D473" s="2">
        <v>0.26</v>
      </c>
      <c r="E473" s="2">
        <v>0.35820000000000002</v>
      </c>
      <c r="F473" s="2">
        <v>0</v>
      </c>
      <c r="G473" s="2">
        <v>97</v>
      </c>
      <c r="H473" s="2">
        <v>97</v>
      </c>
    </row>
    <row r="474" spans="1:8" x14ac:dyDescent="0.3">
      <c r="A474">
        <v>472</v>
      </c>
      <c r="B474" s="2">
        <v>473</v>
      </c>
      <c r="C474" s="2">
        <v>0.1212</v>
      </c>
      <c r="D474" s="2">
        <v>0.28000000000000003</v>
      </c>
      <c r="E474" s="2">
        <v>0.35820000000000002</v>
      </c>
      <c r="F474" s="2">
        <v>10</v>
      </c>
      <c r="G474" s="2">
        <v>151</v>
      </c>
      <c r="H474" s="2">
        <v>161</v>
      </c>
    </row>
    <row r="475" spans="1:8" x14ac:dyDescent="0.3">
      <c r="A475">
        <v>473</v>
      </c>
      <c r="B475" s="2">
        <v>474</v>
      </c>
      <c r="C475" s="2">
        <v>0.1212</v>
      </c>
      <c r="D475" s="2">
        <v>0.3</v>
      </c>
      <c r="E475" s="2">
        <v>0.25369999999999998</v>
      </c>
      <c r="F475" s="2">
        <v>1</v>
      </c>
      <c r="G475" s="2">
        <v>119</v>
      </c>
      <c r="H475" s="2">
        <v>120</v>
      </c>
    </row>
    <row r="476" spans="1:8" x14ac:dyDescent="0.3">
      <c r="A476">
        <v>474</v>
      </c>
      <c r="B476" s="2">
        <v>475</v>
      </c>
      <c r="C476" s="2">
        <v>0.1061</v>
      </c>
      <c r="D476" s="2">
        <v>0.3</v>
      </c>
      <c r="E476" s="2">
        <v>0.32840000000000003</v>
      </c>
      <c r="F476" s="2">
        <v>3</v>
      </c>
      <c r="G476" s="2">
        <v>93</v>
      </c>
      <c r="H476" s="2">
        <v>96</v>
      </c>
    </row>
    <row r="477" spans="1:8" x14ac:dyDescent="0.3">
      <c r="A477">
        <v>475</v>
      </c>
      <c r="B477" s="2">
        <v>476</v>
      </c>
      <c r="C477" s="2">
        <v>7.5800000000000006E-2</v>
      </c>
      <c r="D477" s="2">
        <v>0.33</v>
      </c>
      <c r="E477" s="2">
        <v>0.41789999999999999</v>
      </c>
      <c r="F477" s="2">
        <v>1</v>
      </c>
      <c r="G477" s="2">
        <v>52</v>
      </c>
      <c r="H477" s="2">
        <v>53</v>
      </c>
    </row>
    <row r="478" spans="1:8" x14ac:dyDescent="0.3">
      <c r="A478">
        <v>476</v>
      </c>
      <c r="B478" s="2">
        <v>477</v>
      </c>
      <c r="C478" s="2">
        <v>7.5800000000000006E-2</v>
      </c>
      <c r="D478" s="2">
        <v>0.38</v>
      </c>
      <c r="E478" s="2">
        <v>0.28360000000000002</v>
      </c>
      <c r="F478" s="2">
        <v>0</v>
      </c>
      <c r="G478" s="2">
        <v>41</v>
      </c>
      <c r="H478" s="2">
        <v>41</v>
      </c>
    </row>
    <row r="479" spans="1:8" x14ac:dyDescent="0.3">
      <c r="A479">
        <v>477</v>
      </c>
      <c r="B479" s="2">
        <v>478</v>
      </c>
      <c r="C479" s="2">
        <v>3.0300000000000001E-2</v>
      </c>
      <c r="D479" s="2">
        <v>0.41</v>
      </c>
      <c r="E479" s="2">
        <v>0.3881</v>
      </c>
      <c r="F479" s="2">
        <v>1</v>
      </c>
      <c r="G479" s="2">
        <v>33</v>
      </c>
      <c r="H479" s="2">
        <v>34</v>
      </c>
    </row>
    <row r="480" spans="1:8" x14ac:dyDescent="0.3">
      <c r="A480">
        <v>478</v>
      </c>
      <c r="B480" s="2">
        <v>479</v>
      </c>
      <c r="C480" s="2">
        <v>4.5499999999999999E-2</v>
      </c>
      <c r="D480" s="2">
        <v>0.38</v>
      </c>
      <c r="E480" s="2">
        <v>0.32840000000000003</v>
      </c>
      <c r="F480" s="2">
        <v>0</v>
      </c>
      <c r="G480" s="2">
        <v>27</v>
      </c>
      <c r="H480" s="2">
        <v>27</v>
      </c>
    </row>
    <row r="481" spans="1:8" x14ac:dyDescent="0.3">
      <c r="A481">
        <v>479</v>
      </c>
      <c r="B481" s="2">
        <v>480</v>
      </c>
      <c r="C481" s="2">
        <v>3.0300000000000001E-2</v>
      </c>
      <c r="D481" s="2">
        <v>0.45</v>
      </c>
      <c r="E481" s="2">
        <v>0.25369999999999998</v>
      </c>
      <c r="F481" s="2">
        <v>0</v>
      </c>
      <c r="G481" s="2">
        <v>13</v>
      </c>
      <c r="H481" s="2">
        <v>13</v>
      </c>
    </row>
    <row r="482" spans="1:8" x14ac:dyDescent="0.3">
      <c r="A482">
        <v>480</v>
      </c>
      <c r="B482" s="2">
        <v>481</v>
      </c>
      <c r="C482" s="2">
        <v>0</v>
      </c>
      <c r="D482" s="2">
        <v>0.41</v>
      </c>
      <c r="E482" s="2">
        <v>0.3881</v>
      </c>
      <c r="F482" s="2">
        <v>3</v>
      </c>
      <c r="G482" s="2">
        <v>9</v>
      </c>
      <c r="H482" s="2">
        <v>12</v>
      </c>
    </row>
    <row r="483" spans="1:8" x14ac:dyDescent="0.3">
      <c r="A483">
        <v>481</v>
      </c>
      <c r="B483" s="2">
        <v>482</v>
      </c>
      <c r="C483" s="2">
        <v>3.0300000000000001E-2</v>
      </c>
      <c r="D483" s="2">
        <v>0.41</v>
      </c>
      <c r="E483" s="2">
        <v>0.25369999999999998</v>
      </c>
      <c r="F483" s="2">
        <v>0</v>
      </c>
      <c r="G483" s="2">
        <v>11</v>
      </c>
      <c r="H483" s="2">
        <v>11</v>
      </c>
    </row>
    <row r="484" spans="1:8" x14ac:dyDescent="0.3">
      <c r="A484">
        <v>482</v>
      </c>
      <c r="B484" s="2">
        <v>483</v>
      </c>
      <c r="C484" s="2">
        <v>3.0300000000000001E-2</v>
      </c>
      <c r="D484" s="2">
        <v>0.41</v>
      </c>
      <c r="E484" s="2">
        <v>0.28360000000000002</v>
      </c>
      <c r="F484" s="2">
        <v>1</v>
      </c>
      <c r="G484" s="2">
        <v>6</v>
      </c>
      <c r="H484" s="2">
        <v>7</v>
      </c>
    </row>
    <row r="485" spans="1:8" x14ac:dyDescent="0.3">
      <c r="A485">
        <v>483</v>
      </c>
      <c r="B485" s="2">
        <v>484</v>
      </c>
      <c r="C485" s="2">
        <v>1.52E-2</v>
      </c>
      <c r="D485" s="2">
        <v>0.48</v>
      </c>
      <c r="E485" s="2">
        <v>0.29849999999999999</v>
      </c>
      <c r="F485" s="2">
        <v>0</v>
      </c>
      <c r="G485" s="2">
        <v>3</v>
      </c>
      <c r="H485" s="2">
        <v>3</v>
      </c>
    </row>
    <row r="486" spans="1:8" x14ac:dyDescent="0.3">
      <c r="A486">
        <v>484</v>
      </c>
      <c r="B486" s="2">
        <v>485</v>
      </c>
      <c r="C486" s="2">
        <v>3.0300000000000001E-2</v>
      </c>
      <c r="D486" s="2">
        <v>0.44</v>
      </c>
      <c r="E486" s="2">
        <v>0.22389999999999999</v>
      </c>
      <c r="F486" s="2">
        <v>0</v>
      </c>
      <c r="G486" s="2">
        <v>2</v>
      </c>
      <c r="H486" s="2">
        <v>2</v>
      </c>
    </row>
    <row r="487" spans="1:8" x14ac:dyDescent="0.3">
      <c r="A487">
        <v>485</v>
      </c>
      <c r="B487" s="2">
        <v>486</v>
      </c>
      <c r="C487" s="2">
        <v>1.52E-2</v>
      </c>
      <c r="D487" s="2">
        <v>0.44</v>
      </c>
      <c r="E487" s="2">
        <v>0.28360000000000002</v>
      </c>
      <c r="F487" s="2">
        <v>0</v>
      </c>
      <c r="G487" s="2">
        <v>8</v>
      </c>
      <c r="H487" s="2">
        <v>8</v>
      </c>
    </row>
    <row r="488" spans="1:8" x14ac:dyDescent="0.3">
      <c r="A488">
        <v>486</v>
      </c>
      <c r="B488" s="2">
        <v>487</v>
      </c>
      <c r="C488" s="2">
        <v>0</v>
      </c>
      <c r="D488" s="2">
        <v>0.44</v>
      </c>
      <c r="E488" s="2">
        <v>0.32840000000000003</v>
      </c>
      <c r="F488" s="2">
        <v>1</v>
      </c>
      <c r="G488" s="2">
        <v>26</v>
      </c>
      <c r="H488" s="2">
        <v>27</v>
      </c>
    </row>
    <row r="489" spans="1:8" x14ac:dyDescent="0.3">
      <c r="A489">
        <v>487</v>
      </c>
      <c r="B489" s="2">
        <v>488</v>
      </c>
      <c r="C489" s="2">
        <v>3.0300000000000001E-2</v>
      </c>
      <c r="D489" s="2">
        <v>0.41</v>
      </c>
      <c r="E489" s="2">
        <v>0.25369999999999998</v>
      </c>
      <c r="F489" s="2">
        <v>3</v>
      </c>
      <c r="G489" s="2">
        <v>37</v>
      </c>
      <c r="H489" s="2">
        <v>40</v>
      </c>
    </row>
    <row r="490" spans="1:8" x14ac:dyDescent="0.3">
      <c r="A490">
        <v>488</v>
      </c>
      <c r="B490" s="2">
        <v>489</v>
      </c>
      <c r="C490" s="2">
        <v>6.0600000000000001E-2</v>
      </c>
      <c r="D490" s="2">
        <v>0.41</v>
      </c>
      <c r="E490" s="2">
        <v>0.16420000000000001</v>
      </c>
      <c r="F490" s="2">
        <v>3</v>
      </c>
      <c r="G490" s="2">
        <v>50</v>
      </c>
      <c r="H490" s="2">
        <v>53</v>
      </c>
    </row>
    <row r="491" spans="1:8" x14ac:dyDescent="0.3">
      <c r="A491">
        <v>489</v>
      </c>
      <c r="B491" s="2">
        <v>490</v>
      </c>
      <c r="C491" s="2">
        <v>7.5800000000000006E-2</v>
      </c>
      <c r="D491" s="2">
        <v>0.38</v>
      </c>
      <c r="E491" s="2">
        <v>0.1343</v>
      </c>
      <c r="F491" s="2">
        <v>4</v>
      </c>
      <c r="G491" s="2">
        <v>59</v>
      </c>
      <c r="H491" s="2">
        <v>63</v>
      </c>
    </row>
    <row r="492" spans="1:8" x14ac:dyDescent="0.3">
      <c r="A492">
        <v>490</v>
      </c>
      <c r="B492" s="2">
        <v>491</v>
      </c>
      <c r="C492" s="2">
        <v>0.1061</v>
      </c>
      <c r="D492" s="2">
        <v>0.38</v>
      </c>
      <c r="E492" s="2">
        <v>0.1045</v>
      </c>
      <c r="F492" s="2">
        <v>10</v>
      </c>
      <c r="G492" s="2">
        <v>60</v>
      </c>
      <c r="H492" s="2">
        <v>70</v>
      </c>
    </row>
    <row r="493" spans="1:8" x14ac:dyDescent="0.3">
      <c r="A493">
        <v>491</v>
      </c>
      <c r="B493" s="2">
        <v>492</v>
      </c>
      <c r="C493" s="2">
        <v>0.16669999999999999</v>
      </c>
      <c r="D493" s="2">
        <v>0.35</v>
      </c>
      <c r="E493" s="2">
        <v>0</v>
      </c>
      <c r="F493" s="2">
        <v>12</v>
      </c>
      <c r="G493" s="2">
        <v>72</v>
      </c>
      <c r="H493" s="2">
        <v>84</v>
      </c>
    </row>
    <row r="494" spans="1:8" x14ac:dyDescent="0.3">
      <c r="A494">
        <v>492</v>
      </c>
      <c r="B494" s="2">
        <v>493</v>
      </c>
      <c r="C494" s="2">
        <v>0.13639999999999999</v>
      </c>
      <c r="D494" s="2">
        <v>0.33</v>
      </c>
      <c r="E494" s="2">
        <v>0.1045</v>
      </c>
      <c r="F494" s="2">
        <v>11</v>
      </c>
      <c r="G494" s="2">
        <v>64</v>
      </c>
      <c r="H494" s="2">
        <v>75</v>
      </c>
    </row>
    <row r="495" spans="1:8" x14ac:dyDescent="0.3">
      <c r="A495">
        <v>493</v>
      </c>
      <c r="B495" s="2">
        <v>494</v>
      </c>
      <c r="C495" s="2">
        <v>0.1515</v>
      </c>
      <c r="D495" s="2">
        <v>0.28000000000000003</v>
      </c>
      <c r="E495" s="2">
        <v>0</v>
      </c>
      <c r="F495" s="2">
        <v>10</v>
      </c>
      <c r="G495" s="2">
        <v>93</v>
      </c>
      <c r="H495" s="2">
        <v>103</v>
      </c>
    </row>
    <row r="496" spans="1:8" x14ac:dyDescent="0.3">
      <c r="A496">
        <v>494</v>
      </c>
      <c r="B496" s="2">
        <v>495</v>
      </c>
      <c r="C496" s="2">
        <v>0.13639999999999999</v>
      </c>
      <c r="D496" s="2">
        <v>0.28000000000000003</v>
      </c>
      <c r="E496" s="2">
        <v>0.19400000000000001</v>
      </c>
      <c r="F496" s="2">
        <v>11</v>
      </c>
      <c r="G496" s="2">
        <v>72</v>
      </c>
      <c r="H496" s="2">
        <v>83</v>
      </c>
    </row>
    <row r="497" spans="1:8" x14ac:dyDescent="0.3">
      <c r="A497">
        <v>495</v>
      </c>
      <c r="B497" s="2">
        <v>496</v>
      </c>
      <c r="C497" s="2">
        <v>0.19700000000000001</v>
      </c>
      <c r="D497" s="2">
        <v>0.28000000000000003</v>
      </c>
      <c r="E497" s="2">
        <v>0</v>
      </c>
      <c r="F497" s="2">
        <v>8</v>
      </c>
      <c r="G497" s="2">
        <v>59</v>
      </c>
      <c r="H497" s="2">
        <v>67</v>
      </c>
    </row>
    <row r="498" spans="1:8" x14ac:dyDescent="0.3">
      <c r="A498">
        <v>496</v>
      </c>
      <c r="B498" s="2">
        <v>497</v>
      </c>
      <c r="C498" s="2">
        <v>9.0899999999999995E-2</v>
      </c>
      <c r="D498" s="2">
        <v>0.35</v>
      </c>
      <c r="E498" s="2">
        <v>0.19400000000000001</v>
      </c>
      <c r="F498" s="2">
        <v>0</v>
      </c>
      <c r="G498" s="2">
        <v>54</v>
      </c>
      <c r="H498" s="2">
        <v>54</v>
      </c>
    </row>
    <row r="499" spans="1:8" x14ac:dyDescent="0.3">
      <c r="A499">
        <v>497</v>
      </c>
      <c r="B499" s="2">
        <v>498</v>
      </c>
      <c r="C499" s="2">
        <v>0.1061</v>
      </c>
      <c r="D499" s="2">
        <v>0.35</v>
      </c>
      <c r="E499" s="2">
        <v>0.1343</v>
      </c>
      <c r="F499" s="2">
        <v>6</v>
      </c>
      <c r="G499" s="2">
        <v>53</v>
      </c>
      <c r="H499" s="2">
        <v>59</v>
      </c>
    </row>
    <row r="500" spans="1:8" x14ac:dyDescent="0.3">
      <c r="A500">
        <v>498</v>
      </c>
      <c r="B500" s="2">
        <v>499</v>
      </c>
      <c r="C500" s="2">
        <v>7.5800000000000006E-2</v>
      </c>
      <c r="D500" s="2">
        <v>0.45</v>
      </c>
      <c r="E500" s="2">
        <v>0.16420000000000001</v>
      </c>
      <c r="F500" s="2">
        <v>1</v>
      </c>
      <c r="G500" s="2">
        <v>44</v>
      </c>
      <c r="H500" s="2">
        <v>45</v>
      </c>
    </row>
    <row r="501" spans="1:8" x14ac:dyDescent="0.3">
      <c r="A501">
        <v>499</v>
      </c>
      <c r="B501" s="2">
        <v>500</v>
      </c>
      <c r="C501" s="2">
        <v>0.1061</v>
      </c>
      <c r="D501" s="2">
        <v>0.41</v>
      </c>
      <c r="E501" s="2">
        <v>8.9599999999999999E-2</v>
      </c>
      <c r="F501" s="2">
        <v>0</v>
      </c>
      <c r="G501" s="2">
        <v>39</v>
      </c>
      <c r="H501" s="2">
        <v>39</v>
      </c>
    </row>
    <row r="502" spans="1:8" x14ac:dyDescent="0.3">
      <c r="A502">
        <v>500</v>
      </c>
      <c r="B502" s="2">
        <v>501</v>
      </c>
      <c r="C502" s="2">
        <v>0.1515</v>
      </c>
      <c r="D502" s="2">
        <v>0.49</v>
      </c>
      <c r="E502" s="2">
        <v>0</v>
      </c>
      <c r="F502" s="2">
        <v>7</v>
      </c>
      <c r="G502" s="2">
        <v>23</v>
      </c>
      <c r="H502" s="2">
        <v>30</v>
      </c>
    </row>
    <row r="503" spans="1:8" x14ac:dyDescent="0.3">
      <c r="A503">
        <v>501</v>
      </c>
      <c r="B503" s="2">
        <v>502</v>
      </c>
      <c r="C503" s="2">
        <v>7.5800000000000006E-2</v>
      </c>
      <c r="D503" s="2">
        <v>0.56999999999999995</v>
      </c>
      <c r="E503" s="2">
        <v>0.1045</v>
      </c>
      <c r="F503" s="2">
        <v>2</v>
      </c>
      <c r="G503" s="2">
        <v>31</v>
      </c>
      <c r="H503" s="2">
        <v>33</v>
      </c>
    </row>
    <row r="504" spans="1:8" x14ac:dyDescent="0.3">
      <c r="A504">
        <v>502</v>
      </c>
      <c r="B504" s="2">
        <v>503</v>
      </c>
      <c r="C504" s="2">
        <v>7.5800000000000006E-2</v>
      </c>
      <c r="D504" s="2">
        <v>0.56999999999999995</v>
      </c>
      <c r="E504" s="2">
        <v>0.1045</v>
      </c>
      <c r="F504" s="2">
        <v>2</v>
      </c>
      <c r="G504" s="2">
        <v>20</v>
      </c>
      <c r="H504" s="2">
        <v>22</v>
      </c>
    </row>
    <row r="505" spans="1:8" x14ac:dyDescent="0.3">
      <c r="A505">
        <v>503</v>
      </c>
      <c r="B505" s="2">
        <v>504</v>
      </c>
      <c r="C505" s="2">
        <v>7.5800000000000006E-2</v>
      </c>
      <c r="D505" s="2">
        <v>0.56999999999999995</v>
      </c>
      <c r="E505" s="2">
        <v>0.1045</v>
      </c>
      <c r="F505" s="2">
        <v>1</v>
      </c>
      <c r="G505" s="2">
        <v>12</v>
      </c>
      <c r="H505" s="2">
        <v>13</v>
      </c>
    </row>
    <row r="506" spans="1:8" x14ac:dyDescent="0.3">
      <c r="A506">
        <v>504</v>
      </c>
      <c r="B506" s="2">
        <v>505</v>
      </c>
      <c r="C506" s="2">
        <v>6.0600000000000001E-2</v>
      </c>
      <c r="D506" s="2">
        <v>0.62</v>
      </c>
      <c r="E506" s="2">
        <v>0.1343</v>
      </c>
      <c r="F506" s="2">
        <v>3</v>
      </c>
      <c r="G506" s="2">
        <v>15</v>
      </c>
      <c r="H506" s="2">
        <v>18</v>
      </c>
    </row>
    <row r="507" spans="1:8" x14ac:dyDescent="0.3">
      <c r="A507">
        <v>505</v>
      </c>
      <c r="B507" s="2">
        <v>506</v>
      </c>
      <c r="C507" s="2">
        <v>6.0600000000000001E-2</v>
      </c>
      <c r="D507" s="2">
        <v>0.62</v>
      </c>
      <c r="E507" s="2">
        <v>0.1343</v>
      </c>
      <c r="F507" s="2">
        <v>1</v>
      </c>
      <c r="G507" s="2">
        <v>4</v>
      </c>
      <c r="H507" s="2">
        <v>5</v>
      </c>
    </row>
    <row r="508" spans="1:8" x14ac:dyDescent="0.3">
      <c r="A508">
        <v>506</v>
      </c>
      <c r="B508" s="2">
        <v>507</v>
      </c>
      <c r="C508" s="2">
        <v>7.5800000000000006E-2</v>
      </c>
      <c r="D508" s="2">
        <v>0.56999999999999995</v>
      </c>
      <c r="E508" s="2">
        <v>0.1045</v>
      </c>
      <c r="F508" s="2">
        <v>0</v>
      </c>
      <c r="G508" s="2">
        <v>3</v>
      </c>
      <c r="H508" s="2">
        <v>3</v>
      </c>
    </row>
    <row r="509" spans="1:8" x14ac:dyDescent="0.3">
      <c r="A509">
        <v>507</v>
      </c>
      <c r="B509" s="2">
        <v>508</v>
      </c>
      <c r="C509" s="2">
        <v>7.5800000000000006E-2</v>
      </c>
      <c r="D509" s="2">
        <v>0.56999999999999995</v>
      </c>
      <c r="E509" s="2">
        <v>0.1045</v>
      </c>
      <c r="F509" s="2">
        <v>0</v>
      </c>
      <c r="G509" s="2">
        <v>1</v>
      </c>
      <c r="H509" s="2">
        <v>1</v>
      </c>
    </row>
    <row r="510" spans="1:8" x14ac:dyDescent="0.3">
      <c r="A510">
        <v>508</v>
      </c>
      <c r="B510" s="2">
        <v>509</v>
      </c>
      <c r="C510" s="2">
        <v>0.1061</v>
      </c>
      <c r="D510" s="2">
        <v>0.57999999999999996</v>
      </c>
      <c r="E510" s="2">
        <v>0.16420000000000001</v>
      </c>
      <c r="F510" s="2">
        <v>1</v>
      </c>
      <c r="G510" s="2">
        <v>1</v>
      </c>
      <c r="H510" s="2">
        <v>2</v>
      </c>
    </row>
    <row r="511" spans="1:8" x14ac:dyDescent="0.3">
      <c r="A511">
        <v>509</v>
      </c>
      <c r="B511" s="2">
        <v>510</v>
      </c>
      <c r="C511" s="2">
        <v>7.5800000000000006E-2</v>
      </c>
      <c r="D511" s="2">
        <v>0.62</v>
      </c>
      <c r="E511" s="2">
        <v>0.16420000000000001</v>
      </c>
      <c r="F511" s="2">
        <v>2</v>
      </c>
      <c r="G511" s="2">
        <v>17</v>
      </c>
      <c r="H511" s="2">
        <v>19</v>
      </c>
    </row>
    <row r="512" spans="1:8" x14ac:dyDescent="0.3">
      <c r="A512">
        <v>510</v>
      </c>
      <c r="B512" s="2">
        <v>511</v>
      </c>
      <c r="C512" s="2">
        <v>7.5800000000000006E-2</v>
      </c>
      <c r="D512" s="2">
        <v>0.54</v>
      </c>
      <c r="E512" s="2">
        <v>0.35820000000000002</v>
      </c>
      <c r="F512" s="2">
        <v>3</v>
      </c>
      <c r="G512" s="2">
        <v>25</v>
      </c>
      <c r="H512" s="2">
        <v>28</v>
      </c>
    </row>
    <row r="513" spans="1:8" x14ac:dyDescent="0.3">
      <c r="A513">
        <v>511</v>
      </c>
      <c r="B513" s="2">
        <v>512</v>
      </c>
      <c r="C513" s="2">
        <v>0.1061</v>
      </c>
      <c r="D513" s="2">
        <v>0.46</v>
      </c>
      <c r="E513" s="2">
        <v>0.3881</v>
      </c>
      <c r="F513" s="2">
        <v>7</v>
      </c>
      <c r="G513" s="2">
        <v>51</v>
      </c>
      <c r="H513" s="2">
        <v>58</v>
      </c>
    </row>
    <row r="514" spans="1:8" x14ac:dyDescent="0.3">
      <c r="A514">
        <v>512</v>
      </c>
      <c r="B514" s="2">
        <v>513</v>
      </c>
      <c r="C514" s="2">
        <v>0.13639999999999999</v>
      </c>
      <c r="D514" s="2">
        <v>0.43</v>
      </c>
      <c r="E514" s="2">
        <v>0.22389999999999999</v>
      </c>
      <c r="F514" s="2">
        <v>22</v>
      </c>
      <c r="G514" s="2">
        <v>77</v>
      </c>
      <c r="H514" s="2">
        <v>99</v>
      </c>
    </row>
    <row r="515" spans="1:8" x14ac:dyDescent="0.3">
      <c r="A515">
        <v>513</v>
      </c>
      <c r="B515" s="2">
        <v>514</v>
      </c>
      <c r="C515" s="2">
        <v>0.1212</v>
      </c>
      <c r="D515" s="2">
        <v>0.37</v>
      </c>
      <c r="E515" s="2">
        <v>0.4627</v>
      </c>
      <c r="F515" s="2">
        <v>24</v>
      </c>
      <c r="G515" s="2">
        <v>92</v>
      </c>
      <c r="H515" s="2">
        <v>116</v>
      </c>
    </row>
    <row r="516" spans="1:8" x14ac:dyDescent="0.3">
      <c r="A516">
        <v>514</v>
      </c>
      <c r="B516" s="2">
        <v>515</v>
      </c>
      <c r="C516" s="2">
        <v>0.1061</v>
      </c>
      <c r="D516" s="2">
        <v>0.33</v>
      </c>
      <c r="E516" s="2">
        <v>0.3881</v>
      </c>
      <c r="F516" s="2">
        <v>12</v>
      </c>
      <c r="G516" s="2">
        <v>75</v>
      </c>
      <c r="H516" s="2">
        <v>87</v>
      </c>
    </row>
    <row r="517" spans="1:8" x14ac:dyDescent="0.3">
      <c r="A517">
        <v>515</v>
      </c>
      <c r="B517" s="2">
        <v>516</v>
      </c>
      <c r="C517" s="2">
        <v>0.13639999999999999</v>
      </c>
      <c r="D517" s="2">
        <v>0.28000000000000003</v>
      </c>
      <c r="E517" s="2">
        <v>0.35820000000000002</v>
      </c>
      <c r="F517" s="2">
        <v>17</v>
      </c>
      <c r="G517" s="2">
        <v>93</v>
      </c>
      <c r="H517" s="2">
        <v>110</v>
      </c>
    </row>
    <row r="518" spans="1:8" x14ac:dyDescent="0.3">
      <c r="A518">
        <v>516</v>
      </c>
      <c r="B518" s="2">
        <v>517</v>
      </c>
      <c r="C518" s="2">
        <v>0.13639999999999999</v>
      </c>
      <c r="D518" s="2">
        <v>0.28000000000000003</v>
      </c>
      <c r="E518" s="2">
        <v>0.35820000000000002</v>
      </c>
      <c r="F518" s="2">
        <v>13</v>
      </c>
      <c r="G518" s="2">
        <v>64</v>
      </c>
      <c r="H518" s="2">
        <v>77</v>
      </c>
    </row>
    <row r="519" spans="1:8" x14ac:dyDescent="0.3">
      <c r="A519">
        <v>517</v>
      </c>
      <c r="B519" s="2">
        <v>518</v>
      </c>
      <c r="C519" s="2">
        <v>0.13639999999999999</v>
      </c>
      <c r="D519" s="2">
        <v>0.26</v>
      </c>
      <c r="E519" s="2">
        <v>0.32840000000000003</v>
      </c>
      <c r="F519" s="2">
        <v>9</v>
      </c>
      <c r="G519" s="2">
        <v>56</v>
      </c>
      <c r="H519" s="2">
        <v>65</v>
      </c>
    </row>
    <row r="520" spans="1:8" x14ac:dyDescent="0.3">
      <c r="A520">
        <v>518</v>
      </c>
      <c r="B520" s="2">
        <v>519</v>
      </c>
      <c r="C520" s="2">
        <v>0.1061</v>
      </c>
      <c r="D520" s="2">
        <v>0.26</v>
      </c>
      <c r="E520" s="2">
        <v>0.3881</v>
      </c>
      <c r="F520" s="2">
        <v>5</v>
      </c>
      <c r="G520" s="2">
        <v>50</v>
      </c>
      <c r="H520" s="2">
        <v>55</v>
      </c>
    </row>
    <row r="521" spans="1:8" x14ac:dyDescent="0.3">
      <c r="A521">
        <v>519</v>
      </c>
      <c r="B521" s="2">
        <v>520</v>
      </c>
      <c r="C521" s="2">
        <v>0.1212</v>
      </c>
      <c r="D521" s="2">
        <v>0.3</v>
      </c>
      <c r="E521" s="2">
        <v>0.25369999999999998</v>
      </c>
      <c r="F521" s="2">
        <v>5</v>
      </c>
      <c r="G521" s="2">
        <v>44</v>
      </c>
      <c r="H521" s="2">
        <v>49</v>
      </c>
    </row>
    <row r="522" spans="1:8" x14ac:dyDescent="0.3">
      <c r="A522">
        <v>520</v>
      </c>
      <c r="B522" s="2">
        <v>521</v>
      </c>
      <c r="C522" s="2">
        <v>0.1212</v>
      </c>
      <c r="D522" s="2">
        <v>0.3</v>
      </c>
      <c r="E522" s="2">
        <v>0.28360000000000002</v>
      </c>
      <c r="F522" s="2">
        <v>5</v>
      </c>
      <c r="G522" s="2">
        <v>45</v>
      </c>
      <c r="H522" s="2">
        <v>50</v>
      </c>
    </row>
    <row r="523" spans="1:8" x14ac:dyDescent="0.3">
      <c r="A523">
        <v>521</v>
      </c>
      <c r="B523" s="2">
        <v>522</v>
      </c>
      <c r="C523" s="2">
        <v>0.1061</v>
      </c>
      <c r="D523" s="2">
        <v>0.36</v>
      </c>
      <c r="E523" s="2">
        <v>0.25369999999999998</v>
      </c>
      <c r="F523" s="2">
        <v>4</v>
      </c>
      <c r="G523" s="2">
        <v>31</v>
      </c>
      <c r="H523" s="2">
        <v>35</v>
      </c>
    </row>
    <row r="524" spans="1:8" x14ac:dyDescent="0.3">
      <c r="A524">
        <v>522</v>
      </c>
      <c r="B524" s="2">
        <v>523</v>
      </c>
      <c r="C524" s="2">
        <v>0.1061</v>
      </c>
      <c r="D524" s="2">
        <v>0.36</v>
      </c>
      <c r="E524" s="2">
        <v>0.19400000000000001</v>
      </c>
      <c r="F524" s="2">
        <v>5</v>
      </c>
      <c r="G524" s="2">
        <v>20</v>
      </c>
      <c r="H524" s="2">
        <v>25</v>
      </c>
    </row>
    <row r="525" spans="1:8" x14ac:dyDescent="0.3">
      <c r="A525">
        <v>523</v>
      </c>
      <c r="B525" s="2">
        <v>524</v>
      </c>
      <c r="C525" s="2">
        <v>9.0899999999999995E-2</v>
      </c>
      <c r="D525" s="2">
        <v>0.38</v>
      </c>
      <c r="E525" s="2">
        <v>0.19400000000000001</v>
      </c>
      <c r="F525" s="2">
        <v>5</v>
      </c>
      <c r="G525" s="2">
        <v>23</v>
      </c>
      <c r="H525" s="2">
        <v>28</v>
      </c>
    </row>
    <row r="526" spans="1:8" x14ac:dyDescent="0.3">
      <c r="A526">
        <v>524</v>
      </c>
      <c r="B526" s="2">
        <v>525</v>
      </c>
      <c r="C526" s="2">
        <v>6.0600000000000001E-2</v>
      </c>
      <c r="D526" s="2">
        <v>0.41</v>
      </c>
      <c r="E526" s="2">
        <v>0.22389999999999999</v>
      </c>
      <c r="F526" s="2">
        <v>4</v>
      </c>
      <c r="G526" s="2">
        <v>17</v>
      </c>
      <c r="H526" s="2">
        <v>21</v>
      </c>
    </row>
    <row r="527" spans="1:8" x14ac:dyDescent="0.3">
      <c r="A527">
        <v>525</v>
      </c>
      <c r="B527" s="2">
        <v>526</v>
      </c>
      <c r="C527" s="2">
        <v>6.0600000000000001E-2</v>
      </c>
      <c r="D527" s="2">
        <v>0.41</v>
      </c>
      <c r="E527" s="2">
        <v>0.19400000000000001</v>
      </c>
      <c r="F527" s="2">
        <v>0</v>
      </c>
      <c r="G527" s="2">
        <v>7</v>
      </c>
      <c r="H527" s="2">
        <v>7</v>
      </c>
    </row>
    <row r="528" spans="1:8" x14ac:dyDescent="0.3">
      <c r="A528">
        <v>526</v>
      </c>
      <c r="B528" s="2">
        <v>527</v>
      </c>
      <c r="C528" s="2">
        <v>4.5499999999999999E-2</v>
      </c>
      <c r="D528" s="2">
        <v>0.45</v>
      </c>
      <c r="E528" s="2">
        <v>0.19400000000000001</v>
      </c>
      <c r="F528" s="2">
        <v>0</v>
      </c>
      <c r="G528" s="2">
        <v>1</v>
      </c>
      <c r="H528" s="2">
        <v>1</v>
      </c>
    </row>
    <row r="529" spans="1:8" x14ac:dyDescent="0.3">
      <c r="A529">
        <v>527</v>
      </c>
      <c r="B529" s="2">
        <v>528</v>
      </c>
      <c r="C529" s="2">
        <v>3.0300000000000001E-2</v>
      </c>
      <c r="D529" s="2">
        <v>0.45</v>
      </c>
      <c r="E529" s="2">
        <v>0.25369999999999998</v>
      </c>
      <c r="F529" s="2">
        <v>0</v>
      </c>
      <c r="G529" s="2">
        <v>1</v>
      </c>
      <c r="H529" s="2">
        <v>1</v>
      </c>
    </row>
    <row r="530" spans="1:8" x14ac:dyDescent="0.3">
      <c r="A530">
        <v>528</v>
      </c>
      <c r="B530" s="2">
        <v>529</v>
      </c>
      <c r="C530" s="2">
        <v>6.0600000000000001E-2</v>
      </c>
      <c r="D530" s="2">
        <v>0.48</v>
      </c>
      <c r="E530" s="2">
        <v>0.1343</v>
      </c>
      <c r="F530" s="2">
        <v>0</v>
      </c>
      <c r="G530" s="2">
        <v>1</v>
      </c>
      <c r="H530" s="2">
        <v>1</v>
      </c>
    </row>
    <row r="531" spans="1:8" x14ac:dyDescent="0.3">
      <c r="A531">
        <v>529</v>
      </c>
      <c r="B531" s="2">
        <v>530</v>
      </c>
      <c r="C531" s="2">
        <v>6.0600000000000001E-2</v>
      </c>
      <c r="D531" s="2">
        <v>0.48</v>
      </c>
      <c r="E531" s="2">
        <v>0.1343</v>
      </c>
      <c r="F531" s="2">
        <v>0</v>
      </c>
      <c r="G531" s="2">
        <v>5</v>
      </c>
      <c r="H531" s="2">
        <v>5</v>
      </c>
    </row>
    <row r="532" spans="1:8" x14ac:dyDescent="0.3">
      <c r="A532">
        <v>530</v>
      </c>
      <c r="B532" s="2">
        <v>531</v>
      </c>
      <c r="C532" s="2">
        <v>7.5800000000000006E-2</v>
      </c>
      <c r="D532" s="2">
        <v>0.48</v>
      </c>
      <c r="E532" s="2">
        <v>8.9599999999999999E-2</v>
      </c>
      <c r="F532" s="2">
        <v>0</v>
      </c>
      <c r="G532" s="2">
        <v>15</v>
      </c>
      <c r="H532" s="2">
        <v>15</v>
      </c>
    </row>
    <row r="533" spans="1:8" x14ac:dyDescent="0.3">
      <c r="A533">
        <v>531</v>
      </c>
      <c r="B533" s="2">
        <v>532</v>
      </c>
      <c r="C533" s="2">
        <v>0.1212</v>
      </c>
      <c r="D533" s="2">
        <v>0.48</v>
      </c>
      <c r="E533" s="2">
        <v>0</v>
      </c>
      <c r="F533" s="2">
        <v>5</v>
      </c>
      <c r="G533" s="2">
        <v>79</v>
      </c>
      <c r="H533" s="2">
        <v>84</v>
      </c>
    </row>
    <row r="534" spans="1:8" x14ac:dyDescent="0.3">
      <c r="A534">
        <v>532</v>
      </c>
      <c r="B534" s="2">
        <v>533</v>
      </c>
      <c r="C534" s="2">
        <v>0.13639999999999999</v>
      </c>
      <c r="D534" s="2">
        <v>0.49</v>
      </c>
      <c r="E534" s="2">
        <v>0</v>
      </c>
      <c r="F534" s="2">
        <v>6</v>
      </c>
      <c r="G534" s="2">
        <v>171</v>
      </c>
      <c r="H534" s="2">
        <v>177</v>
      </c>
    </row>
    <row r="535" spans="1:8" x14ac:dyDescent="0.3">
      <c r="A535">
        <v>533</v>
      </c>
      <c r="B535" s="2">
        <v>534</v>
      </c>
      <c r="C535" s="2">
        <v>0.1515</v>
      </c>
      <c r="D535" s="2">
        <v>0.41</v>
      </c>
      <c r="E535" s="2">
        <v>0</v>
      </c>
      <c r="F535" s="2">
        <v>4</v>
      </c>
      <c r="G535" s="2">
        <v>98</v>
      </c>
      <c r="H535" s="2">
        <v>102</v>
      </c>
    </row>
    <row r="536" spans="1:8" x14ac:dyDescent="0.3">
      <c r="A536">
        <v>534</v>
      </c>
      <c r="B536" s="2">
        <v>535</v>
      </c>
      <c r="C536" s="2">
        <v>0.13639999999999999</v>
      </c>
      <c r="D536" s="2">
        <v>0.42</v>
      </c>
      <c r="E536" s="2">
        <v>0</v>
      </c>
      <c r="F536" s="2">
        <v>6</v>
      </c>
      <c r="G536" s="2">
        <v>34</v>
      </c>
      <c r="H536" s="2">
        <v>40</v>
      </c>
    </row>
    <row r="537" spans="1:8" x14ac:dyDescent="0.3">
      <c r="A537">
        <v>535</v>
      </c>
      <c r="B537" s="2">
        <v>536</v>
      </c>
      <c r="C537" s="2">
        <v>0.1212</v>
      </c>
      <c r="D537" s="2">
        <v>0.46</v>
      </c>
      <c r="E537" s="2">
        <v>0.1343</v>
      </c>
      <c r="F537" s="2">
        <v>3</v>
      </c>
      <c r="G537" s="2">
        <v>43</v>
      </c>
      <c r="H537" s="2">
        <v>46</v>
      </c>
    </row>
    <row r="538" spans="1:8" x14ac:dyDescent="0.3">
      <c r="A538">
        <v>536</v>
      </c>
      <c r="B538" s="2">
        <v>537</v>
      </c>
      <c r="C538" s="2">
        <v>0.13639999999999999</v>
      </c>
      <c r="D538" s="2">
        <v>0.42</v>
      </c>
      <c r="E538" s="2">
        <v>0.19400000000000001</v>
      </c>
      <c r="F538" s="2">
        <v>11</v>
      </c>
      <c r="G538" s="2">
        <v>52</v>
      </c>
      <c r="H538" s="2">
        <v>63</v>
      </c>
    </row>
    <row r="539" spans="1:8" x14ac:dyDescent="0.3">
      <c r="A539">
        <v>537</v>
      </c>
      <c r="B539" s="2">
        <v>538</v>
      </c>
      <c r="C539" s="2">
        <v>0.13639999999999999</v>
      </c>
      <c r="D539" s="2">
        <v>0.43</v>
      </c>
      <c r="E539" s="2">
        <v>0.22389999999999999</v>
      </c>
      <c r="F539" s="2">
        <v>6</v>
      </c>
      <c r="G539" s="2">
        <v>54</v>
      </c>
      <c r="H539" s="2">
        <v>60</v>
      </c>
    </row>
    <row r="540" spans="1:8" x14ac:dyDescent="0.3">
      <c r="A540">
        <v>538</v>
      </c>
      <c r="B540" s="2">
        <v>539</v>
      </c>
      <c r="C540" s="2">
        <v>0.13639999999999999</v>
      </c>
      <c r="D540" s="2">
        <v>0.46</v>
      </c>
      <c r="E540" s="2">
        <v>0.22389999999999999</v>
      </c>
      <c r="F540" s="2">
        <v>2</v>
      </c>
      <c r="G540" s="2">
        <v>43</v>
      </c>
      <c r="H540" s="2">
        <v>45</v>
      </c>
    </row>
    <row r="541" spans="1:8" x14ac:dyDescent="0.3">
      <c r="A541">
        <v>539</v>
      </c>
      <c r="B541" s="2">
        <v>540</v>
      </c>
      <c r="C541" s="2">
        <v>0.16669999999999999</v>
      </c>
      <c r="D541" s="2">
        <v>0.4</v>
      </c>
      <c r="E541" s="2">
        <v>0.16420000000000001</v>
      </c>
      <c r="F541" s="2">
        <v>7</v>
      </c>
      <c r="G541" s="2">
        <v>50</v>
      </c>
      <c r="H541" s="2">
        <v>57</v>
      </c>
    </row>
    <row r="542" spans="1:8" x14ac:dyDescent="0.3">
      <c r="A542">
        <v>540</v>
      </c>
      <c r="B542" s="2">
        <v>541</v>
      </c>
      <c r="C542" s="2">
        <v>0.1515</v>
      </c>
      <c r="D542" s="2">
        <v>0.47</v>
      </c>
      <c r="E542" s="2">
        <v>0.25369999999999998</v>
      </c>
      <c r="F542" s="2">
        <v>4</v>
      </c>
      <c r="G542" s="2">
        <v>66</v>
      </c>
      <c r="H542" s="2">
        <v>70</v>
      </c>
    </row>
    <row r="543" spans="1:8" x14ac:dyDescent="0.3">
      <c r="A543">
        <v>541</v>
      </c>
      <c r="B543" s="2">
        <v>542</v>
      </c>
      <c r="C543" s="2">
        <v>0.1212</v>
      </c>
      <c r="D543" s="2">
        <v>0.5</v>
      </c>
      <c r="E543" s="2">
        <v>0.25369999999999998</v>
      </c>
      <c r="F543" s="2">
        <v>6</v>
      </c>
      <c r="G543" s="2">
        <v>178</v>
      </c>
      <c r="H543" s="2">
        <v>184</v>
      </c>
    </row>
    <row r="544" spans="1:8" x14ac:dyDescent="0.3">
      <c r="A544">
        <v>542</v>
      </c>
      <c r="B544" s="2">
        <v>543</v>
      </c>
      <c r="C544" s="2">
        <v>0.13639999999999999</v>
      </c>
      <c r="D544" s="2">
        <v>0.59</v>
      </c>
      <c r="E544" s="2">
        <v>0.19400000000000001</v>
      </c>
      <c r="F544" s="2">
        <v>8</v>
      </c>
      <c r="G544" s="2">
        <v>145</v>
      </c>
      <c r="H544" s="2">
        <v>153</v>
      </c>
    </row>
    <row r="545" spans="1:8" x14ac:dyDescent="0.3">
      <c r="A545">
        <v>543</v>
      </c>
      <c r="B545" s="2">
        <v>544</v>
      </c>
      <c r="C545" s="2">
        <v>0.1515</v>
      </c>
      <c r="D545" s="2">
        <v>0.54</v>
      </c>
      <c r="E545" s="2">
        <v>0.16420000000000001</v>
      </c>
      <c r="F545" s="2">
        <v>5</v>
      </c>
      <c r="G545" s="2">
        <v>101</v>
      </c>
      <c r="H545" s="2">
        <v>106</v>
      </c>
    </row>
    <row r="546" spans="1:8" x14ac:dyDescent="0.3">
      <c r="A546">
        <v>544</v>
      </c>
      <c r="B546" s="2">
        <v>545</v>
      </c>
      <c r="C546" s="2">
        <v>0.13639999999999999</v>
      </c>
      <c r="D546" s="2">
        <v>0.59</v>
      </c>
      <c r="E546" s="2">
        <v>0.19400000000000001</v>
      </c>
      <c r="F546" s="2">
        <v>1</v>
      </c>
      <c r="G546" s="2">
        <v>80</v>
      </c>
      <c r="H546" s="2">
        <v>81</v>
      </c>
    </row>
    <row r="547" spans="1:8" x14ac:dyDescent="0.3">
      <c r="A547">
        <v>545</v>
      </c>
      <c r="B547" s="2">
        <v>546</v>
      </c>
      <c r="C547" s="2">
        <v>0.1515</v>
      </c>
      <c r="D547" s="2">
        <v>0.63</v>
      </c>
      <c r="E547" s="2">
        <v>0.16420000000000001</v>
      </c>
      <c r="F547" s="2">
        <v>6</v>
      </c>
      <c r="G547" s="2">
        <v>53</v>
      </c>
      <c r="H547" s="2">
        <v>59</v>
      </c>
    </row>
    <row r="548" spans="1:8" x14ac:dyDescent="0.3">
      <c r="A548">
        <v>546</v>
      </c>
      <c r="B548" s="2">
        <v>547</v>
      </c>
      <c r="C548" s="2">
        <v>0.13639999999999999</v>
      </c>
      <c r="D548" s="2">
        <v>0.63</v>
      </c>
      <c r="E548" s="2">
        <v>0.22389999999999999</v>
      </c>
      <c r="F548" s="2">
        <v>3</v>
      </c>
      <c r="G548" s="2">
        <v>32</v>
      </c>
      <c r="H548" s="2">
        <v>35</v>
      </c>
    </row>
    <row r="549" spans="1:8" x14ac:dyDescent="0.3">
      <c r="A549">
        <v>547</v>
      </c>
      <c r="B549" s="2">
        <v>548</v>
      </c>
      <c r="C549" s="2">
        <v>0.1515</v>
      </c>
      <c r="D549" s="2">
        <v>0.64</v>
      </c>
      <c r="E549" s="2">
        <v>0.25369999999999998</v>
      </c>
      <c r="F549" s="2">
        <v>3</v>
      </c>
      <c r="G549" s="2">
        <v>21</v>
      </c>
      <c r="H549" s="2">
        <v>24</v>
      </c>
    </row>
    <row r="550" spans="1:8" x14ac:dyDescent="0.3">
      <c r="A550">
        <v>548</v>
      </c>
      <c r="B550" s="2">
        <v>549</v>
      </c>
      <c r="C550" s="2">
        <v>0.13639999999999999</v>
      </c>
      <c r="D550" s="2">
        <v>0.69</v>
      </c>
      <c r="E550" s="2">
        <v>0.28360000000000002</v>
      </c>
      <c r="F550" s="2">
        <v>3</v>
      </c>
      <c r="G550" s="2">
        <v>6</v>
      </c>
      <c r="H550" s="2">
        <v>9</v>
      </c>
    </row>
    <row r="551" spans="1:8" x14ac:dyDescent="0.3">
      <c r="A551">
        <v>549</v>
      </c>
      <c r="B551" s="2">
        <v>550</v>
      </c>
      <c r="C551" s="2">
        <v>0.16669999999999999</v>
      </c>
      <c r="D551" s="2">
        <v>0.69</v>
      </c>
      <c r="E551" s="2">
        <v>0.16420000000000001</v>
      </c>
      <c r="F551" s="2">
        <v>0</v>
      </c>
      <c r="G551" s="2">
        <v>5</v>
      </c>
      <c r="H551" s="2">
        <v>5</v>
      </c>
    </row>
    <row r="552" spans="1:8" x14ac:dyDescent="0.3">
      <c r="A552">
        <v>550</v>
      </c>
      <c r="B552" s="2">
        <v>551</v>
      </c>
      <c r="C552" s="2">
        <v>0.1515</v>
      </c>
      <c r="D552" s="2">
        <v>0.69</v>
      </c>
      <c r="E552" s="2">
        <v>0.22389999999999999</v>
      </c>
      <c r="F552" s="2">
        <v>0</v>
      </c>
      <c r="G552" s="2">
        <v>2</v>
      </c>
      <c r="H552" s="2">
        <v>2</v>
      </c>
    </row>
    <row r="553" spans="1:8" x14ac:dyDescent="0.3">
      <c r="A553">
        <v>551</v>
      </c>
      <c r="B553" s="2">
        <v>552</v>
      </c>
      <c r="C553" s="2">
        <v>0.16669999999999999</v>
      </c>
      <c r="D553" s="2">
        <v>0.74</v>
      </c>
      <c r="E553" s="2">
        <v>0.1045</v>
      </c>
      <c r="F553" s="2">
        <v>0</v>
      </c>
      <c r="G553" s="2">
        <v>1</v>
      </c>
      <c r="H553" s="2">
        <v>1</v>
      </c>
    </row>
    <row r="554" spans="1:8" x14ac:dyDescent="0.3">
      <c r="A554">
        <v>552</v>
      </c>
      <c r="B554" s="2">
        <v>553</v>
      </c>
      <c r="C554" s="2">
        <v>0.13639999999999999</v>
      </c>
      <c r="D554" s="2">
        <v>0.74</v>
      </c>
      <c r="E554" s="2">
        <v>0.22389999999999999</v>
      </c>
      <c r="F554" s="2">
        <v>0</v>
      </c>
      <c r="G554" s="2">
        <v>9</v>
      </c>
      <c r="H554" s="2">
        <v>9</v>
      </c>
    </row>
    <row r="555" spans="1:8" x14ac:dyDescent="0.3">
      <c r="A555">
        <v>553</v>
      </c>
      <c r="B555" s="2">
        <v>554</v>
      </c>
      <c r="C555" s="2">
        <v>0.18179999999999999</v>
      </c>
      <c r="D555" s="2">
        <v>0.74</v>
      </c>
      <c r="E555" s="2">
        <v>0.1045</v>
      </c>
      <c r="F555" s="2">
        <v>1</v>
      </c>
      <c r="G555" s="2">
        <v>35</v>
      </c>
      <c r="H555" s="2">
        <v>36</v>
      </c>
    </row>
    <row r="556" spans="1:8" x14ac:dyDescent="0.3">
      <c r="A556">
        <v>554</v>
      </c>
      <c r="B556" s="2">
        <v>555</v>
      </c>
      <c r="C556" s="2">
        <v>0.1515</v>
      </c>
      <c r="D556" s="2">
        <v>0.74</v>
      </c>
      <c r="E556" s="2">
        <v>0.22389999999999999</v>
      </c>
      <c r="F556" s="2">
        <v>5</v>
      </c>
      <c r="G556" s="2">
        <v>103</v>
      </c>
      <c r="H556" s="2">
        <v>108</v>
      </c>
    </row>
    <row r="557" spans="1:8" x14ac:dyDescent="0.3">
      <c r="A557">
        <v>555</v>
      </c>
      <c r="B557" s="2">
        <v>556</v>
      </c>
      <c r="C557" s="2">
        <v>0.18179999999999999</v>
      </c>
      <c r="D557" s="2">
        <v>0.74</v>
      </c>
      <c r="E557" s="2">
        <v>0.1343</v>
      </c>
      <c r="F557" s="2">
        <v>5</v>
      </c>
      <c r="G557" s="2">
        <v>233</v>
      </c>
      <c r="H557" s="2">
        <v>238</v>
      </c>
    </row>
    <row r="558" spans="1:8" x14ac:dyDescent="0.3">
      <c r="A558">
        <v>556</v>
      </c>
      <c r="B558" s="2">
        <v>557</v>
      </c>
      <c r="C558" s="2">
        <v>0.2273</v>
      </c>
      <c r="D558" s="2">
        <v>0.64</v>
      </c>
      <c r="E558" s="2">
        <v>8.9599999999999999E-2</v>
      </c>
      <c r="F558" s="2">
        <v>10</v>
      </c>
      <c r="G558" s="2">
        <v>134</v>
      </c>
      <c r="H558" s="2">
        <v>144</v>
      </c>
    </row>
    <row r="559" spans="1:8" x14ac:dyDescent="0.3">
      <c r="A559">
        <v>557</v>
      </c>
      <c r="B559" s="2">
        <v>558</v>
      </c>
      <c r="C559" s="2">
        <v>0.2424</v>
      </c>
      <c r="D559" s="2">
        <v>0.6</v>
      </c>
      <c r="E559" s="2">
        <v>0.1045</v>
      </c>
      <c r="F559" s="2">
        <v>6</v>
      </c>
      <c r="G559" s="2">
        <v>49</v>
      </c>
      <c r="H559" s="2">
        <v>55</v>
      </c>
    </row>
    <row r="560" spans="1:8" x14ac:dyDescent="0.3">
      <c r="A560">
        <v>558</v>
      </c>
      <c r="B560" s="2">
        <v>559</v>
      </c>
      <c r="C560" s="2">
        <v>0.2424</v>
      </c>
      <c r="D560" s="2">
        <v>0.6</v>
      </c>
      <c r="E560" s="2">
        <v>0.1343</v>
      </c>
      <c r="F560" s="2">
        <v>6</v>
      </c>
      <c r="G560" s="2">
        <v>55</v>
      </c>
      <c r="H560" s="2">
        <v>61</v>
      </c>
    </row>
    <row r="561" spans="1:8" x14ac:dyDescent="0.3">
      <c r="A561">
        <v>559</v>
      </c>
      <c r="B561" s="2">
        <v>560</v>
      </c>
      <c r="C561" s="2">
        <v>0.28789999999999999</v>
      </c>
      <c r="D561" s="2">
        <v>0.56000000000000005</v>
      </c>
      <c r="E561" s="2">
        <v>8.9599999999999999E-2</v>
      </c>
      <c r="F561" s="2">
        <v>21</v>
      </c>
      <c r="G561" s="2">
        <v>85</v>
      </c>
      <c r="H561" s="2">
        <v>106</v>
      </c>
    </row>
    <row r="562" spans="1:8" x14ac:dyDescent="0.3">
      <c r="A562">
        <v>560</v>
      </c>
      <c r="B562" s="2">
        <v>561</v>
      </c>
      <c r="C562" s="2">
        <v>0.2727</v>
      </c>
      <c r="D562" s="2">
        <v>0.56000000000000005</v>
      </c>
      <c r="E562" s="2">
        <v>0.1343</v>
      </c>
      <c r="F562" s="2">
        <v>21</v>
      </c>
      <c r="G562" s="2">
        <v>72</v>
      </c>
      <c r="H562" s="2">
        <v>93</v>
      </c>
    </row>
    <row r="563" spans="1:8" x14ac:dyDescent="0.3">
      <c r="A563">
        <v>561</v>
      </c>
      <c r="B563" s="2">
        <v>562</v>
      </c>
      <c r="C563" s="2">
        <v>0.33329999999999999</v>
      </c>
      <c r="D563" s="2">
        <v>0.45</v>
      </c>
      <c r="E563" s="2">
        <v>0</v>
      </c>
      <c r="F563" s="2">
        <v>11</v>
      </c>
      <c r="G563" s="2">
        <v>57</v>
      </c>
      <c r="H563" s="2">
        <v>68</v>
      </c>
    </row>
    <row r="564" spans="1:8" x14ac:dyDescent="0.3">
      <c r="A564">
        <v>562</v>
      </c>
      <c r="B564" s="2">
        <v>563</v>
      </c>
      <c r="C564" s="2">
        <v>0.34849999999999998</v>
      </c>
      <c r="D564" s="2">
        <v>0.42</v>
      </c>
      <c r="E564" s="2">
        <v>0</v>
      </c>
      <c r="F564" s="2">
        <v>21</v>
      </c>
      <c r="G564" s="2">
        <v>63</v>
      </c>
      <c r="H564" s="2">
        <v>84</v>
      </c>
    </row>
    <row r="565" spans="1:8" x14ac:dyDescent="0.3">
      <c r="A565">
        <v>563</v>
      </c>
      <c r="B565" s="2">
        <v>564</v>
      </c>
      <c r="C565" s="2">
        <v>0.34849999999999998</v>
      </c>
      <c r="D565" s="2">
        <v>0.42</v>
      </c>
      <c r="E565" s="2">
        <v>0</v>
      </c>
      <c r="F565" s="2">
        <v>14</v>
      </c>
      <c r="G565" s="2">
        <v>102</v>
      </c>
      <c r="H565" s="2">
        <v>116</v>
      </c>
    </row>
    <row r="566" spans="1:8" x14ac:dyDescent="0.3">
      <c r="A566">
        <v>564</v>
      </c>
      <c r="B566" s="2">
        <v>565</v>
      </c>
      <c r="C566" s="2">
        <v>0.33329999999999999</v>
      </c>
      <c r="D566" s="2">
        <v>0.45</v>
      </c>
      <c r="E566" s="2">
        <v>0</v>
      </c>
      <c r="F566" s="2">
        <v>14</v>
      </c>
      <c r="G566" s="2">
        <v>208</v>
      </c>
      <c r="H566" s="2">
        <v>222</v>
      </c>
    </row>
    <row r="567" spans="1:8" x14ac:dyDescent="0.3">
      <c r="A567">
        <v>565</v>
      </c>
      <c r="B567" s="2">
        <v>566</v>
      </c>
      <c r="C567" s="2">
        <v>0.31819999999999998</v>
      </c>
      <c r="D567" s="2">
        <v>0.49</v>
      </c>
      <c r="E567" s="2">
        <v>8.9599999999999999E-2</v>
      </c>
      <c r="F567" s="2">
        <v>7</v>
      </c>
      <c r="G567" s="2">
        <v>218</v>
      </c>
      <c r="H567" s="2">
        <v>225</v>
      </c>
    </row>
    <row r="568" spans="1:8" x14ac:dyDescent="0.3">
      <c r="A568">
        <v>566</v>
      </c>
      <c r="B568" s="2">
        <v>567</v>
      </c>
      <c r="C568" s="2">
        <v>0.2576</v>
      </c>
      <c r="D568" s="2">
        <v>0.65</v>
      </c>
      <c r="E568" s="2">
        <v>0.16420000000000001</v>
      </c>
      <c r="F568" s="2">
        <v>13</v>
      </c>
      <c r="G568" s="2">
        <v>133</v>
      </c>
      <c r="H568" s="2">
        <v>146</v>
      </c>
    </row>
    <row r="569" spans="1:8" x14ac:dyDescent="0.3">
      <c r="A569">
        <v>567</v>
      </c>
      <c r="B569" s="2">
        <v>568</v>
      </c>
      <c r="C569" s="2">
        <v>0.2273</v>
      </c>
      <c r="D569" s="2">
        <v>0.65</v>
      </c>
      <c r="E569" s="2">
        <v>0.19400000000000001</v>
      </c>
      <c r="F569" s="2">
        <v>16</v>
      </c>
      <c r="G569" s="2">
        <v>103</v>
      </c>
      <c r="H569" s="2">
        <v>119</v>
      </c>
    </row>
    <row r="570" spans="1:8" x14ac:dyDescent="0.3">
      <c r="A570">
        <v>568</v>
      </c>
      <c r="B570" s="2">
        <v>569</v>
      </c>
      <c r="C570" s="2">
        <v>0.2273</v>
      </c>
      <c r="D570" s="2">
        <v>0.65</v>
      </c>
      <c r="E570" s="2">
        <v>0.19400000000000001</v>
      </c>
      <c r="F570" s="2">
        <v>5</v>
      </c>
      <c r="G570" s="2">
        <v>40</v>
      </c>
      <c r="H570" s="2">
        <v>45</v>
      </c>
    </row>
    <row r="571" spans="1:8" x14ac:dyDescent="0.3">
      <c r="A571">
        <v>569</v>
      </c>
      <c r="B571" s="2">
        <v>570</v>
      </c>
      <c r="C571" s="2">
        <v>0.2273</v>
      </c>
      <c r="D571" s="2">
        <v>0.64</v>
      </c>
      <c r="E571" s="2">
        <v>0.16420000000000001</v>
      </c>
      <c r="F571" s="2">
        <v>4</v>
      </c>
      <c r="G571" s="2">
        <v>49</v>
      </c>
      <c r="H571" s="2">
        <v>53</v>
      </c>
    </row>
    <row r="572" spans="1:8" x14ac:dyDescent="0.3">
      <c r="A572">
        <v>570</v>
      </c>
      <c r="B572" s="2">
        <v>571</v>
      </c>
      <c r="C572" s="2">
        <v>0.2273</v>
      </c>
      <c r="D572" s="2">
        <v>0.64</v>
      </c>
      <c r="E572" s="2">
        <v>0.16420000000000001</v>
      </c>
      <c r="F572" s="2">
        <v>3</v>
      </c>
      <c r="G572" s="2">
        <v>37</v>
      </c>
      <c r="H572" s="2">
        <v>40</v>
      </c>
    </row>
    <row r="573" spans="1:8" x14ac:dyDescent="0.3">
      <c r="A573">
        <v>571</v>
      </c>
      <c r="B573" s="2">
        <v>572</v>
      </c>
      <c r="C573" s="2">
        <v>0.2273</v>
      </c>
      <c r="D573" s="2">
        <v>0.69</v>
      </c>
      <c r="E573" s="2">
        <v>0.1343</v>
      </c>
      <c r="F573" s="2">
        <v>3</v>
      </c>
      <c r="G573" s="2">
        <v>14</v>
      </c>
      <c r="H573" s="2">
        <v>17</v>
      </c>
    </row>
    <row r="574" spans="1:8" x14ac:dyDescent="0.3">
      <c r="A574">
        <v>572</v>
      </c>
      <c r="B574" s="2">
        <v>573</v>
      </c>
      <c r="C574" s="2">
        <v>0.2424</v>
      </c>
      <c r="D574" s="2">
        <v>0.65</v>
      </c>
      <c r="E574" s="2">
        <v>0.1343</v>
      </c>
      <c r="F574" s="2">
        <v>0</v>
      </c>
      <c r="G574" s="2">
        <v>5</v>
      </c>
      <c r="H574" s="2">
        <v>5</v>
      </c>
    </row>
    <row r="575" spans="1:8" x14ac:dyDescent="0.3">
      <c r="A575">
        <v>573</v>
      </c>
      <c r="B575" s="2">
        <v>574</v>
      </c>
      <c r="C575" s="2">
        <v>0.2273</v>
      </c>
      <c r="D575" s="2">
        <v>0.69</v>
      </c>
      <c r="E575" s="2">
        <v>0.19400000000000001</v>
      </c>
      <c r="F575" s="2">
        <v>3</v>
      </c>
      <c r="G575" s="2">
        <v>7</v>
      </c>
      <c r="H575" s="2">
        <v>10</v>
      </c>
    </row>
    <row r="576" spans="1:8" x14ac:dyDescent="0.3">
      <c r="A576">
        <v>574</v>
      </c>
      <c r="B576" s="2">
        <v>575</v>
      </c>
      <c r="C576" s="2">
        <v>0.18179999999999999</v>
      </c>
      <c r="D576" s="2">
        <v>0.86</v>
      </c>
      <c r="E576" s="2">
        <v>0.28360000000000002</v>
      </c>
      <c r="F576" s="2">
        <v>0</v>
      </c>
      <c r="G576" s="2">
        <v>1</v>
      </c>
      <c r="H576" s="2">
        <v>1</v>
      </c>
    </row>
    <row r="577" spans="1:8" x14ac:dyDescent="0.3">
      <c r="A577">
        <v>575</v>
      </c>
      <c r="B577" s="2">
        <v>576</v>
      </c>
      <c r="C577" s="2">
        <v>0.18179999999999999</v>
      </c>
      <c r="D577" s="2">
        <v>0.86</v>
      </c>
      <c r="E577" s="2">
        <v>0.28360000000000002</v>
      </c>
      <c r="F577" s="2">
        <v>0</v>
      </c>
      <c r="G577" s="2">
        <v>8</v>
      </c>
      <c r="H577" s="2">
        <v>8</v>
      </c>
    </row>
    <row r="578" spans="1:8" x14ac:dyDescent="0.3">
      <c r="A578">
        <v>576</v>
      </c>
      <c r="B578" s="2">
        <v>577</v>
      </c>
      <c r="C578" s="2">
        <v>0.21210000000000001</v>
      </c>
      <c r="D578" s="2">
        <v>0.87</v>
      </c>
      <c r="E578" s="2">
        <v>0.29849999999999999</v>
      </c>
      <c r="F578" s="2">
        <v>1</v>
      </c>
      <c r="G578" s="2">
        <v>29</v>
      </c>
      <c r="H578" s="2">
        <v>30</v>
      </c>
    </row>
    <row r="579" spans="1:8" x14ac:dyDescent="0.3">
      <c r="A579">
        <v>577</v>
      </c>
      <c r="B579" s="2">
        <v>578</v>
      </c>
      <c r="C579" s="2">
        <v>0.21210000000000001</v>
      </c>
      <c r="D579" s="2">
        <v>0.87</v>
      </c>
      <c r="E579" s="2">
        <v>0.29849999999999999</v>
      </c>
      <c r="F579" s="2">
        <v>3</v>
      </c>
      <c r="G579" s="2">
        <v>69</v>
      </c>
      <c r="H579" s="2">
        <v>72</v>
      </c>
    </row>
    <row r="580" spans="1:8" x14ac:dyDescent="0.3">
      <c r="A580">
        <v>578</v>
      </c>
      <c r="B580" s="2">
        <v>579</v>
      </c>
      <c r="C580" s="2">
        <v>0.21210000000000001</v>
      </c>
      <c r="D580" s="2">
        <v>0.87</v>
      </c>
      <c r="E580" s="2">
        <v>0.29849999999999999</v>
      </c>
      <c r="F580" s="2">
        <v>3</v>
      </c>
      <c r="G580" s="2">
        <v>55</v>
      </c>
      <c r="H580" s="2">
        <v>58</v>
      </c>
    </row>
    <row r="581" spans="1:8" x14ac:dyDescent="0.3">
      <c r="A581">
        <v>579</v>
      </c>
      <c r="B581" s="2">
        <v>580</v>
      </c>
      <c r="C581" s="2">
        <v>0.21210000000000001</v>
      </c>
      <c r="D581" s="2">
        <v>0.93</v>
      </c>
      <c r="E581" s="2">
        <v>0.28360000000000002</v>
      </c>
      <c r="F581" s="2">
        <v>2</v>
      </c>
      <c r="G581" s="2">
        <v>26</v>
      </c>
      <c r="H581" s="2">
        <v>28</v>
      </c>
    </row>
    <row r="582" spans="1:8" x14ac:dyDescent="0.3">
      <c r="A582">
        <v>580</v>
      </c>
      <c r="B582" s="2">
        <v>581</v>
      </c>
      <c r="C582" s="2">
        <v>0.19700000000000001</v>
      </c>
      <c r="D582" s="2">
        <v>0.93</v>
      </c>
      <c r="E582" s="2">
        <v>0.32840000000000003</v>
      </c>
      <c r="F582" s="2">
        <v>6</v>
      </c>
      <c r="G582" s="2">
        <v>35</v>
      </c>
      <c r="H582" s="2">
        <v>41</v>
      </c>
    </row>
    <row r="583" spans="1:8" x14ac:dyDescent="0.3">
      <c r="A583">
        <v>581</v>
      </c>
      <c r="B583" s="2">
        <v>582</v>
      </c>
      <c r="C583" s="2">
        <v>0.19700000000000001</v>
      </c>
      <c r="D583" s="2">
        <v>0.93</v>
      </c>
      <c r="E583" s="2">
        <v>0.32840000000000003</v>
      </c>
      <c r="F583" s="2">
        <v>7</v>
      </c>
      <c r="G583" s="2">
        <v>41</v>
      </c>
      <c r="H583" s="2">
        <v>48</v>
      </c>
    </row>
    <row r="584" spans="1:8" x14ac:dyDescent="0.3">
      <c r="A584">
        <v>582</v>
      </c>
      <c r="B584" s="2">
        <v>583</v>
      </c>
      <c r="C584" s="2">
        <v>0.19700000000000001</v>
      </c>
      <c r="D584" s="2">
        <v>0.93</v>
      </c>
      <c r="E584" s="2">
        <v>0.32840000000000003</v>
      </c>
      <c r="F584" s="2">
        <v>4</v>
      </c>
      <c r="G584" s="2">
        <v>43</v>
      </c>
      <c r="H584" s="2">
        <v>47</v>
      </c>
    </row>
    <row r="585" spans="1:8" x14ac:dyDescent="0.3">
      <c r="A585">
        <v>583</v>
      </c>
      <c r="B585" s="2">
        <v>584</v>
      </c>
      <c r="C585" s="2">
        <v>0.19700000000000001</v>
      </c>
      <c r="D585" s="2">
        <v>0.93</v>
      </c>
      <c r="E585" s="2">
        <v>0.35820000000000002</v>
      </c>
      <c r="F585" s="2">
        <v>0</v>
      </c>
      <c r="G585" s="2">
        <v>36</v>
      </c>
      <c r="H585" s="2">
        <v>36</v>
      </c>
    </row>
    <row r="586" spans="1:8" x14ac:dyDescent="0.3">
      <c r="A586">
        <v>584</v>
      </c>
      <c r="B586" s="2">
        <v>585</v>
      </c>
      <c r="C586" s="2">
        <v>0.18179999999999999</v>
      </c>
      <c r="D586" s="2">
        <v>0.93</v>
      </c>
      <c r="E586" s="2">
        <v>0.4627</v>
      </c>
      <c r="F586" s="2">
        <v>1</v>
      </c>
      <c r="G586" s="2">
        <v>42</v>
      </c>
      <c r="H586" s="2">
        <v>43</v>
      </c>
    </row>
    <row r="587" spans="1:8" x14ac:dyDescent="0.3">
      <c r="A587">
        <v>585</v>
      </c>
      <c r="B587" s="2">
        <v>586</v>
      </c>
      <c r="C587" s="2">
        <v>0.19700000000000001</v>
      </c>
      <c r="D587" s="2">
        <v>0.93</v>
      </c>
      <c r="E587" s="2">
        <v>0.32840000000000003</v>
      </c>
      <c r="F587" s="2">
        <v>1</v>
      </c>
      <c r="G587" s="2">
        <v>35</v>
      </c>
      <c r="H587" s="2">
        <v>36</v>
      </c>
    </row>
    <row r="588" spans="1:8" x14ac:dyDescent="0.3">
      <c r="A588">
        <v>586</v>
      </c>
      <c r="B588" s="2">
        <v>587</v>
      </c>
      <c r="C588" s="2">
        <v>0.18179999999999999</v>
      </c>
      <c r="D588" s="2">
        <v>0.93</v>
      </c>
      <c r="E588" s="2">
        <v>0.35820000000000002</v>
      </c>
      <c r="F588" s="2">
        <v>0</v>
      </c>
      <c r="G588" s="2">
        <v>26</v>
      </c>
      <c r="H588" s="2">
        <v>26</v>
      </c>
    </row>
    <row r="589" spans="1:8" x14ac:dyDescent="0.3">
      <c r="A589">
        <v>587</v>
      </c>
      <c r="B589" s="2">
        <v>588</v>
      </c>
      <c r="C589" s="2">
        <v>0.2273</v>
      </c>
      <c r="D589" s="2">
        <v>0.55000000000000004</v>
      </c>
      <c r="E589" s="2">
        <v>0.19400000000000001</v>
      </c>
      <c r="F589" s="2">
        <v>1</v>
      </c>
      <c r="G589" s="2">
        <v>23</v>
      </c>
      <c r="H589" s="2">
        <v>24</v>
      </c>
    </row>
    <row r="590" spans="1:8" x14ac:dyDescent="0.3">
      <c r="A590">
        <v>588</v>
      </c>
      <c r="B590" s="2">
        <v>589</v>
      </c>
      <c r="C590" s="2">
        <v>0.2424</v>
      </c>
      <c r="D590" s="2">
        <v>0.55000000000000004</v>
      </c>
      <c r="E590" s="2">
        <v>0.1045</v>
      </c>
      <c r="F590" s="2">
        <v>2</v>
      </c>
      <c r="G590" s="2">
        <v>82</v>
      </c>
      <c r="H590" s="2">
        <v>84</v>
      </c>
    </row>
    <row r="591" spans="1:8" x14ac:dyDescent="0.3">
      <c r="A591">
        <v>589</v>
      </c>
      <c r="B591" s="2">
        <v>590</v>
      </c>
      <c r="C591" s="2">
        <v>0.2273</v>
      </c>
      <c r="D591" s="2">
        <v>0.69</v>
      </c>
      <c r="E591" s="2">
        <v>8.9599999999999999E-2</v>
      </c>
      <c r="F591" s="2">
        <v>3</v>
      </c>
      <c r="G591" s="2">
        <v>101</v>
      </c>
      <c r="H591" s="2">
        <v>104</v>
      </c>
    </row>
    <row r="592" spans="1:8" x14ac:dyDescent="0.3">
      <c r="A592">
        <v>590</v>
      </c>
      <c r="B592" s="2">
        <v>591</v>
      </c>
      <c r="C592" s="2">
        <v>0.2273</v>
      </c>
      <c r="D592" s="2">
        <v>0.69</v>
      </c>
      <c r="E592" s="2">
        <v>8.9599999999999999E-2</v>
      </c>
      <c r="F592" s="2">
        <v>3</v>
      </c>
      <c r="G592" s="2">
        <v>76</v>
      </c>
      <c r="H592" s="2">
        <v>79</v>
      </c>
    </row>
    <row r="593" spans="1:8" x14ac:dyDescent="0.3">
      <c r="A593">
        <v>591</v>
      </c>
      <c r="B593" s="2">
        <v>592</v>
      </c>
      <c r="C593" s="2">
        <v>0.21210000000000001</v>
      </c>
      <c r="D593" s="2">
        <v>0.74</v>
      </c>
      <c r="E593" s="2">
        <v>8.9599999999999999E-2</v>
      </c>
      <c r="F593" s="2">
        <v>4</v>
      </c>
      <c r="G593" s="2">
        <v>55</v>
      </c>
      <c r="H593" s="2">
        <v>59</v>
      </c>
    </row>
    <row r="594" spans="1:8" x14ac:dyDescent="0.3">
      <c r="A594">
        <v>592</v>
      </c>
      <c r="B594" s="2">
        <v>593</v>
      </c>
      <c r="C594" s="2">
        <v>0.21210000000000001</v>
      </c>
      <c r="D594" s="2">
        <v>0.74</v>
      </c>
      <c r="E594" s="2">
        <v>8.9599999999999999E-2</v>
      </c>
      <c r="F594" s="2">
        <v>2</v>
      </c>
      <c r="G594" s="2">
        <v>36</v>
      </c>
      <c r="H594" s="2">
        <v>38</v>
      </c>
    </row>
    <row r="595" spans="1:8" x14ac:dyDescent="0.3">
      <c r="A595">
        <v>593</v>
      </c>
      <c r="B595" s="2">
        <v>594</v>
      </c>
      <c r="C595" s="2">
        <v>0.21210000000000001</v>
      </c>
      <c r="D595" s="2">
        <v>0.74</v>
      </c>
      <c r="E595" s="2">
        <v>8.9599999999999999E-2</v>
      </c>
      <c r="F595" s="2">
        <v>0</v>
      </c>
      <c r="G595" s="2">
        <v>27</v>
      </c>
      <c r="H595" s="2">
        <v>27</v>
      </c>
    </row>
    <row r="596" spans="1:8" x14ac:dyDescent="0.3">
      <c r="A596">
        <v>594</v>
      </c>
      <c r="B596" s="2">
        <v>595</v>
      </c>
      <c r="C596" s="2">
        <v>0.19700000000000001</v>
      </c>
      <c r="D596" s="2">
        <v>0.8</v>
      </c>
      <c r="E596" s="2">
        <v>0.16420000000000001</v>
      </c>
      <c r="F596" s="2">
        <v>0</v>
      </c>
      <c r="G596" s="2">
        <v>16</v>
      </c>
      <c r="H596" s="2">
        <v>16</v>
      </c>
    </row>
    <row r="597" spans="1:8" x14ac:dyDescent="0.3">
      <c r="A597">
        <v>595</v>
      </c>
      <c r="B597" s="2">
        <v>596</v>
      </c>
      <c r="C597" s="2">
        <v>0.21210000000000001</v>
      </c>
      <c r="D597" s="2">
        <v>0.75</v>
      </c>
      <c r="E597" s="2">
        <v>0.1343</v>
      </c>
      <c r="F597" s="2">
        <v>0</v>
      </c>
      <c r="G597" s="2">
        <v>9</v>
      </c>
      <c r="H597" s="2">
        <v>9</v>
      </c>
    </row>
    <row r="598" spans="1:8" x14ac:dyDescent="0.3">
      <c r="A598">
        <v>596</v>
      </c>
      <c r="B598" s="2">
        <v>597</v>
      </c>
      <c r="C598" s="2">
        <v>0.21210000000000001</v>
      </c>
      <c r="D598" s="2">
        <v>0.75</v>
      </c>
      <c r="E598" s="2">
        <v>0.1343</v>
      </c>
      <c r="F598" s="2">
        <v>1</v>
      </c>
      <c r="G598" s="2">
        <v>2</v>
      </c>
      <c r="H598" s="2">
        <v>3</v>
      </c>
    </row>
    <row r="599" spans="1:8" x14ac:dyDescent="0.3">
      <c r="A599">
        <v>597</v>
      </c>
      <c r="B599" s="2">
        <v>598</v>
      </c>
      <c r="C599" s="2">
        <v>0.21210000000000001</v>
      </c>
      <c r="D599" s="2">
        <v>0.75</v>
      </c>
      <c r="E599" s="2">
        <v>0.16420000000000001</v>
      </c>
      <c r="F599" s="2">
        <v>0</v>
      </c>
      <c r="G599" s="2">
        <v>2</v>
      </c>
      <c r="H599" s="2">
        <v>2</v>
      </c>
    </row>
    <row r="600" spans="1:8" x14ac:dyDescent="0.3">
      <c r="A600">
        <v>598</v>
      </c>
      <c r="B600" s="2">
        <v>599</v>
      </c>
      <c r="C600" s="2">
        <v>0.2273</v>
      </c>
      <c r="D600" s="2">
        <v>0.75</v>
      </c>
      <c r="E600" s="2">
        <v>0.1045</v>
      </c>
      <c r="F600" s="2">
        <v>1</v>
      </c>
      <c r="G600" s="2">
        <v>0</v>
      </c>
      <c r="H600" s="2">
        <v>1</v>
      </c>
    </row>
    <row r="601" spans="1:8" x14ac:dyDescent="0.3">
      <c r="A601">
        <v>599</v>
      </c>
      <c r="B601" s="2">
        <v>600</v>
      </c>
      <c r="C601" s="2">
        <v>0.21210000000000001</v>
      </c>
      <c r="D601" s="2">
        <v>0.8</v>
      </c>
      <c r="E601" s="2">
        <v>0.1045</v>
      </c>
      <c r="F601" s="2">
        <v>0</v>
      </c>
      <c r="G601" s="2">
        <v>4</v>
      </c>
      <c r="H601" s="2">
        <v>4</v>
      </c>
    </row>
    <row r="602" spans="1:8" x14ac:dyDescent="0.3">
      <c r="A602">
        <v>600</v>
      </c>
      <c r="B602" s="2">
        <v>601</v>
      </c>
      <c r="C602" s="2">
        <v>0.19700000000000001</v>
      </c>
      <c r="D602" s="2">
        <v>0.8</v>
      </c>
      <c r="E602" s="2">
        <v>0.1343</v>
      </c>
      <c r="F602" s="2">
        <v>0</v>
      </c>
      <c r="G602" s="2">
        <v>16</v>
      </c>
      <c r="H602" s="2">
        <v>16</v>
      </c>
    </row>
    <row r="603" spans="1:8" x14ac:dyDescent="0.3">
      <c r="A603">
        <v>601</v>
      </c>
      <c r="B603" s="2">
        <v>602</v>
      </c>
      <c r="C603" s="2">
        <v>0.19700000000000001</v>
      </c>
      <c r="D603" s="2">
        <v>0.86</v>
      </c>
      <c r="E603" s="2">
        <v>8.9599999999999999E-2</v>
      </c>
      <c r="F603" s="2">
        <v>2</v>
      </c>
      <c r="G603" s="2">
        <v>58</v>
      </c>
      <c r="H603" s="2">
        <v>60</v>
      </c>
    </row>
    <row r="604" spans="1:8" x14ac:dyDescent="0.3">
      <c r="A604">
        <v>602</v>
      </c>
      <c r="B604" s="2">
        <v>603</v>
      </c>
      <c r="C604" s="2">
        <v>0.19700000000000001</v>
      </c>
      <c r="D604" s="2">
        <v>0.86</v>
      </c>
      <c r="E604" s="2">
        <v>8.9599999999999999E-2</v>
      </c>
      <c r="F604" s="2">
        <v>2</v>
      </c>
      <c r="G604" s="2">
        <v>155</v>
      </c>
      <c r="H604" s="2">
        <v>157</v>
      </c>
    </row>
    <row r="605" spans="1:8" x14ac:dyDescent="0.3">
      <c r="A605">
        <v>603</v>
      </c>
      <c r="B605" s="2">
        <v>604</v>
      </c>
      <c r="C605" s="2">
        <v>0.21210000000000001</v>
      </c>
      <c r="D605" s="2">
        <v>0.86</v>
      </c>
      <c r="E605" s="2">
        <v>8.9599999999999999E-2</v>
      </c>
      <c r="F605" s="2">
        <v>6</v>
      </c>
      <c r="G605" s="2">
        <v>95</v>
      </c>
      <c r="H605" s="2">
        <v>101</v>
      </c>
    </row>
    <row r="606" spans="1:8" x14ac:dyDescent="0.3">
      <c r="A606">
        <v>604</v>
      </c>
      <c r="B606" s="2">
        <v>605</v>
      </c>
      <c r="C606" s="2">
        <v>0.21210000000000001</v>
      </c>
      <c r="D606" s="2">
        <v>0.86</v>
      </c>
      <c r="E606" s="2">
        <v>0.1045</v>
      </c>
      <c r="F606" s="2">
        <v>0</v>
      </c>
      <c r="G606" s="2">
        <v>49</v>
      </c>
      <c r="H606" s="2">
        <v>49</v>
      </c>
    </row>
    <row r="607" spans="1:8" x14ac:dyDescent="0.3">
      <c r="A607">
        <v>605</v>
      </c>
      <c r="B607" s="2">
        <v>606</v>
      </c>
      <c r="C607" s="2">
        <v>0.21210000000000001</v>
      </c>
      <c r="D607" s="2">
        <v>0.93</v>
      </c>
      <c r="E607" s="2">
        <v>0.1045</v>
      </c>
      <c r="F607" s="2">
        <v>0</v>
      </c>
      <c r="G607" s="2">
        <v>30</v>
      </c>
      <c r="H607" s="2">
        <v>30</v>
      </c>
    </row>
    <row r="608" spans="1:8" x14ac:dyDescent="0.3">
      <c r="A608">
        <v>606</v>
      </c>
      <c r="B608" s="2">
        <v>607</v>
      </c>
      <c r="C608" s="2">
        <v>0.21210000000000001</v>
      </c>
      <c r="D608" s="2">
        <v>0.93</v>
      </c>
      <c r="E608" s="2">
        <v>0.1045</v>
      </c>
      <c r="F608" s="2">
        <v>1</v>
      </c>
      <c r="G608" s="2">
        <v>28</v>
      </c>
      <c r="H608" s="2">
        <v>29</v>
      </c>
    </row>
    <row r="609" spans="1:8" x14ac:dyDescent="0.3">
      <c r="A609">
        <v>607</v>
      </c>
      <c r="B609" s="2">
        <v>608</v>
      </c>
      <c r="C609" s="2">
        <v>0.21210000000000001</v>
      </c>
      <c r="D609" s="2">
        <v>0.93</v>
      </c>
      <c r="E609" s="2">
        <v>0.1045</v>
      </c>
      <c r="F609" s="2">
        <v>0</v>
      </c>
      <c r="G609" s="2">
        <v>31</v>
      </c>
      <c r="H609" s="2">
        <v>31</v>
      </c>
    </row>
    <row r="610" spans="1:8" x14ac:dyDescent="0.3">
      <c r="A610">
        <v>608</v>
      </c>
      <c r="B610" s="2">
        <v>609</v>
      </c>
      <c r="C610" s="2">
        <v>0.2727</v>
      </c>
      <c r="D610" s="2">
        <v>0.8</v>
      </c>
      <c r="E610" s="2">
        <v>0</v>
      </c>
      <c r="F610" s="2">
        <v>2</v>
      </c>
      <c r="G610" s="2">
        <v>36</v>
      </c>
      <c r="H610" s="2">
        <v>38</v>
      </c>
    </row>
    <row r="611" spans="1:8" x14ac:dyDescent="0.3">
      <c r="A611">
        <v>609</v>
      </c>
      <c r="B611" s="2">
        <v>610</v>
      </c>
      <c r="C611" s="2">
        <v>0.2576</v>
      </c>
      <c r="D611" s="2">
        <v>0.86</v>
      </c>
      <c r="E611" s="2">
        <v>0</v>
      </c>
      <c r="F611" s="2">
        <v>1</v>
      </c>
      <c r="G611" s="2">
        <v>40</v>
      </c>
      <c r="H611" s="2">
        <v>41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07092-D4D5-41F5-9015-5D2A9BA31166}">
  <sheetPr codeName="Sheet4"/>
  <dimension ref="A1:K611"/>
  <sheetViews>
    <sheetView workbookViewId="0">
      <selection activeCell="K21" sqref="K21"/>
    </sheetView>
  </sheetViews>
  <sheetFormatPr defaultRowHeight="14.4" x14ac:dyDescent="0.3"/>
  <cols>
    <col min="1" max="1" width="11.21875" bestFit="1" customWidth="1"/>
    <col min="2" max="2" width="16.44140625" bestFit="1" customWidth="1"/>
    <col min="3" max="3" width="11" bestFit="1" customWidth="1"/>
    <col min="4" max="4" width="14.88671875" bestFit="1" customWidth="1"/>
    <col min="5" max="5" width="18.77734375" bestFit="1" customWidth="1"/>
    <col min="6" max="6" width="22.109375" bestFit="1" customWidth="1"/>
    <col min="7" max="7" width="13" bestFit="1" customWidth="1"/>
    <col min="8" max="8" width="13.21875" bestFit="1" customWidth="1"/>
    <col min="9" max="9" width="14.88671875" bestFit="1" customWidth="1"/>
    <col min="10" max="10" width="21" bestFit="1" customWidth="1"/>
    <col min="11" max="11" width="24.33203125" bestFit="1" customWidth="1"/>
    <col min="12" max="12" width="39.44140625" bestFit="1" customWidth="1"/>
    <col min="15" max="15" width="20.109375" bestFit="1" customWidth="1"/>
    <col min="16" max="16" width="23.21875" bestFit="1" customWidth="1"/>
  </cols>
  <sheetData>
    <row r="1" spans="1:11" x14ac:dyDescent="0.3">
      <c r="A1" s="2" t="s">
        <v>0</v>
      </c>
      <c r="B1" t="s">
        <v>34</v>
      </c>
      <c r="C1" t="s">
        <v>21</v>
      </c>
      <c r="D1" s="2" t="s">
        <v>22</v>
      </c>
      <c r="E1" t="s">
        <v>36</v>
      </c>
      <c r="F1" t="s">
        <v>35</v>
      </c>
      <c r="G1" t="s">
        <v>42</v>
      </c>
    </row>
    <row r="2" spans="1:11" x14ac:dyDescent="0.3">
      <c r="A2" s="2">
        <v>1</v>
      </c>
      <c r="B2">
        <v>0.28789999999999999</v>
      </c>
      <c r="C2">
        <v>0.81</v>
      </c>
      <c r="D2" s="2">
        <v>0</v>
      </c>
      <c r="E2">
        <v>3</v>
      </c>
      <c r="F2">
        <v>13</v>
      </c>
      <c r="G2">
        <v>16</v>
      </c>
    </row>
    <row r="3" spans="1:11" x14ac:dyDescent="0.3">
      <c r="A3" s="2">
        <v>2</v>
      </c>
      <c r="B3">
        <v>0.2727</v>
      </c>
      <c r="C3">
        <v>0.8</v>
      </c>
      <c r="D3" s="2">
        <v>0</v>
      </c>
      <c r="E3">
        <v>8</v>
      </c>
      <c r="F3">
        <v>32</v>
      </c>
      <c r="G3">
        <v>40</v>
      </c>
    </row>
    <row r="4" spans="1:11" x14ac:dyDescent="0.3">
      <c r="A4" s="2">
        <v>3</v>
      </c>
      <c r="B4">
        <v>0.2727</v>
      </c>
      <c r="C4">
        <v>0.8</v>
      </c>
      <c r="D4" s="2">
        <v>0</v>
      </c>
      <c r="E4">
        <v>5</v>
      </c>
      <c r="F4">
        <v>27</v>
      </c>
      <c r="G4">
        <v>32</v>
      </c>
    </row>
    <row r="5" spans="1:11" x14ac:dyDescent="0.3">
      <c r="A5" s="2">
        <v>4</v>
      </c>
      <c r="B5">
        <v>0.28789999999999999</v>
      </c>
      <c r="C5">
        <v>0.75</v>
      </c>
      <c r="D5" s="2">
        <v>0</v>
      </c>
      <c r="E5">
        <v>3</v>
      </c>
      <c r="F5">
        <v>10</v>
      </c>
      <c r="G5">
        <v>13</v>
      </c>
      <c r="J5" s="4" t="s">
        <v>37</v>
      </c>
      <c r="K5" s="4" t="s">
        <v>38</v>
      </c>
    </row>
    <row r="6" spans="1:11" x14ac:dyDescent="0.3">
      <c r="A6" s="2">
        <v>5</v>
      </c>
      <c r="B6">
        <v>0.28789999999999999</v>
      </c>
      <c r="C6">
        <v>0.75</v>
      </c>
      <c r="D6" s="2">
        <v>0</v>
      </c>
      <c r="E6">
        <v>0</v>
      </c>
      <c r="F6">
        <v>1</v>
      </c>
      <c r="G6">
        <v>1</v>
      </c>
      <c r="J6" s="5">
        <f>SUM(E2:E611)</f>
        <v>2746</v>
      </c>
      <c r="K6" s="5">
        <f>SUM(F2:F611)</f>
        <v>31152</v>
      </c>
    </row>
    <row r="7" spans="1:11" x14ac:dyDescent="0.3">
      <c r="A7" s="2">
        <v>6</v>
      </c>
      <c r="B7">
        <v>0.2576</v>
      </c>
      <c r="C7">
        <v>0.75</v>
      </c>
      <c r="D7" s="2">
        <v>8.9599999999999999E-2</v>
      </c>
      <c r="E7">
        <v>0</v>
      </c>
      <c r="F7">
        <v>1</v>
      </c>
      <c r="G7">
        <v>1</v>
      </c>
      <c r="J7" s="4" t="s">
        <v>39</v>
      </c>
      <c r="K7" s="4" t="s">
        <v>40</v>
      </c>
    </row>
    <row r="8" spans="1:11" x14ac:dyDescent="0.3">
      <c r="A8" s="2">
        <v>7</v>
      </c>
      <c r="B8">
        <v>0.2727</v>
      </c>
      <c r="C8">
        <v>0.8</v>
      </c>
      <c r="D8" s="2">
        <v>0</v>
      </c>
      <c r="E8">
        <v>2</v>
      </c>
      <c r="F8">
        <v>0</v>
      </c>
      <c r="G8">
        <v>2</v>
      </c>
      <c r="J8" s="7">
        <f>ROUND(AVERAGE(E2:E611) * 10, 2)</f>
        <v>45.02</v>
      </c>
      <c r="K8" s="6">
        <f>ROUND(AVERAGE(F2:F611), 2)</f>
        <v>51.07</v>
      </c>
    </row>
    <row r="9" spans="1:11" x14ac:dyDescent="0.3">
      <c r="A9" s="2">
        <v>8</v>
      </c>
      <c r="B9">
        <v>0.2576</v>
      </c>
      <c r="C9">
        <v>0.86</v>
      </c>
      <c r="D9" s="2">
        <v>0</v>
      </c>
      <c r="E9">
        <v>1</v>
      </c>
      <c r="F9">
        <v>2</v>
      </c>
      <c r="G9">
        <v>3</v>
      </c>
    </row>
    <row r="10" spans="1:11" x14ac:dyDescent="0.3">
      <c r="A10" s="2">
        <v>9</v>
      </c>
      <c r="B10">
        <v>0</v>
      </c>
      <c r="C10">
        <v>0.75</v>
      </c>
      <c r="D10" s="2">
        <v>0</v>
      </c>
      <c r="E10">
        <v>1</v>
      </c>
      <c r="F10">
        <v>7</v>
      </c>
      <c r="G10">
        <v>8</v>
      </c>
    </row>
    <row r="11" spans="1:11" x14ac:dyDescent="0.3">
      <c r="A11" s="2">
        <v>10</v>
      </c>
      <c r="B11">
        <v>0.34849999999999998</v>
      </c>
      <c r="C11">
        <v>0.76</v>
      </c>
      <c r="D11" s="2">
        <v>0</v>
      </c>
      <c r="E11">
        <v>8</v>
      </c>
      <c r="F11">
        <v>6</v>
      </c>
      <c r="G11">
        <v>14</v>
      </c>
    </row>
    <row r="12" spans="1:11" x14ac:dyDescent="0.3">
      <c r="A12" s="2">
        <v>11</v>
      </c>
      <c r="B12">
        <v>0.39389999999999997</v>
      </c>
      <c r="C12">
        <v>0.76</v>
      </c>
      <c r="D12" s="2">
        <v>0.25369999999999998</v>
      </c>
      <c r="E12">
        <v>12</v>
      </c>
      <c r="F12">
        <v>24</v>
      </c>
      <c r="G12">
        <v>36</v>
      </c>
    </row>
    <row r="13" spans="1:11" x14ac:dyDescent="0.3">
      <c r="A13" s="2">
        <v>12</v>
      </c>
      <c r="B13">
        <v>0.33329999999999999</v>
      </c>
      <c r="C13">
        <v>0.81</v>
      </c>
      <c r="D13" s="2">
        <v>0.28360000000000002</v>
      </c>
      <c r="E13">
        <v>26</v>
      </c>
      <c r="F13">
        <v>30</v>
      </c>
      <c r="G13">
        <v>56</v>
      </c>
    </row>
    <row r="14" spans="1:11" x14ac:dyDescent="0.3">
      <c r="A14" s="2">
        <v>13</v>
      </c>
      <c r="B14">
        <v>0.42420000000000002</v>
      </c>
      <c r="C14">
        <v>0.77</v>
      </c>
      <c r="D14" s="2">
        <v>0.28360000000000002</v>
      </c>
      <c r="E14">
        <v>29</v>
      </c>
      <c r="F14">
        <v>55</v>
      </c>
      <c r="G14">
        <v>84</v>
      </c>
    </row>
    <row r="15" spans="1:11" x14ac:dyDescent="0.3">
      <c r="A15" s="2">
        <v>14</v>
      </c>
      <c r="B15">
        <v>0.45450000000000002</v>
      </c>
      <c r="C15">
        <v>0.72</v>
      </c>
      <c r="D15" s="2">
        <v>0.29849999999999999</v>
      </c>
      <c r="E15">
        <v>47</v>
      </c>
      <c r="F15">
        <v>47</v>
      </c>
      <c r="G15">
        <v>94</v>
      </c>
    </row>
    <row r="16" spans="1:11" x14ac:dyDescent="0.3">
      <c r="A16" s="2">
        <v>15</v>
      </c>
      <c r="B16">
        <v>0.45450000000000002</v>
      </c>
      <c r="C16">
        <v>0.72</v>
      </c>
      <c r="D16" s="2">
        <v>0.28360000000000002</v>
      </c>
      <c r="E16">
        <v>35</v>
      </c>
      <c r="F16">
        <v>71</v>
      </c>
      <c r="G16">
        <v>106</v>
      </c>
    </row>
    <row r="17" spans="1:7" x14ac:dyDescent="0.3">
      <c r="A17" s="2">
        <v>16</v>
      </c>
      <c r="B17">
        <v>0.43940000000000001</v>
      </c>
      <c r="C17">
        <v>0.77</v>
      </c>
      <c r="D17" s="2">
        <v>0.29849999999999999</v>
      </c>
      <c r="E17">
        <v>40</v>
      </c>
      <c r="F17">
        <v>70</v>
      </c>
      <c r="G17">
        <v>110</v>
      </c>
    </row>
    <row r="18" spans="1:7" x14ac:dyDescent="0.3">
      <c r="A18" s="2">
        <v>17</v>
      </c>
      <c r="B18">
        <v>0.42420000000000002</v>
      </c>
      <c r="C18">
        <v>0.82</v>
      </c>
      <c r="D18" s="2">
        <v>0.29849999999999999</v>
      </c>
      <c r="E18">
        <v>41</v>
      </c>
      <c r="F18">
        <v>52</v>
      </c>
      <c r="G18">
        <v>93</v>
      </c>
    </row>
    <row r="19" spans="1:7" x14ac:dyDescent="0.3">
      <c r="A19" s="2">
        <v>18</v>
      </c>
      <c r="B19">
        <v>0</v>
      </c>
      <c r="C19">
        <v>0.82</v>
      </c>
      <c r="D19" s="2">
        <v>0.28360000000000002</v>
      </c>
      <c r="E19">
        <v>15</v>
      </c>
      <c r="F19">
        <v>52</v>
      </c>
      <c r="G19">
        <v>67</v>
      </c>
    </row>
    <row r="20" spans="1:7" x14ac:dyDescent="0.3">
      <c r="A20" s="2">
        <v>19</v>
      </c>
      <c r="B20">
        <v>0.42420000000000002</v>
      </c>
      <c r="C20">
        <v>0.88</v>
      </c>
      <c r="D20" s="2">
        <v>0.25369999999999998</v>
      </c>
      <c r="E20">
        <v>9</v>
      </c>
      <c r="F20">
        <v>26</v>
      </c>
      <c r="G20">
        <v>35</v>
      </c>
    </row>
    <row r="21" spans="1:7" x14ac:dyDescent="0.3">
      <c r="A21" s="2">
        <v>20</v>
      </c>
      <c r="B21">
        <v>0.42420000000000002</v>
      </c>
      <c r="C21">
        <v>0.88</v>
      </c>
      <c r="D21" s="2">
        <v>0.25369999999999998</v>
      </c>
      <c r="E21">
        <v>6</v>
      </c>
      <c r="F21">
        <v>31</v>
      </c>
      <c r="G21">
        <v>37</v>
      </c>
    </row>
    <row r="22" spans="1:7" x14ac:dyDescent="0.3">
      <c r="A22" s="2">
        <v>21</v>
      </c>
      <c r="B22">
        <v>0.40910000000000002</v>
      </c>
      <c r="C22">
        <v>0.87</v>
      </c>
      <c r="D22" s="2">
        <v>0.25369999999999998</v>
      </c>
      <c r="E22">
        <v>11</v>
      </c>
      <c r="F22">
        <v>25</v>
      </c>
      <c r="G22">
        <v>36</v>
      </c>
    </row>
    <row r="23" spans="1:7" x14ac:dyDescent="0.3">
      <c r="A23" s="2">
        <v>22</v>
      </c>
      <c r="B23">
        <v>0.40910000000000002</v>
      </c>
      <c r="C23">
        <v>0.87</v>
      </c>
      <c r="D23" s="2">
        <v>0.19400000000000001</v>
      </c>
      <c r="E23">
        <v>3</v>
      </c>
      <c r="F23">
        <v>31</v>
      </c>
      <c r="G23">
        <v>34</v>
      </c>
    </row>
    <row r="24" spans="1:7" x14ac:dyDescent="0.3">
      <c r="A24" s="2">
        <v>23</v>
      </c>
      <c r="B24">
        <v>0.40910000000000002</v>
      </c>
      <c r="C24">
        <v>0.94</v>
      </c>
      <c r="D24" s="2">
        <v>0.22389999999999999</v>
      </c>
      <c r="E24">
        <v>11</v>
      </c>
      <c r="F24">
        <v>17</v>
      </c>
      <c r="G24">
        <v>28</v>
      </c>
    </row>
    <row r="25" spans="1:7" x14ac:dyDescent="0.3">
      <c r="A25" s="2">
        <v>24</v>
      </c>
      <c r="B25">
        <v>0</v>
      </c>
      <c r="C25">
        <v>0.88</v>
      </c>
      <c r="D25" s="2">
        <v>0.29849999999999999</v>
      </c>
      <c r="E25">
        <v>15</v>
      </c>
      <c r="F25">
        <v>24</v>
      </c>
      <c r="G25">
        <v>39</v>
      </c>
    </row>
    <row r="26" spans="1:7" x14ac:dyDescent="0.3">
      <c r="A26" s="2">
        <v>25</v>
      </c>
      <c r="B26">
        <v>0.45450000000000002</v>
      </c>
      <c r="C26">
        <v>0.88</v>
      </c>
      <c r="D26" s="2">
        <v>0.29849999999999999</v>
      </c>
      <c r="E26">
        <v>4</v>
      </c>
      <c r="F26">
        <v>13</v>
      </c>
      <c r="G26">
        <v>17</v>
      </c>
    </row>
    <row r="27" spans="1:7" x14ac:dyDescent="0.3">
      <c r="A27" s="2">
        <v>26</v>
      </c>
      <c r="B27">
        <v>0.43940000000000001</v>
      </c>
      <c r="C27">
        <v>0.94</v>
      </c>
      <c r="D27" s="2">
        <v>0.25369999999999998</v>
      </c>
      <c r="E27">
        <v>1</v>
      </c>
      <c r="F27">
        <v>16</v>
      </c>
      <c r="G27">
        <v>17</v>
      </c>
    </row>
    <row r="28" spans="1:7" x14ac:dyDescent="0.3">
      <c r="A28" s="2">
        <v>27</v>
      </c>
      <c r="B28">
        <v>0.42420000000000002</v>
      </c>
      <c r="C28">
        <v>1</v>
      </c>
      <c r="D28" s="2">
        <v>0.28360000000000002</v>
      </c>
      <c r="E28">
        <v>1</v>
      </c>
      <c r="F28">
        <v>8</v>
      </c>
      <c r="G28">
        <v>9</v>
      </c>
    </row>
    <row r="29" spans="1:7" x14ac:dyDescent="0.3">
      <c r="A29" s="2">
        <v>28</v>
      </c>
      <c r="B29">
        <v>0.45450000000000002</v>
      </c>
      <c r="C29">
        <v>0.94</v>
      </c>
      <c r="D29" s="2">
        <v>0.19400000000000001</v>
      </c>
      <c r="E29">
        <v>2</v>
      </c>
      <c r="F29">
        <v>4</v>
      </c>
      <c r="G29">
        <v>6</v>
      </c>
    </row>
    <row r="30" spans="1:7" x14ac:dyDescent="0.3">
      <c r="A30" s="2">
        <v>29</v>
      </c>
      <c r="B30">
        <v>0</v>
      </c>
      <c r="C30">
        <v>0.94</v>
      </c>
      <c r="D30" s="2">
        <v>0.19400000000000001</v>
      </c>
      <c r="E30">
        <v>2</v>
      </c>
      <c r="F30">
        <v>1</v>
      </c>
      <c r="G30">
        <v>3</v>
      </c>
    </row>
    <row r="31" spans="1:7" x14ac:dyDescent="0.3">
      <c r="A31" s="2">
        <v>30</v>
      </c>
      <c r="B31">
        <v>0.42420000000000002</v>
      </c>
      <c r="C31">
        <v>0.77</v>
      </c>
      <c r="D31" s="2">
        <v>0.29849999999999999</v>
      </c>
      <c r="E31">
        <v>0</v>
      </c>
      <c r="F31">
        <v>2</v>
      </c>
      <c r="G31">
        <v>2</v>
      </c>
    </row>
    <row r="32" spans="1:7" x14ac:dyDescent="0.3">
      <c r="A32" s="2">
        <v>31</v>
      </c>
      <c r="B32">
        <v>0.40910000000000002</v>
      </c>
      <c r="C32">
        <v>0.76</v>
      </c>
      <c r="D32" s="2">
        <v>0.19400000000000001</v>
      </c>
      <c r="E32">
        <v>0</v>
      </c>
      <c r="F32">
        <v>1</v>
      </c>
      <c r="G32">
        <v>1</v>
      </c>
    </row>
    <row r="33" spans="1:7" x14ac:dyDescent="0.3">
      <c r="A33" s="2">
        <v>32</v>
      </c>
      <c r="B33">
        <v>0.40910000000000002</v>
      </c>
      <c r="C33">
        <v>0.71</v>
      </c>
      <c r="D33" s="2">
        <v>0.22389999999999999</v>
      </c>
      <c r="E33">
        <v>0</v>
      </c>
      <c r="F33">
        <v>8</v>
      </c>
      <c r="G33">
        <v>8</v>
      </c>
    </row>
    <row r="34" spans="1:7" x14ac:dyDescent="0.3">
      <c r="A34" s="2">
        <v>33</v>
      </c>
      <c r="B34">
        <v>0</v>
      </c>
      <c r="C34">
        <v>0.76</v>
      </c>
      <c r="D34" s="2">
        <v>0.22389999999999999</v>
      </c>
      <c r="E34">
        <v>1</v>
      </c>
      <c r="F34">
        <v>19</v>
      </c>
      <c r="G34">
        <v>20</v>
      </c>
    </row>
    <row r="35" spans="1:7" x14ac:dyDescent="0.3">
      <c r="A35" s="2">
        <v>34</v>
      </c>
      <c r="B35">
        <v>0.34849999999999998</v>
      </c>
      <c r="C35">
        <v>0.81</v>
      </c>
      <c r="D35" s="2">
        <v>0.22389999999999999</v>
      </c>
      <c r="E35">
        <v>7</v>
      </c>
      <c r="F35">
        <v>46</v>
      </c>
      <c r="G35">
        <v>53</v>
      </c>
    </row>
    <row r="36" spans="1:7" x14ac:dyDescent="0.3">
      <c r="A36" s="2">
        <v>35</v>
      </c>
      <c r="B36">
        <v>0.33329999999999999</v>
      </c>
      <c r="C36">
        <v>0.71</v>
      </c>
      <c r="D36" s="2">
        <v>0.25369999999999998</v>
      </c>
      <c r="E36">
        <v>16</v>
      </c>
      <c r="F36">
        <v>54</v>
      </c>
      <c r="G36">
        <v>70</v>
      </c>
    </row>
    <row r="37" spans="1:7" x14ac:dyDescent="0.3">
      <c r="A37" s="2">
        <v>36</v>
      </c>
      <c r="B37">
        <v>0.33329999999999999</v>
      </c>
      <c r="C37">
        <v>0.66</v>
      </c>
      <c r="D37" s="2">
        <v>0.29849999999999999</v>
      </c>
      <c r="E37">
        <v>20</v>
      </c>
      <c r="F37">
        <v>73</v>
      </c>
      <c r="G37">
        <v>93</v>
      </c>
    </row>
    <row r="38" spans="1:7" x14ac:dyDescent="0.3">
      <c r="A38" s="2">
        <v>37</v>
      </c>
      <c r="B38">
        <v>0.34849999999999998</v>
      </c>
      <c r="C38">
        <v>0.66</v>
      </c>
      <c r="D38" s="2">
        <v>0.1343</v>
      </c>
      <c r="E38">
        <v>11</v>
      </c>
      <c r="F38">
        <v>64</v>
      </c>
      <c r="G38">
        <v>75</v>
      </c>
    </row>
    <row r="39" spans="1:7" x14ac:dyDescent="0.3">
      <c r="A39" s="2">
        <v>38</v>
      </c>
      <c r="B39">
        <v>0</v>
      </c>
      <c r="C39">
        <v>0.76</v>
      </c>
      <c r="D39" s="2">
        <v>0.19400000000000001</v>
      </c>
      <c r="E39">
        <v>4</v>
      </c>
      <c r="F39">
        <v>55</v>
      </c>
      <c r="G39">
        <v>59</v>
      </c>
    </row>
    <row r="40" spans="1:7" x14ac:dyDescent="0.3">
      <c r="A40" s="2">
        <v>39</v>
      </c>
      <c r="B40">
        <v>0.33329999999999999</v>
      </c>
      <c r="C40">
        <v>0.81</v>
      </c>
      <c r="D40" s="2">
        <v>0.16420000000000001</v>
      </c>
      <c r="E40">
        <v>19</v>
      </c>
      <c r="F40">
        <v>55</v>
      </c>
      <c r="G40">
        <v>74</v>
      </c>
    </row>
    <row r="41" spans="1:7" x14ac:dyDescent="0.3">
      <c r="A41" s="2">
        <v>40</v>
      </c>
      <c r="B41">
        <v>0.33329999999999999</v>
      </c>
      <c r="C41">
        <v>0.71</v>
      </c>
      <c r="D41" s="2">
        <v>0.16420000000000001</v>
      </c>
      <c r="E41">
        <v>9</v>
      </c>
      <c r="F41">
        <v>67</v>
      </c>
      <c r="G41">
        <v>76</v>
      </c>
    </row>
    <row r="42" spans="1:7" x14ac:dyDescent="0.3">
      <c r="A42" s="2">
        <v>41</v>
      </c>
      <c r="B42">
        <v>0.33329999999999999</v>
      </c>
      <c r="C42">
        <v>0.56999999999999995</v>
      </c>
      <c r="D42" s="2">
        <v>0.19400000000000001</v>
      </c>
      <c r="E42">
        <v>7</v>
      </c>
      <c r="F42">
        <v>58</v>
      </c>
      <c r="G42">
        <v>65</v>
      </c>
    </row>
    <row r="43" spans="1:7" x14ac:dyDescent="0.3">
      <c r="A43" s="2">
        <v>42</v>
      </c>
      <c r="B43">
        <v>0.33329999999999999</v>
      </c>
      <c r="C43">
        <v>0.46</v>
      </c>
      <c r="D43" s="2">
        <v>0.32840000000000003</v>
      </c>
      <c r="E43">
        <v>10</v>
      </c>
      <c r="F43">
        <v>43</v>
      </c>
      <c r="G43">
        <v>53</v>
      </c>
    </row>
    <row r="44" spans="1:7" x14ac:dyDescent="0.3">
      <c r="A44" s="2">
        <v>43</v>
      </c>
      <c r="B44">
        <v>0.28789999999999999</v>
      </c>
      <c r="C44">
        <v>0.42</v>
      </c>
      <c r="D44" s="2">
        <v>0.44779999999999998</v>
      </c>
      <c r="E44">
        <v>1</v>
      </c>
      <c r="F44">
        <v>29</v>
      </c>
      <c r="G44">
        <v>30</v>
      </c>
    </row>
    <row r="45" spans="1:7" x14ac:dyDescent="0.3">
      <c r="A45" s="2">
        <v>44</v>
      </c>
      <c r="B45">
        <v>0</v>
      </c>
      <c r="C45">
        <v>0.39</v>
      </c>
      <c r="D45" s="2">
        <v>0.35820000000000002</v>
      </c>
      <c r="E45">
        <v>5</v>
      </c>
      <c r="F45">
        <v>17</v>
      </c>
      <c r="G45">
        <v>22</v>
      </c>
    </row>
    <row r="46" spans="1:7" x14ac:dyDescent="0.3">
      <c r="A46" s="2">
        <v>45</v>
      </c>
      <c r="B46">
        <v>0.2273</v>
      </c>
      <c r="C46">
        <v>0.44</v>
      </c>
      <c r="D46" s="2">
        <v>0.32840000000000003</v>
      </c>
      <c r="E46">
        <v>11</v>
      </c>
      <c r="F46">
        <v>20</v>
      </c>
      <c r="G46">
        <v>31</v>
      </c>
    </row>
    <row r="47" spans="1:7" x14ac:dyDescent="0.3">
      <c r="A47" s="2">
        <v>46</v>
      </c>
      <c r="B47">
        <v>0.21210000000000001</v>
      </c>
      <c r="C47">
        <v>0.44</v>
      </c>
      <c r="D47" s="2">
        <v>0.29849999999999999</v>
      </c>
      <c r="E47">
        <v>0</v>
      </c>
      <c r="F47">
        <v>9</v>
      </c>
      <c r="G47">
        <v>9</v>
      </c>
    </row>
    <row r="48" spans="1:7" x14ac:dyDescent="0.3">
      <c r="A48" s="2">
        <v>47</v>
      </c>
      <c r="B48">
        <v>0.2273</v>
      </c>
      <c r="C48">
        <v>0.47</v>
      </c>
      <c r="D48" s="2">
        <v>0.16420000000000001</v>
      </c>
      <c r="E48">
        <v>0</v>
      </c>
      <c r="F48">
        <v>8</v>
      </c>
      <c r="G48">
        <v>8</v>
      </c>
    </row>
    <row r="49" spans="1:7" x14ac:dyDescent="0.3">
      <c r="A49" s="2">
        <v>48</v>
      </c>
      <c r="B49">
        <v>0.19700000000000001</v>
      </c>
      <c r="C49">
        <v>0.44</v>
      </c>
      <c r="D49" s="2">
        <v>0.35820000000000002</v>
      </c>
      <c r="E49">
        <v>0</v>
      </c>
      <c r="F49">
        <v>5</v>
      </c>
      <c r="G49">
        <v>5</v>
      </c>
    </row>
    <row r="50" spans="1:7" x14ac:dyDescent="0.3">
      <c r="A50" s="2">
        <v>49</v>
      </c>
      <c r="B50">
        <v>0</v>
      </c>
      <c r="C50">
        <v>0.44</v>
      </c>
      <c r="D50" s="2">
        <v>0.41789999999999999</v>
      </c>
      <c r="E50">
        <v>0</v>
      </c>
      <c r="F50">
        <v>2</v>
      </c>
      <c r="G50">
        <v>2</v>
      </c>
    </row>
    <row r="51" spans="1:7" x14ac:dyDescent="0.3">
      <c r="A51" s="2">
        <v>50</v>
      </c>
      <c r="B51">
        <v>0.13639999999999999</v>
      </c>
      <c r="C51">
        <v>0.47</v>
      </c>
      <c r="D51" s="2">
        <v>0.3881</v>
      </c>
      <c r="E51">
        <v>0</v>
      </c>
      <c r="F51">
        <v>1</v>
      </c>
      <c r="G51">
        <v>1</v>
      </c>
    </row>
    <row r="52" spans="1:7" x14ac:dyDescent="0.3">
      <c r="A52" s="2">
        <v>51</v>
      </c>
      <c r="B52">
        <v>0.13639999999999999</v>
      </c>
      <c r="C52">
        <v>0.47</v>
      </c>
      <c r="D52" s="2">
        <v>0.28360000000000002</v>
      </c>
      <c r="E52">
        <v>0</v>
      </c>
      <c r="F52">
        <v>3</v>
      </c>
      <c r="G52">
        <v>3</v>
      </c>
    </row>
    <row r="53" spans="1:7" x14ac:dyDescent="0.3">
      <c r="A53" s="2">
        <v>52</v>
      </c>
      <c r="B53">
        <v>0.1061</v>
      </c>
      <c r="C53">
        <v>0.5</v>
      </c>
      <c r="D53" s="2">
        <v>0.3881</v>
      </c>
      <c r="E53">
        <v>0</v>
      </c>
      <c r="F53">
        <v>30</v>
      </c>
      <c r="G53">
        <v>30</v>
      </c>
    </row>
    <row r="54" spans="1:7" x14ac:dyDescent="0.3">
      <c r="A54" s="2">
        <v>53</v>
      </c>
      <c r="B54">
        <v>0.13639999999999999</v>
      </c>
      <c r="C54">
        <v>0.5</v>
      </c>
      <c r="D54" s="2">
        <v>0.19400000000000001</v>
      </c>
      <c r="E54">
        <v>1</v>
      </c>
      <c r="F54">
        <v>63</v>
      </c>
      <c r="G54">
        <v>64</v>
      </c>
    </row>
    <row r="55" spans="1:7" x14ac:dyDescent="0.3">
      <c r="A55" s="2">
        <v>54</v>
      </c>
      <c r="B55">
        <v>0.1212</v>
      </c>
      <c r="C55">
        <v>0.5</v>
      </c>
      <c r="D55" s="2">
        <v>0.28360000000000002</v>
      </c>
      <c r="E55">
        <v>1</v>
      </c>
      <c r="F55">
        <v>153</v>
      </c>
      <c r="G55">
        <v>154</v>
      </c>
    </row>
    <row r="56" spans="1:7" x14ac:dyDescent="0.3">
      <c r="A56" s="2">
        <v>55</v>
      </c>
      <c r="B56">
        <v>0.13639999999999999</v>
      </c>
      <c r="C56">
        <v>0.43</v>
      </c>
      <c r="D56" s="2">
        <v>0.3881</v>
      </c>
      <c r="E56">
        <v>7</v>
      </c>
      <c r="F56">
        <v>81</v>
      </c>
      <c r="G56">
        <v>88</v>
      </c>
    </row>
    <row r="57" spans="1:7" x14ac:dyDescent="0.3">
      <c r="A57" s="2">
        <v>56</v>
      </c>
      <c r="B57">
        <v>0.16669999999999999</v>
      </c>
      <c r="C57">
        <v>0.43</v>
      </c>
      <c r="D57" s="2">
        <v>0.25369999999999998</v>
      </c>
      <c r="E57">
        <v>11</v>
      </c>
      <c r="F57">
        <v>33</v>
      </c>
      <c r="G57">
        <v>44</v>
      </c>
    </row>
    <row r="58" spans="1:7" x14ac:dyDescent="0.3">
      <c r="A58" s="2">
        <v>57</v>
      </c>
      <c r="B58">
        <v>0.18179999999999999</v>
      </c>
      <c r="C58">
        <v>0.4</v>
      </c>
      <c r="D58" s="2">
        <v>0.32840000000000003</v>
      </c>
      <c r="E58">
        <v>10</v>
      </c>
      <c r="F58">
        <v>41</v>
      </c>
      <c r="G58">
        <v>51</v>
      </c>
    </row>
    <row r="59" spans="1:7" x14ac:dyDescent="0.3">
      <c r="A59" s="2">
        <v>58</v>
      </c>
      <c r="B59">
        <v>0.21210000000000001</v>
      </c>
      <c r="C59">
        <v>0.35</v>
      </c>
      <c r="D59" s="2">
        <v>0.29849999999999999</v>
      </c>
      <c r="E59">
        <v>13</v>
      </c>
      <c r="F59">
        <v>48</v>
      </c>
      <c r="G59">
        <v>61</v>
      </c>
    </row>
    <row r="60" spans="1:7" x14ac:dyDescent="0.3">
      <c r="A60" s="2">
        <v>59</v>
      </c>
      <c r="B60">
        <v>0</v>
      </c>
      <c r="C60">
        <v>0.35</v>
      </c>
      <c r="D60" s="2">
        <v>0.28360000000000002</v>
      </c>
      <c r="E60">
        <v>8</v>
      </c>
      <c r="F60">
        <v>53</v>
      </c>
      <c r="G60">
        <v>61</v>
      </c>
    </row>
    <row r="61" spans="1:7" x14ac:dyDescent="0.3">
      <c r="A61" s="2">
        <v>60</v>
      </c>
      <c r="B61">
        <v>0.2424</v>
      </c>
      <c r="C61">
        <v>0.3</v>
      </c>
      <c r="D61" s="2">
        <v>0.28360000000000002</v>
      </c>
      <c r="E61">
        <v>11</v>
      </c>
      <c r="F61">
        <v>66</v>
      </c>
      <c r="G61">
        <v>77</v>
      </c>
    </row>
    <row r="62" spans="1:7" x14ac:dyDescent="0.3">
      <c r="A62" s="2">
        <v>61</v>
      </c>
      <c r="B62">
        <v>0.2424</v>
      </c>
      <c r="C62">
        <v>0.3</v>
      </c>
      <c r="D62" s="2">
        <v>0.25369999999999998</v>
      </c>
      <c r="E62">
        <v>14</v>
      </c>
      <c r="F62">
        <v>58</v>
      </c>
      <c r="G62">
        <v>72</v>
      </c>
    </row>
    <row r="63" spans="1:7" x14ac:dyDescent="0.3">
      <c r="A63" s="2">
        <v>62</v>
      </c>
      <c r="B63">
        <v>0.2424</v>
      </c>
      <c r="C63">
        <v>0.3</v>
      </c>
      <c r="D63" s="2">
        <v>0.25369999999999998</v>
      </c>
      <c r="E63">
        <v>9</v>
      </c>
      <c r="F63">
        <v>67</v>
      </c>
      <c r="G63">
        <v>76</v>
      </c>
    </row>
    <row r="64" spans="1:7" x14ac:dyDescent="0.3">
      <c r="A64" s="2">
        <v>63</v>
      </c>
      <c r="B64">
        <v>0.2273</v>
      </c>
      <c r="C64">
        <v>0.3</v>
      </c>
      <c r="D64" s="2">
        <v>0.22389999999999999</v>
      </c>
      <c r="E64">
        <v>11</v>
      </c>
      <c r="F64">
        <v>146</v>
      </c>
      <c r="G64">
        <v>157</v>
      </c>
    </row>
    <row r="65" spans="1:7" x14ac:dyDescent="0.3">
      <c r="A65" s="2">
        <v>64</v>
      </c>
      <c r="B65">
        <v>0.2576</v>
      </c>
      <c r="C65">
        <v>0.32</v>
      </c>
      <c r="D65" s="2">
        <v>0.1045</v>
      </c>
      <c r="E65">
        <v>9</v>
      </c>
      <c r="F65">
        <v>148</v>
      </c>
      <c r="G65">
        <v>157</v>
      </c>
    </row>
    <row r="66" spans="1:7" x14ac:dyDescent="0.3">
      <c r="A66" s="2">
        <v>65</v>
      </c>
      <c r="B66">
        <v>0.2576</v>
      </c>
      <c r="C66">
        <v>0.47</v>
      </c>
      <c r="D66" s="2">
        <v>0</v>
      </c>
      <c r="E66">
        <v>8</v>
      </c>
      <c r="F66">
        <v>102</v>
      </c>
      <c r="G66">
        <v>110</v>
      </c>
    </row>
    <row r="67" spans="1:7" x14ac:dyDescent="0.3">
      <c r="A67" s="2">
        <v>66</v>
      </c>
      <c r="B67">
        <v>0</v>
      </c>
      <c r="C67">
        <v>0.47</v>
      </c>
      <c r="D67" s="2">
        <v>0.1045</v>
      </c>
      <c r="E67">
        <v>3</v>
      </c>
      <c r="F67">
        <v>49</v>
      </c>
      <c r="G67">
        <v>52</v>
      </c>
    </row>
    <row r="68" spans="1:7" x14ac:dyDescent="0.3">
      <c r="A68" s="2">
        <v>67</v>
      </c>
      <c r="B68">
        <v>0.19700000000000001</v>
      </c>
      <c r="C68">
        <v>0.64</v>
      </c>
      <c r="D68" s="2">
        <v>0.1343</v>
      </c>
      <c r="E68">
        <v>3</v>
      </c>
      <c r="F68">
        <v>49</v>
      </c>
      <c r="G68">
        <v>52</v>
      </c>
    </row>
    <row r="69" spans="1:7" x14ac:dyDescent="0.3">
      <c r="A69" s="2">
        <v>68</v>
      </c>
      <c r="B69">
        <v>0.1515</v>
      </c>
      <c r="C69">
        <v>0.69</v>
      </c>
      <c r="D69" s="2">
        <v>0.1343</v>
      </c>
      <c r="E69">
        <v>0</v>
      </c>
      <c r="F69">
        <v>20</v>
      </c>
      <c r="G69">
        <v>20</v>
      </c>
    </row>
    <row r="70" spans="1:7" x14ac:dyDescent="0.3">
      <c r="A70" s="2">
        <v>69</v>
      </c>
      <c r="B70">
        <v>0.21210000000000001</v>
      </c>
      <c r="C70">
        <v>0.55000000000000004</v>
      </c>
      <c r="D70" s="2">
        <v>0.1045</v>
      </c>
      <c r="E70">
        <v>1</v>
      </c>
      <c r="F70">
        <v>11</v>
      </c>
      <c r="G70">
        <v>12</v>
      </c>
    </row>
    <row r="71" spans="1:7" x14ac:dyDescent="0.3">
      <c r="A71" s="2">
        <v>70</v>
      </c>
      <c r="B71">
        <v>0</v>
      </c>
      <c r="C71">
        <v>0.55000000000000004</v>
      </c>
      <c r="D71" s="2">
        <v>0.1045</v>
      </c>
      <c r="E71">
        <v>0</v>
      </c>
      <c r="F71">
        <v>5</v>
      </c>
      <c r="G71">
        <v>5</v>
      </c>
    </row>
    <row r="72" spans="1:7" x14ac:dyDescent="0.3">
      <c r="A72" s="2">
        <v>71</v>
      </c>
      <c r="B72">
        <v>0.18179999999999999</v>
      </c>
      <c r="C72">
        <v>0.59</v>
      </c>
      <c r="D72" s="2">
        <v>0.1045</v>
      </c>
      <c r="E72">
        <v>0</v>
      </c>
      <c r="F72">
        <v>2</v>
      </c>
      <c r="G72">
        <v>2</v>
      </c>
    </row>
    <row r="73" spans="1:7" x14ac:dyDescent="0.3">
      <c r="A73" s="2">
        <v>72</v>
      </c>
      <c r="B73">
        <v>0.1515</v>
      </c>
      <c r="C73">
        <v>0.63</v>
      </c>
      <c r="D73" s="2">
        <v>0.1343</v>
      </c>
      <c r="E73">
        <v>0</v>
      </c>
      <c r="F73">
        <v>1</v>
      </c>
      <c r="G73">
        <v>1</v>
      </c>
    </row>
    <row r="74" spans="1:7" x14ac:dyDescent="0.3">
      <c r="A74" s="2">
        <v>73</v>
      </c>
      <c r="B74">
        <v>0.18179999999999999</v>
      </c>
      <c r="C74">
        <v>0.63</v>
      </c>
      <c r="D74" s="2">
        <v>8.9599999999999999E-2</v>
      </c>
      <c r="E74">
        <v>0</v>
      </c>
      <c r="F74">
        <v>2</v>
      </c>
      <c r="G74">
        <v>2</v>
      </c>
    </row>
    <row r="75" spans="1:7" x14ac:dyDescent="0.3">
      <c r="A75" s="2">
        <v>74</v>
      </c>
      <c r="B75">
        <v>0.1515</v>
      </c>
      <c r="C75">
        <v>0.68</v>
      </c>
      <c r="D75" s="2">
        <v>0.1045</v>
      </c>
      <c r="E75">
        <v>0</v>
      </c>
      <c r="F75">
        <v>4</v>
      </c>
      <c r="G75">
        <v>4</v>
      </c>
    </row>
    <row r="76" spans="1:7" x14ac:dyDescent="0.3">
      <c r="A76" s="2">
        <v>75</v>
      </c>
      <c r="B76">
        <v>0.1515</v>
      </c>
      <c r="C76">
        <v>0.74</v>
      </c>
      <c r="D76" s="2">
        <v>0.1045</v>
      </c>
      <c r="E76">
        <v>0</v>
      </c>
      <c r="F76">
        <v>36</v>
      </c>
      <c r="G76">
        <v>36</v>
      </c>
    </row>
    <row r="77" spans="1:7" x14ac:dyDescent="0.3">
      <c r="A77" s="2">
        <v>76</v>
      </c>
      <c r="B77">
        <v>0.1515</v>
      </c>
      <c r="C77">
        <v>0.74</v>
      </c>
      <c r="D77" s="2">
        <v>0.1343</v>
      </c>
      <c r="E77">
        <v>2</v>
      </c>
      <c r="F77">
        <v>92</v>
      </c>
      <c r="G77">
        <v>94</v>
      </c>
    </row>
    <row r="78" spans="1:7" x14ac:dyDescent="0.3">
      <c r="A78" s="2">
        <v>77</v>
      </c>
      <c r="B78">
        <v>0.1515</v>
      </c>
      <c r="C78">
        <v>0.69</v>
      </c>
      <c r="D78" s="2">
        <v>0.16420000000000001</v>
      </c>
      <c r="E78">
        <v>2</v>
      </c>
      <c r="F78">
        <v>177</v>
      </c>
      <c r="G78">
        <v>179</v>
      </c>
    </row>
    <row r="79" spans="1:7" x14ac:dyDescent="0.3">
      <c r="A79" s="2">
        <v>78</v>
      </c>
      <c r="B79">
        <v>0.1515</v>
      </c>
      <c r="C79">
        <v>0.64</v>
      </c>
      <c r="D79" s="2">
        <v>0.22389999999999999</v>
      </c>
      <c r="E79">
        <v>2</v>
      </c>
      <c r="F79">
        <v>98</v>
      </c>
      <c r="G79">
        <v>100</v>
      </c>
    </row>
    <row r="80" spans="1:7" x14ac:dyDescent="0.3">
      <c r="A80" s="2">
        <v>79</v>
      </c>
      <c r="B80">
        <v>0.13639999999999999</v>
      </c>
      <c r="C80">
        <v>0.69</v>
      </c>
      <c r="D80" s="2">
        <v>0.32840000000000003</v>
      </c>
      <c r="E80">
        <v>5</v>
      </c>
      <c r="F80">
        <v>37</v>
      </c>
      <c r="G80">
        <v>42</v>
      </c>
    </row>
    <row r="81" spans="1:7" x14ac:dyDescent="0.3">
      <c r="A81" s="2">
        <v>80</v>
      </c>
      <c r="B81">
        <v>0.21210000000000001</v>
      </c>
      <c r="C81">
        <v>0.51</v>
      </c>
      <c r="D81" s="2">
        <v>0.29849999999999999</v>
      </c>
      <c r="E81">
        <v>7</v>
      </c>
      <c r="F81">
        <v>50</v>
      </c>
      <c r="G81">
        <v>57</v>
      </c>
    </row>
    <row r="82" spans="1:7" x14ac:dyDescent="0.3">
      <c r="A82" s="2">
        <v>81</v>
      </c>
      <c r="B82">
        <v>0.2273</v>
      </c>
      <c r="C82">
        <v>0.51</v>
      </c>
      <c r="D82" s="2">
        <v>0.16420000000000001</v>
      </c>
      <c r="E82">
        <v>12</v>
      </c>
      <c r="F82">
        <v>66</v>
      </c>
      <c r="G82">
        <v>78</v>
      </c>
    </row>
    <row r="83" spans="1:7" x14ac:dyDescent="0.3">
      <c r="A83" s="2">
        <v>82</v>
      </c>
      <c r="B83">
        <v>0.2273</v>
      </c>
      <c r="C83">
        <v>0.56000000000000005</v>
      </c>
      <c r="D83" s="2">
        <v>0.19400000000000001</v>
      </c>
      <c r="E83">
        <v>18</v>
      </c>
      <c r="F83">
        <v>79</v>
      </c>
      <c r="G83">
        <v>97</v>
      </c>
    </row>
    <row r="84" spans="1:7" x14ac:dyDescent="0.3">
      <c r="A84" s="2">
        <v>83</v>
      </c>
      <c r="B84">
        <v>0.2576</v>
      </c>
      <c r="C84">
        <v>0.52</v>
      </c>
      <c r="D84" s="2">
        <v>0.22389999999999999</v>
      </c>
      <c r="E84">
        <v>9</v>
      </c>
      <c r="F84">
        <v>54</v>
      </c>
      <c r="G84">
        <v>63</v>
      </c>
    </row>
    <row r="85" spans="1:7" x14ac:dyDescent="0.3">
      <c r="A85" s="2">
        <v>84</v>
      </c>
      <c r="B85">
        <v>0.2727</v>
      </c>
      <c r="C85">
        <v>0.52</v>
      </c>
      <c r="D85" s="2">
        <v>0.25369999999999998</v>
      </c>
      <c r="E85">
        <v>17</v>
      </c>
      <c r="F85">
        <v>48</v>
      </c>
      <c r="G85">
        <v>65</v>
      </c>
    </row>
    <row r="86" spans="1:7" x14ac:dyDescent="0.3">
      <c r="A86" s="2">
        <v>85</v>
      </c>
      <c r="B86">
        <v>0.28789999999999999</v>
      </c>
      <c r="C86">
        <v>0.49</v>
      </c>
      <c r="D86" s="2">
        <v>0.25369999999999998</v>
      </c>
      <c r="E86">
        <v>15</v>
      </c>
      <c r="F86">
        <v>68</v>
      </c>
      <c r="G86">
        <v>83</v>
      </c>
    </row>
    <row r="87" spans="1:7" x14ac:dyDescent="0.3">
      <c r="A87" s="2">
        <v>86</v>
      </c>
      <c r="B87">
        <v>0.2727</v>
      </c>
      <c r="C87">
        <v>0.48</v>
      </c>
      <c r="D87" s="2">
        <v>0.22389999999999999</v>
      </c>
      <c r="E87">
        <v>10</v>
      </c>
      <c r="F87">
        <v>202</v>
      </c>
      <c r="G87">
        <v>212</v>
      </c>
    </row>
    <row r="88" spans="1:7" x14ac:dyDescent="0.3">
      <c r="A88" s="2">
        <v>87</v>
      </c>
      <c r="B88">
        <v>0.2576</v>
      </c>
      <c r="C88">
        <v>0.48</v>
      </c>
      <c r="D88" s="2">
        <v>0.19400000000000001</v>
      </c>
      <c r="E88">
        <v>3</v>
      </c>
      <c r="F88">
        <v>179</v>
      </c>
      <c r="G88">
        <v>182</v>
      </c>
    </row>
    <row r="89" spans="1:7" x14ac:dyDescent="0.3">
      <c r="A89" s="2">
        <v>88</v>
      </c>
      <c r="B89">
        <v>0.2576</v>
      </c>
      <c r="C89">
        <v>0.48</v>
      </c>
      <c r="D89" s="2">
        <v>0.1045</v>
      </c>
      <c r="E89">
        <v>2</v>
      </c>
      <c r="F89">
        <v>110</v>
      </c>
      <c r="G89">
        <v>112</v>
      </c>
    </row>
    <row r="90" spans="1:7" x14ac:dyDescent="0.3">
      <c r="A90" s="2">
        <v>89</v>
      </c>
      <c r="B90">
        <v>0.2576</v>
      </c>
      <c r="C90">
        <v>0.48</v>
      </c>
      <c r="D90" s="2">
        <v>0.1045</v>
      </c>
      <c r="E90">
        <v>1</v>
      </c>
      <c r="F90">
        <v>53</v>
      </c>
      <c r="G90">
        <v>54</v>
      </c>
    </row>
    <row r="91" spans="1:7" x14ac:dyDescent="0.3">
      <c r="A91" s="2">
        <v>90</v>
      </c>
      <c r="B91">
        <v>0.2727</v>
      </c>
      <c r="C91">
        <v>0.64</v>
      </c>
      <c r="D91" s="2">
        <v>0</v>
      </c>
      <c r="E91">
        <v>0</v>
      </c>
      <c r="F91">
        <v>48</v>
      </c>
      <c r="G91">
        <v>48</v>
      </c>
    </row>
    <row r="92" spans="1:7" x14ac:dyDescent="0.3">
      <c r="A92" s="2">
        <v>91</v>
      </c>
      <c r="B92">
        <v>0.2576</v>
      </c>
      <c r="C92">
        <v>0.64</v>
      </c>
      <c r="D92" s="2">
        <v>8.9599999999999999E-2</v>
      </c>
      <c r="E92">
        <v>1</v>
      </c>
      <c r="F92">
        <v>34</v>
      </c>
      <c r="G92">
        <v>35</v>
      </c>
    </row>
    <row r="93" spans="1:7" x14ac:dyDescent="0.3">
      <c r="A93" s="2">
        <v>92</v>
      </c>
      <c r="B93">
        <v>0.2273</v>
      </c>
      <c r="C93">
        <v>0.69</v>
      </c>
      <c r="D93" s="2">
        <v>8.9599999999999999E-2</v>
      </c>
      <c r="E93">
        <v>2</v>
      </c>
      <c r="F93">
        <v>9</v>
      </c>
      <c r="G93">
        <v>11</v>
      </c>
    </row>
    <row r="94" spans="1:7" x14ac:dyDescent="0.3">
      <c r="A94" s="2">
        <v>93</v>
      </c>
      <c r="B94">
        <v>0.2576</v>
      </c>
      <c r="C94">
        <v>0.64</v>
      </c>
      <c r="D94" s="2">
        <v>0</v>
      </c>
      <c r="E94">
        <v>0</v>
      </c>
      <c r="F94">
        <v>6</v>
      </c>
      <c r="G94">
        <v>6</v>
      </c>
    </row>
    <row r="95" spans="1:7" x14ac:dyDescent="0.3">
      <c r="A95" s="2">
        <v>94</v>
      </c>
      <c r="B95">
        <v>0.19700000000000001</v>
      </c>
      <c r="C95">
        <v>0.74</v>
      </c>
      <c r="D95" s="2">
        <v>8.9599999999999999E-2</v>
      </c>
      <c r="E95">
        <v>0</v>
      </c>
      <c r="F95">
        <v>6</v>
      </c>
      <c r="G95">
        <v>6</v>
      </c>
    </row>
    <row r="96" spans="1:7" x14ac:dyDescent="0.3">
      <c r="A96" s="2">
        <v>95</v>
      </c>
      <c r="B96">
        <v>0.19700000000000001</v>
      </c>
      <c r="C96">
        <v>0.74</v>
      </c>
      <c r="D96" s="2">
        <v>8.9599999999999999E-2</v>
      </c>
      <c r="E96">
        <v>0</v>
      </c>
      <c r="F96">
        <v>2</v>
      </c>
      <c r="G96">
        <v>2</v>
      </c>
    </row>
    <row r="97" spans="1:7" x14ac:dyDescent="0.3">
      <c r="A97" s="2">
        <v>96</v>
      </c>
      <c r="B97">
        <v>0.2273</v>
      </c>
      <c r="C97">
        <v>0.48</v>
      </c>
      <c r="D97" s="2">
        <v>0.22389999999999999</v>
      </c>
      <c r="E97">
        <v>0</v>
      </c>
      <c r="F97">
        <v>2</v>
      </c>
      <c r="G97">
        <v>2</v>
      </c>
    </row>
    <row r="98" spans="1:7" x14ac:dyDescent="0.3">
      <c r="A98" s="2">
        <v>97</v>
      </c>
      <c r="B98">
        <v>0.2273</v>
      </c>
      <c r="C98">
        <v>0.47</v>
      </c>
      <c r="D98" s="2">
        <v>0.16420000000000001</v>
      </c>
      <c r="E98">
        <v>0</v>
      </c>
      <c r="F98">
        <v>3</v>
      </c>
      <c r="G98">
        <v>3</v>
      </c>
    </row>
    <row r="99" spans="1:7" x14ac:dyDescent="0.3">
      <c r="A99" s="2">
        <v>98</v>
      </c>
      <c r="B99">
        <v>0.19700000000000001</v>
      </c>
      <c r="C99">
        <v>0.47</v>
      </c>
      <c r="D99" s="2">
        <v>0.22389999999999999</v>
      </c>
      <c r="E99">
        <v>0</v>
      </c>
      <c r="F99">
        <v>33</v>
      </c>
      <c r="G99">
        <v>33</v>
      </c>
    </row>
    <row r="100" spans="1:7" x14ac:dyDescent="0.3">
      <c r="A100" s="2">
        <v>99</v>
      </c>
      <c r="B100">
        <v>0.18179999999999999</v>
      </c>
      <c r="C100">
        <v>0.43</v>
      </c>
      <c r="D100" s="2">
        <v>0.19400000000000001</v>
      </c>
      <c r="E100">
        <v>1</v>
      </c>
      <c r="F100">
        <v>87</v>
      </c>
      <c r="G100">
        <v>88</v>
      </c>
    </row>
    <row r="101" spans="1:7" x14ac:dyDescent="0.3">
      <c r="A101" s="2">
        <v>100</v>
      </c>
      <c r="B101">
        <v>0.18179999999999999</v>
      </c>
      <c r="C101">
        <v>0.4</v>
      </c>
      <c r="D101" s="2">
        <v>0.29849999999999999</v>
      </c>
      <c r="E101">
        <v>3</v>
      </c>
      <c r="F101">
        <v>192</v>
      </c>
      <c r="G101">
        <v>195</v>
      </c>
    </row>
    <row r="102" spans="1:7" x14ac:dyDescent="0.3">
      <c r="A102" s="2">
        <v>101</v>
      </c>
      <c r="B102">
        <v>0.19700000000000001</v>
      </c>
      <c r="C102">
        <v>0.37</v>
      </c>
      <c r="D102" s="2">
        <v>0.32840000000000003</v>
      </c>
      <c r="E102">
        <v>6</v>
      </c>
      <c r="F102">
        <v>109</v>
      </c>
      <c r="G102">
        <v>115</v>
      </c>
    </row>
    <row r="103" spans="1:7" x14ac:dyDescent="0.3">
      <c r="A103" s="2">
        <v>102</v>
      </c>
      <c r="B103">
        <v>0.19700000000000001</v>
      </c>
      <c r="C103">
        <v>0.37</v>
      </c>
      <c r="D103" s="2">
        <v>0.32840000000000003</v>
      </c>
      <c r="E103">
        <v>4</v>
      </c>
      <c r="F103">
        <v>53</v>
      </c>
      <c r="G103">
        <v>57</v>
      </c>
    </row>
    <row r="104" spans="1:7" x14ac:dyDescent="0.3">
      <c r="A104" s="2">
        <v>103</v>
      </c>
      <c r="B104">
        <v>0.2273</v>
      </c>
      <c r="C104">
        <v>0.33</v>
      </c>
      <c r="D104" s="2">
        <v>0.32840000000000003</v>
      </c>
      <c r="E104">
        <v>12</v>
      </c>
      <c r="F104">
        <v>34</v>
      </c>
      <c r="G104">
        <v>46</v>
      </c>
    </row>
    <row r="105" spans="1:7" x14ac:dyDescent="0.3">
      <c r="A105" s="2">
        <v>104</v>
      </c>
      <c r="B105">
        <v>0.2273</v>
      </c>
      <c r="C105">
        <v>0.33</v>
      </c>
      <c r="D105" s="2">
        <v>0.32840000000000003</v>
      </c>
      <c r="E105">
        <v>5</v>
      </c>
      <c r="F105">
        <v>74</v>
      </c>
      <c r="G105">
        <v>79</v>
      </c>
    </row>
    <row r="106" spans="1:7" x14ac:dyDescent="0.3">
      <c r="A106" s="2">
        <v>105</v>
      </c>
      <c r="B106">
        <v>0.2576</v>
      </c>
      <c r="C106">
        <v>0.3</v>
      </c>
      <c r="D106" s="2">
        <v>0.29849999999999999</v>
      </c>
      <c r="E106">
        <v>6</v>
      </c>
      <c r="F106">
        <v>65</v>
      </c>
      <c r="G106">
        <v>71</v>
      </c>
    </row>
    <row r="107" spans="1:7" x14ac:dyDescent="0.3">
      <c r="A107" s="2">
        <v>106</v>
      </c>
      <c r="B107">
        <v>0.28789999999999999</v>
      </c>
      <c r="C107">
        <v>0.28000000000000003</v>
      </c>
      <c r="D107" s="2">
        <v>0.19400000000000001</v>
      </c>
      <c r="E107">
        <v>10</v>
      </c>
      <c r="F107">
        <v>52</v>
      </c>
      <c r="G107">
        <v>62</v>
      </c>
    </row>
    <row r="108" spans="1:7" x14ac:dyDescent="0.3">
      <c r="A108" s="2">
        <v>107</v>
      </c>
      <c r="B108">
        <v>0.28789999999999999</v>
      </c>
      <c r="C108">
        <v>0.28000000000000003</v>
      </c>
      <c r="D108" s="2">
        <v>0.19400000000000001</v>
      </c>
      <c r="E108">
        <v>7</v>
      </c>
      <c r="F108">
        <v>55</v>
      </c>
      <c r="G108">
        <v>62</v>
      </c>
    </row>
    <row r="109" spans="1:7" x14ac:dyDescent="0.3">
      <c r="A109" s="2">
        <v>108</v>
      </c>
      <c r="B109">
        <v>0.31819999999999998</v>
      </c>
      <c r="C109">
        <v>0.28000000000000003</v>
      </c>
      <c r="D109" s="2">
        <v>8.9599999999999999E-2</v>
      </c>
      <c r="E109">
        <v>4</v>
      </c>
      <c r="F109">
        <v>85</v>
      </c>
      <c r="G109">
        <v>89</v>
      </c>
    </row>
    <row r="110" spans="1:7" x14ac:dyDescent="0.3">
      <c r="A110" s="2">
        <v>109</v>
      </c>
      <c r="B110">
        <v>0.2273</v>
      </c>
      <c r="C110">
        <v>0.38</v>
      </c>
      <c r="D110" s="2">
        <v>0.19400000000000001</v>
      </c>
      <c r="E110">
        <v>4</v>
      </c>
      <c r="F110">
        <v>186</v>
      </c>
      <c r="G110">
        <v>190</v>
      </c>
    </row>
    <row r="111" spans="1:7" x14ac:dyDescent="0.3">
      <c r="A111" s="2">
        <v>110</v>
      </c>
      <c r="B111">
        <v>0.2424</v>
      </c>
      <c r="C111">
        <v>0.38</v>
      </c>
      <c r="D111" s="2">
        <v>0.1343</v>
      </c>
      <c r="E111">
        <v>3</v>
      </c>
      <c r="F111">
        <v>166</v>
      </c>
      <c r="G111">
        <v>169</v>
      </c>
    </row>
    <row r="112" spans="1:7" x14ac:dyDescent="0.3">
      <c r="A112" s="2">
        <v>111</v>
      </c>
      <c r="B112">
        <v>0.2576</v>
      </c>
      <c r="C112">
        <v>0.38</v>
      </c>
      <c r="D112" s="2">
        <v>0.1045</v>
      </c>
      <c r="E112">
        <v>5</v>
      </c>
      <c r="F112">
        <v>127</v>
      </c>
      <c r="G112">
        <v>132</v>
      </c>
    </row>
    <row r="113" spans="1:7" x14ac:dyDescent="0.3">
      <c r="A113" s="2">
        <v>112</v>
      </c>
      <c r="B113">
        <v>0.2273</v>
      </c>
      <c r="C113">
        <v>0.47</v>
      </c>
      <c r="D113" s="2">
        <v>0.16420000000000001</v>
      </c>
      <c r="E113">
        <v>7</v>
      </c>
      <c r="F113">
        <v>82</v>
      </c>
      <c r="G113">
        <v>89</v>
      </c>
    </row>
    <row r="114" spans="1:7" x14ac:dyDescent="0.3">
      <c r="A114" s="2">
        <v>113</v>
      </c>
      <c r="B114">
        <v>0.19700000000000001</v>
      </c>
      <c r="C114">
        <v>0.51</v>
      </c>
      <c r="D114" s="2">
        <v>0.19400000000000001</v>
      </c>
      <c r="E114">
        <v>3</v>
      </c>
      <c r="F114">
        <v>40</v>
      </c>
      <c r="G114">
        <v>43</v>
      </c>
    </row>
    <row r="115" spans="1:7" x14ac:dyDescent="0.3">
      <c r="A115" s="2">
        <v>114</v>
      </c>
      <c r="B115">
        <v>0.19700000000000001</v>
      </c>
      <c r="C115">
        <v>0.55000000000000004</v>
      </c>
      <c r="D115" s="2">
        <v>0.1343</v>
      </c>
      <c r="E115">
        <v>1</v>
      </c>
      <c r="F115">
        <v>41</v>
      </c>
      <c r="G115">
        <v>42</v>
      </c>
    </row>
    <row r="116" spans="1:7" x14ac:dyDescent="0.3">
      <c r="A116" s="2">
        <v>115</v>
      </c>
      <c r="B116">
        <v>0.2576</v>
      </c>
      <c r="C116">
        <v>0.47</v>
      </c>
      <c r="D116" s="2">
        <v>0</v>
      </c>
      <c r="E116">
        <v>1</v>
      </c>
      <c r="F116">
        <v>18</v>
      </c>
      <c r="G116">
        <v>19</v>
      </c>
    </row>
    <row r="117" spans="1:7" x14ac:dyDescent="0.3">
      <c r="A117" s="2">
        <v>116</v>
      </c>
      <c r="B117">
        <v>0.2424</v>
      </c>
      <c r="C117">
        <v>0.55000000000000004</v>
      </c>
      <c r="D117" s="2">
        <v>0</v>
      </c>
      <c r="E117">
        <v>0</v>
      </c>
      <c r="F117">
        <v>11</v>
      </c>
      <c r="G117">
        <v>11</v>
      </c>
    </row>
    <row r="118" spans="1:7" x14ac:dyDescent="0.3">
      <c r="A118" s="2">
        <v>117</v>
      </c>
      <c r="B118">
        <v>0.2273</v>
      </c>
      <c r="C118">
        <v>0.64</v>
      </c>
      <c r="D118" s="2">
        <v>0</v>
      </c>
      <c r="E118">
        <v>0</v>
      </c>
      <c r="F118">
        <v>4</v>
      </c>
      <c r="G118">
        <v>4</v>
      </c>
    </row>
    <row r="119" spans="1:7" x14ac:dyDescent="0.3">
      <c r="A119" s="2">
        <v>118</v>
      </c>
      <c r="B119">
        <v>0.2273</v>
      </c>
      <c r="C119">
        <v>0.64</v>
      </c>
      <c r="D119" s="2">
        <v>0</v>
      </c>
      <c r="E119">
        <v>0</v>
      </c>
      <c r="F119">
        <v>2</v>
      </c>
      <c r="G119">
        <v>2</v>
      </c>
    </row>
    <row r="120" spans="1:7" x14ac:dyDescent="0.3">
      <c r="A120" s="2">
        <v>119</v>
      </c>
      <c r="B120">
        <v>0.19700000000000001</v>
      </c>
      <c r="C120">
        <v>0.64</v>
      </c>
      <c r="D120" s="2">
        <v>8.9599999999999999E-2</v>
      </c>
      <c r="E120">
        <v>0</v>
      </c>
      <c r="F120">
        <v>1</v>
      </c>
      <c r="G120">
        <v>1</v>
      </c>
    </row>
    <row r="121" spans="1:7" x14ac:dyDescent="0.3">
      <c r="A121" s="2">
        <v>120</v>
      </c>
      <c r="B121">
        <v>0.18179999999999999</v>
      </c>
      <c r="C121">
        <v>0.69</v>
      </c>
      <c r="D121" s="2">
        <v>8.9599999999999999E-2</v>
      </c>
      <c r="E121">
        <v>0</v>
      </c>
      <c r="F121">
        <v>4</v>
      </c>
      <c r="G121">
        <v>4</v>
      </c>
    </row>
    <row r="122" spans="1:7" x14ac:dyDescent="0.3">
      <c r="A122" s="2">
        <v>121</v>
      </c>
      <c r="B122">
        <v>0.16669999999999999</v>
      </c>
      <c r="C122">
        <v>0.63</v>
      </c>
      <c r="D122" s="2">
        <v>0.1045</v>
      </c>
      <c r="E122">
        <v>0</v>
      </c>
      <c r="F122">
        <v>36</v>
      </c>
      <c r="G122">
        <v>36</v>
      </c>
    </row>
    <row r="123" spans="1:7" x14ac:dyDescent="0.3">
      <c r="A123" s="2">
        <v>122</v>
      </c>
      <c r="B123">
        <v>0.2273</v>
      </c>
      <c r="C123">
        <v>0.59</v>
      </c>
      <c r="D123" s="2">
        <v>0</v>
      </c>
      <c r="E123">
        <v>0</v>
      </c>
      <c r="F123">
        <v>95</v>
      </c>
      <c r="G123">
        <v>95</v>
      </c>
    </row>
    <row r="124" spans="1:7" x14ac:dyDescent="0.3">
      <c r="A124" s="2">
        <v>123</v>
      </c>
      <c r="B124">
        <v>0.2273</v>
      </c>
      <c r="C124">
        <v>0.59</v>
      </c>
      <c r="D124" s="2">
        <v>0</v>
      </c>
      <c r="E124">
        <v>3</v>
      </c>
      <c r="F124">
        <v>216</v>
      </c>
      <c r="G124">
        <v>219</v>
      </c>
    </row>
    <row r="125" spans="1:7" x14ac:dyDescent="0.3">
      <c r="A125" s="2">
        <v>124</v>
      </c>
      <c r="B125">
        <v>0.2424</v>
      </c>
      <c r="C125">
        <v>0.51</v>
      </c>
      <c r="D125" s="2">
        <v>0</v>
      </c>
      <c r="E125">
        <v>6</v>
      </c>
      <c r="F125">
        <v>116</v>
      </c>
      <c r="G125">
        <v>122</v>
      </c>
    </row>
    <row r="126" spans="1:7" x14ac:dyDescent="0.3">
      <c r="A126" s="2">
        <v>125</v>
      </c>
      <c r="B126">
        <v>0.2576</v>
      </c>
      <c r="C126">
        <v>0.47</v>
      </c>
      <c r="D126" s="2">
        <v>0</v>
      </c>
      <c r="E126">
        <v>3</v>
      </c>
      <c r="F126">
        <v>42</v>
      </c>
      <c r="G126">
        <v>45</v>
      </c>
    </row>
    <row r="127" spans="1:7" x14ac:dyDescent="0.3">
      <c r="A127" s="2">
        <v>126</v>
      </c>
      <c r="B127">
        <v>0.2576</v>
      </c>
      <c r="C127">
        <v>0.44</v>
      </c>
      <c r="D127" s="2">
        <v>8.9599999999999999E-2</v>
      </c>
      <c r="E127">
        <v>2</v>
      </c>
      <c r="F127">
        <v>57</v>
      </c>
      <c r="G127">
        <v>59</v>
      </c>
    </row>
    <row r="128" spans="1:7" x14ac:dyDescent="0.3">
      <c r="A128" s="2">
        <v>127</v>
      </c>
      <c r="B128">
        <v>0.28789999999999999</v>
      </c>
      <c r="C128">
        <v>0.35</v>
      </c>
      <c r="D128" s="2">
        <v>0</v>
      </c>
      <c r="E128">
        <v>6</v>
      </c>
      <c r="F128">
        <v>78</v>
      </c>
      <c r="G128">
        <v>84</v>
      </c>
    </row>
    <row r="129" spans="1:7" x14ac:dyDescent="0.3">
      <c r="A129" s="2">
        <v>128</v>
      </c>
      <c r="B129">
        <v>0.2727</v>
      </c>
      <c r="C129">
        <v>0.35</v>
      </c>
      <c r="D129" s="2">
        <v>0.1045</v>
      </c>
      <c r="E129">
        <v>12</v>
      </c>
      <c r="F129">
        <v>55</v>
      </c>
      <c r="G129">
        <v>67</v>
      </c>
    </row>
    <row r="130" spans="1:7" x14ac:dyDescent="0.3">
      <c r="A130" s="2">
        <v>129</v>
      </c>
      <c r="B130">
        <v>0.2727</v>
      </c>
      <c r="C130">
        <v>0.36</v>
      </c>
      <c r="D130" s="2">
        <v>0.16420000000000001</v>
      </c>
      <c r="E130">
        <v>11</v>
      </c>
      <c r="F130">
        <v>59</v>
      </c>
      <c r="G130">
        <v>70</v>
      </c>
    </row>
    <row r="131" spans="1:7" x14ac:dyDescent="0.3">
      <c r="A131" s="2">
        <v>130</v>
      </c>
      <c r="B131">
        <v>0.2727</v>
      </c>
      <c r="C131">
        <v>0.36</v>
      </c>
      <c r="D131" s="2">
        <v>0</v>
      </c>
      <c r="E131">
        <v>8</v>
      </c>
      <c r="F131">
        <v>54</v>
      </c>
      <c r="G131">
        <v>62</v>
      </c>
    </row>
    <row r="132" spans="1:7" x14ac:dyDescent="0.3">
      <c r="A132" s="2">
        <v>131</v>
      </c>
      <c r="B132">
        <v>0.2576</v>
      </c>
      <c r="C132">
        <v>0.38</v>
      </c>
      <c r="D132" s="2">
        <v>0.16420000000000001</v>
      </c>
      <c r="E132">
        <v>12</v>
      </c>
      <c r="F132">
        <v>74</v>
      </c>
      <c r="G132">
        <v>86</v>
      </c>
    </row>
    <row r="133" spans="1:7" x14ac:dyDescent="0.3">
      <c r="A133" s="2">
        <v>132</v>
      </c>
      <c r="B133">
        <v>0.2273</v>
      </c>
      <c r="C133">
        <v>0.51</v>
      </c>
      <c r="D133" s="2">
        <v>0.16420000000000001</v>
      </c>
      <c r="E133">
        <v>9</v>
      </c>
      <c r="F133">
        <v>163</v>
      </c>
      <c r="G133">
        <v>172</v>
      </c>
    </row>
    <row r="134" spans="1:7" x14ac:dyDescent="0.3">
      <c r="A134" s="2">
        <v>133</v>
      </c>
      <c r="B134">
        <v>0.2273</v>
      </c>
      <c r="C134">
        <v>0.51</v>
      </c>
      <c r="D134" s="2">
        <v>0.1343</v>
      </c>
      <c r="E134">
        <v>5</v>
      </c>
      <c r="F134">
        <v>158</v>
      </c>
      <c r="G134">
        <v>163</v>
      </c>
    </row>
    <row r="135" spans="1:7" x14ac:dyDescent="0.3">
      <c r="A135" s="2">
        <v>134</v>
      </c>
      <c r="B135">
        <v>0.2576</v>
      </c>
      <c r="C135">
        <v>0.55000000000000004</v>
      </c>
      <c r="D135" s="2">
        <v>8.9599999999999999E-2</v>
      </c>
      <c r="E135">
        <v>3</v>
      </c>
      <c r="F135">
        <v>109</v>
      </c>
      <c r="G135">
        <v>112</v>
      </c>
    </row>
    <row r="136" spans="1:7" x14ac:dyDescent="0.3">
      <c r="A136" s="2">
        <v>135</v>
      </c>
      <c r="B136">
        <v>0.21210000000000001</v>
      </c>
      <c r="C136">
        <v>0.51</v>
      </c>
      <c r="D136" s="2">
        <v>0.16420000000000001</v>
      </c>
      <c r="E136">
        <v>3</v>
      </c>
      <c r="F136">
        <v>66</v>
      </c>
      <c r="G136">
        <v>69</v>
      </c>
    </row>
    <row r="137" spans="1:7" x14ac:dyDescent="0.3">
      <c r="A137" s="2">
        <v>136</v>
      </c>
      <c r="B137">
        <v>0.21210000000000001</v>
      </c>
      <c r="C137">
        <v>0.55000000000000004</v>
      </c>
      <c r="D137" s="2">
        <v>0.22389999999999999</v>
      </c>
      <c r="E137">
        <v>0</v>
      </c>
      <c r="F137">
        <v>48</v>
      </c>
      <c r="G137">
        <v>48</v>
      </c>
    </row>
    <row r="138" spans="1:7" x14ac:dyDescent="0.3">
      <c r="A138" s="2">
        <v>137</v>
      </c>
      <c r="B138">
        <v>0.21210000000000001</v>
      </c>
      <c r="C138">
        <v>0.51</v>
      </c>
      <c r="D138" s="2">
        <v>0.28360000000000002</v>
      </c>
      <c r="E138">
        <v>1</v>
      </c>
      <c r="F138">
        <v>51</v>
      </c>
      <c r="G138">
        <v>52</v>
      </c>
    </row>
    <row r="139" spans="1:7" x14ac:dyDescent="0.3">
      <c r="A139" s="2">
        <v>138</v>
      </c>
      <c r="B139">
        <v>0.19700000000000001</v>
      </c>
      <c r="C139">
        <v>0.59</v>
      </c>
      <c r="D139" s="2">
        <v>0.19400000000000001</v>
      </c>
      <c r="E139">
        <v>4</v>
      </c>
      <c r="F139">
        <v>19</v>
      </c>
      <c r="G139">
        <v>23</v>
      </c>
    </row>
    <row r="140" spans="1:7" x14ac:dyDescent="0.3">
      <c r="A140" s="2">
        <v>139</v>
      </c>
      <c r="B140">
        <v>0.19700000000000001</v>
      </c>
      <c r="C140">
        <v>0.64</v>
      </c>
      <c r="D140" s="2">
        <v>0.19400000000000001</v>
      </c>
      <c r="E140">
        <v>4</v>
      </c>
      <c r="F140">
        <v>13</v>
      </c>
      <c r="G140">
        <v>17</v>
      </c>
    </row>
    <row r="141" spans="1:7" x14ac:dyDescent="0.3">
      <c r="A141" s="2">
        <v>140</v>
      </c>
      <c r="B141">
        <v>0.19700000000000001</v>
      </c>
      <c r="C141">
        <v>0.69</v>
      </c>
      <c r="D141" s="2">
        <v>0.22389999999999999</v>
      </c>
      <c r="E141">
        <v>2</v>
      </c>
      <c r="F141">
        <v>5</v>
      </c>
      <c r="G141">
        <v>7</v>
      </c>
    </row>
    <row r="142" spans="1:7" x14ac:dyDescent="0.3">
      <c r="A142" s="2">
        <v>141</v>
      </c>
      <c r="B142">
        <v>0.19700000000000001</v>
      </c>
      <c r="C142">
        <v>0.69</v>
      </c>
      <c r="D142" s="2">
        <v>0.22389999999999999</v>
      </c>
      <c r="E142">
        <v>0</v>
      </c>
      <c r="F142">
        <v>1</v>
      </c>
      <c r="G142">
        <v>1</v>
      </c>
    </row>
    <row r="143" spans="1:7" x14ac:dyDescent="0.3">
      <c r="A143" s="2">
        <v>142</v>
      </c>
      <c r="B143">
        <v>0.21210000000000001</v>
      </c>
      <c r="C143">
        <v>0.69</v>
      </c>
      <c r="D143" s="2">
        <v>0.1343</v>
      </c>
      <c r="E143">
        <v>0</v>
      </c>
      <c r="F143">
        <v>1</v>
      </c>
      <c r="G143">
        <v>1</v>
      </c>
    </row>
    <row r="144" spans="1:7" x14ac:dyDescent="0.3">
      <c r="A144" s="2">
        <v>143</v>
      </c>
      <c r="B144">
        <v>0.2727</v>
      </c>
      <c r="C144">
        <v>0.55000000000000004</v>
      </c>
      <c r="D144" s="2">
        <v>0</v>
      </c>
      <c r="E144">
        <v>0</v>
      </c>
      <c r="F144">
        <v>5</v>
      </c>
      <c r="G144">
        <v>5</v>
      </c>
    </row>
    <row r="145" spans="1:7" x14ac:dyDescent="0.3">
      <c r="A145" s="2">
        <v>144</v>
      </c>
      <c r="B145">
        <v>0.2576</v>
      </c>
      <c r="C145">
        <v>0.69</v>
      </c>
      <c r="D145" s="2">
        <v>0</v>
      </c>
      <c r="E145">
        <v>8</v>
      </c>
      <c r="F145">
        <v>26</v>
      </c>
      <c r="G145">
        <v>34</v>
      </c>
    </row>
    <row r="146" spans="1:7" x14ac:dyDescent="0.3">
      <c r="A146" s="2">
        <v>145</v>
      </c>
      <c r="B146">
        <v>0.21210000000000001</v>
      </c>
      <c r="C146">
        <v>0.69</v>
      </c>
      <c r="D146" s="2">
        <v>0.1343</v>
      </c>
      <c r="E146">
        <v>8</v>
      </c>
      <c r="F146">
        <v>76</v>
      </c>
      <c r="G146">
        <v>84</v>
      </c>
    </row>
    <row r="147" spans="1:7" x14ac:dyDescent="0.3">
      <c r="A147" s="2">
        <v>146</v>
      </c>
      <c r="B147">
        <v>0.19700000000000001</v>
      </c>
      <c r="C147">
        <v>0.51</v>
      </c>
      <c r="D147" s="2">
        <v>0.25369999999999998</v>
      </c>
      <c r="E147">
        <v>20</v>
      </c>
      <c r="F147">
        <v>190</v>
      </c>
      <c r="G147">
        <v>210</v>
      </c>
    </row>
    <row r="148" spans="1:7" x14ac:dyDescent="0.3">
      <c r="A148" s="2">
        <v>147</v>
      </c>
      <c r="B148">
        <v>0.18179999999999999</v>
      </c>
      <c r="C148">
        <v>0.47</v>
      </c>
      <c r="D148" s="2">
        <v>0.29849999999999999</v>
      </c>
      <c r="E148">
        <v>9</v>
      </c>
      <c r="F148">
        <v>125</v>
      </c>
      <c r="G148">
        <v>134</v>
      </c>
    </row>
    <row r="149" spans="1:7" x14ac:dyDescent="0.3">
      <c r="A149" s="2">
        <v>148</v>
      </c>
      <c r="B149">
        <v>0.19700000000000001</v>
      </c>
      <c r="C149">
        <v>0.37</v>
      </c>
      <c r="D149" s="2">
        <v>0.32840000000000003</v>
      </c>
      <c r="E149">
        <v>16</v>
      </c>
      <c r="F149">
        <v>47</v>
      </c>
      <c r="G149">
        <v>63</v>
      </c>
    </row>
    <row r="150" spans="1:7" x14ac:dyDescent="0.3">
      <c r="A150" s="2">
        <v>149</v>
      </c>
      <c r="B150">
        <v>0.19700000000000001</v>
      </c>
      <c r="C150">
        <v>0.4</v>
      </c>
      <c r="D150" s="2">
        <v>0.22389999999999999</v>
      </c>
      <c r="E150">
        <v>19</v>
      </c>
      <c r="F150">
        <v>48</v>
      </c>
      <c r="G150">
        <v>67</v>
      </c>
    </row>
    <row r="151" spans="1:7" x14ac:dyDescent="0.3">
      <c r="A151" s="2">
        <v>150</v>
      </c>
      <c r="B151">
        <v>0.19700000000000001</v>
      </c>
      <c r="C151">
        <v>0.37</v>
      </c>
      <c r="D151" s="2">
        <v>0.25369999999999998</v>
      </c>
      <c r="E151">
        <v>9</v>
      </c>
      <c r="F151">
        <v>50</v>
      </c>
      <c r="G151">
        <v>59</v>
      </c>
    </row>
    <row r="152" spans="1:7" x14ac:dyDescent="0.3">
      <c r="A152" s="2">
        <v>151</v>
      </c>
      <c r="B152">
        <v>0.18179999999999999</v>
      </c>
      <c r="C152">
        <v>0.37</v>
      </c>
      <c r="D152" s="2">
        <v>0.28360000000000002</v>
      </c>
      <c r="E152">
        <v>9</v>
      </c>
      <c r="F152">
        <v>64</v>
      </c>
      <c r="G152">
        <v>73</v>
      </c>
    </row>
    <row r="153" spans="1:7" x14ac:dyDescent="0.3">
      <c r="A153" s="2">
        <v>152</v>
      </c>
      <c r="B153">
        <v>0.19700000000000001</v>
      </c>
      <c r="C153">
        <v>0.4</v>
      </c>
      <c r="D153" s="2">
        <v>0.25369999999999998</v>
      </c>
      <c r="E153">
        <v>7</v>
      </c>
      <c r="F153">
        <v>43</v>
      </c>
      <c r="G153">
        <v>50</v>
      </c>
    </row>
    <row r="154" spans="1:7" x14ac:dyDescent="0.3">
      <c r="A154" s="2">
        <v>153</v>
      </c>
      <c r="B154">
        <v>0.21210000000000001</v>
      </c>
      <c r="C154">
        <v>0.37</v>
      </c>
      <c r="D154" s="2">
        <v>0.16420000000000001</v>
      </c>
      <c r="E154">
        <v>9</v>
      </c>
      <c r="F154">
        <v>63</v>
      </c>
      <c r="G154">
        <v>72</v>
      </c>
    </row>
    <row r="155" spans="1:7" x14ac:dyDescent="0.3">
      <c r="A155" s="2">
        <v>154</v>
      </c>
      <c r="B155">
        <v>0.21210000000000001</v>
      </c>
      <c r="C155">
        <v>0.37</v>
      </c>
      <c r="D155" s="2">
        <v>0.16420000000000001</v>
      </c>
      <c r="E155">
        <v>5</v>
      </c>
      <c r="F155">
        <v>82</v>
      </c>
      <c r="G155">
        <v>87</v>
      </c>
    </row>
    <row r="156" spans="1:7" x14ac:dyDescent="0.3">
      <c r="A156" s="2">
        <v>155</v>
      </c>
      <c r="B156">
        <v>0.2576</v>
      </c>
      <c r="C156">
        <v>0.37</v>
      </c>
      <c r="D156" s="2">
        <v>0</v>
      </c>
      <c r="E156">
        <v>9</v>
      </c>
      <c r="F156">
        <v>178</v>
      </c>
      <c r="G156">
        <v>187</v>
      </c>
    </row>
    <row r="157" spans="1:7" x14ac:dyDescent="0.3">
      <c r="A157" s="2">
        <v>156</v>
      </c>
      <c r="B157">
        <v>0.2273</v>
      </c>
      <c r="C157">
        <v>0.4</v>
      </c>
      <c r="D157" s="2">
        <v>8.9599999999999999E-2</v>
      </c>
      <c r="E157">
        <v>7</v>
      </c>
      <c r="F157">
        <v>116</v>
      </c>
      <c r="G157">
        <v>123</v>
      </c>
    </row>
    <row r="158" spans="1:7" x14ac:dyDescent="0.3">
      <c r="A158" s="2">
        <v>157</v>
      </c>
      <c r="B158">
        <v>0.19700000000000001</v>
      </c>
      <c r="C158">
        <v>0.55000000000000004</v>
      </c>
      <c r="D158" s="2">
        <v>8.9599999999999999E-2</v>
      </c>
      <c r="E158">
        <v>3</v>
      </c>
      <c r="F158">
        <v>92</v>
      </c>
      <c r="G158">
        <v>95</v>
      </c>
    </row>
    <row r="159" spans="1:7" x14ac:dyDescent="0.3">
      <c r="A159" s="2">
        <v>158</v>
      </c>
      <c r="B159">
        <v>0.21210000000000001</v>
      </c>
      <c r="C159">
        <v>0.47</v>
      </c>
      <c r="D159" s="2">
        <v>0.1045</v>
      </c>
      <c r="E159">
        <v>1</v>
      </c>
      <c r="F159">
        <v>50</v>
      </c>
      <c r="G159">
        <v>51</v>
      </c>
    </row>
    <row r="160" spans="1:7" x14ac:dyDescent="0.3">
      <c r="A160" s="2">
        <v>159</v>
      </c>
      <c r="B160">
        <v>0.19700000000000001</v>
      </c>
      <c r="C160">
        <v>0.47</v>
      </c>
      <c r="D160" s="2">
        <v>0.1343</v>
      </c>
      <c r="E160">
        <v>0</v>
      </c>
      <c r="F160">
        <v>39</v>
      </c>
      <c r="G160">
        <v>39</v>
      </c>
    </row>
    <row r="161" spans="1:7" x14ac:dyDescent="0.3">
      <c r="A161" s="2">
        <v>160</v>
      </c>
      <c r="B161">
        <v>0.19700000000000001</v>
      </c>
      <c r="C161">
        <v>0.43</v>
      </c>
      <c r="D161" s="2">
        <v>0.16420000000000001</v>
      </c>
      <c r="E161">
        <v>2</v>
      </c>
      <c r="F161">
        <v>34</v>
      </c>
      <c r="G161">
        <v>36</v>
      </c>
    </row>
    <row r="162" spans="1:7" x14ac:dyDescent="0.3">
      <c r="A162" s="2">
        <v>161</v>
      </c>
      <c r="B162">
        <v>0.19700000000000001</v>
      </c>
      <c r="C162">
        <v>0.51</v>
      </c>
      <c r="D162" s="2">
        <v>0.16420000000000001</v>
      </c>
      <c r="E162">
        <v>1</v>
      </c>
      <c r="F162">
        <v>14</v>
      </c>
      <c r="G162">
        <v>15</v>
      </c>
    </row>
    <row r="163" spans="1:7" x14ac:dyDescent="0.3">
      <c r="A163" s="2">
        <v>162</v>
      </c>
      <c r="B163">
        <v>0.19700000000000001</v>
      </c>
      <c r="C163">
        <v>0.51</v>
      </c>
      <c r="D163" s="2">
        <v>0.16420000000000001</v>
      </c>
      <c r="E163">
        <v>1</v>
      </c>
      <c r="F163">
        <v>24</v>
      </c>
      <c r="G163">
        <v>25</v>
      </c>
    </row>
    <row r="164" spans="1:7" x14ac:dyDescent="0.3">
      <c r="A164" s="2">
        <v>163</v>
      </c>
      <c r="B164">
        <v>0.21210000000000001</v>
      </c>
      <c r="C164">
        <v>0.55000000000000004</v>
      </c>
      <c r="D164" s="2">
        <v>8.9599999999999999E-2</v>
      </c>
      <c r="E164">
        <v>1</v>
      </c>
      <c r="F164">
        <v>15</v>
      </c>
      <c r="G164">
        <v>16</v>
      </c>
    </row>
    <row r="165" spans="1:7" x14ac:dyDescent="0.3">
      <c r="A165" s="2">
        <v>164</v>
      </c>
      <c r="B165">
        <v>0.2424</v>
      </c>
      <c r="C165">
        <v>0.55000000000000004</v>
      </c>
      <c r="D165" s="2">
        <v>0</v>
      </c>
      <c r="E165">
        <v>3</v>
      </c>
      <c r="F165">
        <v>13</v>
      </c>
      <c r="G165">
        <v>16</v>
      </c>
    </row>
    <row r="166" spans="1:7" x14ac:dyDescent="0.3">
      <c r="A166" s="2">
        <v>165</v>
      </c>
      <c r="B166">
        <v>0.19700000000000001</v>
      </c>
      <c r="C166">
        <v>0.55000000000000004</v>
      </c>
      <c r="D166" s="2">
        <v>0.16420000000000001</v>
      </c>
      <c r="E166">
        <v>0</v>
      </c>
      <c r="F166">
        <v>7</v>
      </c>
      <c r="G166">
        <v>7</v>
      </c>
    </row>
    <row r="167" spans="1:7" x14ac:dyDescent="0.3">
      <c r="A167" s="2">
        <v>166</v>
      </c>
      <c r="B167">
        <v>0.19700000000000001</v>
      </c>
      <c r="C167">
        <v>0.55000000000000004</v>
      </c>
      <c r="D167" s="2">
        <v>0.16420000000000001</v>
      </c>
      <c r="E167">
        <v>0</v>
      </c>
      <c r="F167">
        <v>1</v>
      </c>
      <c r="G167">
        <v>1</v>
      </c>
    </row>
    <row r="168" spans="1:7" x14ac:dyDescent="0.3">
      <c r="A168" s="2">
        <v>167</v>
      </c>
      <c r="B168">
        <v>0.16669999999999999</v>
      </c>
      <c r="C168">
        <v>0.74</v>
      </c>
      <c r="D168" s="2">
        <v>0.16420000000000001</v>
      </c>
      <c r="E168">
        <v>0</v>
      </c>
      <c r="F168">
        <v>5</v>
      </c>
      <c r="G168">
        <v>5</v>
      </c>
    </row>
    <row r="169" spans="1:7" x14ac:dyDescent="0.3">
      <c r="A169" s="2">
        <v>168</v>
      </c>
      <c r="B169">
        <v>0.16669999999999999</v>
      </c>
      <c r="C169">
        <v>0.74</v>
      </c>
      <c r="D169" s="2">
        <v>0.16420000000000001</v>
      </c>
      <c r="E169">
        <v>0</v>
      </c>
      <c r="F169">
        <v>2</v>
      </c>
      <c r="G169">
        <v>2</v>
      </c>
    </row>
    <row r="170" spans="1:7" x14ac:dyDescent="0.3">
      <c r="A170" s="2">
        <v>169</v>
      </c>
      <c r="B170">
        <v>0.18179999999999999</v>
      </c>
      <c r="C170">
        <v>0.74</v>
      </c>
      <c r="D170" s="2">
        <v>0.1045</v>
      </c>
      <c r="E170">
        <v>1</v>
      </c>
      <c r="F170">
        <v>8</v>
      </c>
      <c r="G170">
        <v>9</v>
      </c>
    </row>
    <row r="171" spans="1:7" x14ac:dyDescent="0.3">
      <c r="A171" s="2">
        <v>170</v>
      </c>
      <c r="B171">
        <v>0.18179999999999999</v>
      </c>
      <c r="C171">
        <v>0.93</v>
      </c>
      <c r="D171" s="2">
        <v>0.1045</v>
      </c>
      <c r="E171">
        <v>0</v>
      </c>
      <c r="F171">
        <v>15</v>
      </c>
      <c r="G171">
        <v>15</v>
      </c>
    </row>
    <row r="172" spans="1:7" x14ac:dyDescent="0.3">
      <c r="A172" s="2">
        <v>171</v>
      </c>
      <c r="B172">
        <v>0.18179999999999999</v>
      </c>
      <c r="C172">
        <v>0.93</v>
      </c>
      <c r="D172" s="2">
        <v>0.1045</v>
      </c>
      <c r="E172">
        <v>0</v>
      </c>
      <c r="F172">
        <v>20</v>
      </c>
      <c r="G172">
        <v>20</v>
      </c>
    </row>
    <row r="173" spans="1:7" x14ac:dyDescent="0.3">
      <c r="A173" s="2">
        <v>172</v>
      </c>
      <c r="B173">
        <v>0.19700000000000001</v>
      </c>
      <c r="C173">
        <v>0.8</v>
      </c>
      <c r="D173" s="2">
        <v>0.16420000000000001</v>
      </c>
      <c r="E173">
        <v>5</v>
      </c>
      <c r="F173">
        <v>56</v>
      </c>
      <c r="G173">
        <v>61</v>
      </c>
    </row>
    <row r="174" spans="1:7" x14ac:dyDescent="0.3">
      <c r="A174" s="2">
        <v>173</v>
      </c>
      <c r="B174">
        <v>0.18179999999999999</v>
      </c>
      <c r="C174">
        <v>0.69</v>
      </c>
      <c r="D174" s="2">
        <v>0.3881</v>
      </c>
      <c r="E174">
        <v>2</v>
      </c>
      <c r="F174">
        <v>60</v>
      </c>
      <c r="G174">
        <v>62</v>
      </c>
    </row>
    <row r="175" spans="1:7" x14ac:dyDescent="0.3">
      <c r="A175" s="2">
        <v>174</v>
      </c>
      <c r="B175">
        <v>0.18179999999999999</v>
      </c>
      <c r="C175">
        <v>0.59</v>
      </c>
      <c r="D175" s="2">
        <v>0.35820000000000002</v>
      </c>
      <c r="E175">
        <v>8</v>
      </c>
      <c r="F175">
        <v>90</v>
      </c>
      <c r="G175">
        <v>98</v>
      </c>
    </row>
    <row r="176" spans="1:7" x14ac:dyDescent="0.3">
      <c r="A176" s="2">
        <v>175</v>
      </c>
      <c r="B176">
        <v>0.18179999999999999</v>
      </c>
      <c r="C176">
        <v>0.44</v>
      </c>
      <c r="D176" s="2">
        <v>0.32840000000000003</v>
      </c>
      <c r="E176">
        <v>7</v>
      </c>
      <c r="F176">
        <v>95</v>
      </c>
      <c r="G176">
        <v>102</v>
      </c>
    </row>
    <row r="177" spans="1:7" x14ac:dyDescent="0.3">
      <c r="A177" s="2">
        <v>176</v>
      </c>
      <c r="B177">
        <v>0.16669999999999999</v>
      </c>
      <c r="C177">
        <v>0.32</v>
      </c>
      <c r="D177" s="2">
        <v>0.49249999999999999</v>
      </c>
      <c r="E177">
        <v>12</v>
      </c>
      <c r="F177">
        <v>83</v>
      </c>
      <c r="G177">
        <v>95</v>
      </c>
    </row>
    <row r="178" spans="1:7" x14ac:dyDescent="0.3">
      <c r="A178" s="2">
        <v>177</v>
      </c>
      <c r="B178">
        <v>0.16669999999999999</v>
      </c>
      <c r="C178">
        <v>0.32</v>
      </c>
      <c r="D178" s="2">
        <v>0.44779999999999998</v>
      </c>
      <c r="E178">
        <v>5</v>
      </c>
      <c r="F178">
        <v>69</v>
      </c>
      <c r="G178">
        <v>74</v>
      </c>
    </row>
    <row r="179" spans="1:7" x14ac:dyDescent="0.3">
      <c r="A179" s="2">
        <v>178</v>
      </c>
      <c r="B179">
        <v>0.13639999999999999</v>
      </c>
      <c r="C179">
        <v>0.28999999999999998</v>
      </c>
      <c r="D179" s="2">
        <v>0.44779999999999998</v>
      </c>
      <c r="E179">
        <v>8</v>
      </c>
      <c r="F179">
        <v>68</v>
      </c>
      <c r="G179">
        <v>76</v>
      </c>
    </row>
    <row r="180" spans="1:7" x14ac:dyDescent="0.3">
      <c r="A180" s="2">
        <v>179</v>
      </c>
      <c r="B180">
        <v>0.1212</v>
      </c>
      <c r="C180">
        <v>0.37</v>
      </c>
      <c r="D180" s="2">
        <v>0.55220000000000002</v>
      </c>
      <c r="E180">
        <v>5</v>
      </c>
      <c r="F180">
        <v>64</v>
      </c>
      <c r="G180">
        <v>69</v>
      </c>
    </row>
    <row r="181" spans="1:7" x14ac:dyDescent="0.3">
      <c r="A181" s="2">
        <v>180</v>
      </c>
      <c r="B181">
        <v>0.1212</v>
      </c>
      <c r="C181">
        <v>0.39</v>
      </c>
      <c r="D181" s="2">
        <v>0.29849999999999999</v>
      </c>
      <c r="E181">
        <v>3</v>
      </c>
      <c r="F181">
        <v>52</v>
      </c>
      <c r="G181">
        <v>55</v>
      </c>
    </row>
    <row r="182" spans="1:7" x14ac:dyDescent="0.3">
      <c r="A182" s="2">
        <v>181</v>
      </c>
      <c r="B182">
        <v>0.1212</v>
      </c>
      <c r="C182">
        <v>0.36</v>
      </c>
      <c r="D182" s="2">
        <v>0.25369999999999998</v>
      </c>
      <c r="E182">
        <v>4</v>
      </c>
      <c r="F182">
        <v>26</v>
      </c>
      <c r="G182">
        <v>30</v>
      </c>
    </row>
    <row r="183" spans="1:7" x14ac:dyDescent="0.3">
      <c r="A183" s="2">
        <v>182</v>
      </c>
      <c r="B183">
        <v>0.1212</v>
      </c>
      <c r="C183">
        <v>0.36</v>
      </c>
      <c r="D183" s="2">
        <v>0.25369999999999998</v>
      </c>
      <c r="E183">
        <v>0</v>
      </c>
      <c r="F183">
        <v>28</v>
      </c>
      <c r="G183">
        <v>28</v>
      </c>
    </row>
    <row r="184" spans="1:7" x14ac:dyDescent="0.3">
      <c r="A184" s="2">
        <v>183</v>
      </c>
      <c r="B184">
        <v>0.1061</v>
      </c>
      <c r="C184">
        <v>0.39</v>
      </c>
      <c r="D184" s="2">
        <v>0.35820000000000002</v>
      </c>
      <c r="E184">
        <v>2</v>
      </c>
      <c r="F184">
        <v>35</v>
      </c>
      <c r="G184">
        <v>37</v>
      </c>
    </row>
    <row r="185" spans="1:7" x14ac:dyDescent="0.3">
      <c r="A185" s="2">
        <v>184</v>
      </c>
      <c r="B185">
        <v>0.1061</v>
      </c>
      <c r="C185">
        <v>0.36</v>
      </c>
      <c r="D185" s="2">
        <v>0.3881</v>
      </c>
      <c r="E185">
        <v>1</v>
      </c>
      <c r="F185">
        <v>33</v>
      </c>
      <c r="G185">
        <v>34</v>
      </c>
    </row>
    <row r="186" spans="1:7" x14ac:dyDescent="0.3">
      <c r="A186" s="2">
        <v>185</v>
      </c>
      <c r="B186">
        <v>6.0600000000000001E-2</v>
      </c>
      <c r="C186">
        <v>0.39</v>
      </c>
      <c r="D186" s="2">
        <v>0.44779999999999998</v>
      </c>
      <c r="E186">
        <v>0</v>
      </c>
      <c r="F186">
        <v>22</v>
      </c>
      <c r="G186">
        <v>22</v>
      </c>
    </row>
    <row r="187" spans="1:7" x14ac:dyDescent="0.3">
      <c r="A187" s="2">
        <v>186</v>
      </c>
      <c r="B187">
        <v>7.5800000000000006E-2</v>
      </c>
      <c r="C187">
        <v>0.42</v>
      </c>
      <c r="D187" s="2">
        <v>0.3881</v>
      </c>
      <c r="E187">
        <v>1</v>
      </c>
      <c r="F187">
        <v>24</v>
      </c>
      <c r="G187">
        <v>25</v>
      </c>
    </row>
    <row r="188" spans="1:7" x14ac:dyDescent="0.3">
      <c r="A188" s="2">
        <v>187</v>
      </c>
      <c r="B188">
        <v>6.0600000000000001E-2</v>
      </c>
      <c r="C188">
        <v>0.42</v>
      </c>
      <c r="D188" s="2">
        <v>0.4627</v>
      </c>
      <c r="E188">
        <v>0</v>
      </c>
      <c r="F188">
        <v>12</v>
      </c>
      <c r="G188">
        <v>12</v>
      </c>
    </row>
    <row r="189" spans="1:7" x14ac:dyDescent="0.3">
      <c r="A189" s="2">
        <v>188</v>
      </c>
      <c r="B189">
        <v>6.0600000000000001E-2</v>
      </c>
      <c r="C189">
        <v>0.46</v>
      </c>
      <c r="D189" s="2">
        <v>0.4627</v>
      </c>
      <c r="E189">
        <v>0</v>
      </c>
      <c r="F189">
        <v>11</v>
      </c>
      <c r="G189">
        <v>11</v>
      </c>
    </row>
    <row r="190" spans="1:7" x14ac:dyDescent="0.3">
      <c r="A190" s="2">
        <v>189</v>
      </c>
      <c r="B190">
        <v>7.5800000000000006E-2</v>
      </c>
      <c r="C190">
        <v>0.46</v>
      </c>
      <c r="D190" s="2">
        <v>0.41789999999999999</v>
      </c>
      <c r="E190">
        <v>0</v>
      </c>
      <c r="F190">
        <v>4</v>
      </c>
      <c r="G190">
        <v>4</v>
      </c>
    </row>
    <row r="191" spans="1:7" x14ac:dyDescent="0.3">
      <c r="A191" s="2">
        <v>190</v>
      </c>
      <c r="B191">
        <v>9.0899999999999995E-2</v>
      </c>
      <c r="C191">
        <v>0.53</v>
      </c>
      <c r="D191" s="2">
        <v>0.19400000000000001</v>
      </c>
      <c r="E191">
        <v>0</v>
      </c>
      <c r="F191">
        <v>1</v>
      </c>
      <c r="G191">
        <v>1</v>
      </c>
    </row>
    <row r="192" spans="1:7" x14ac:dyDescent="0.3">
      <c r="A192" s="2">
        <v>191</v>
      </c>
      <c r="B192">
        <v>9.0899999999999995E-2</v>
      </c>
      <c r="C192">
        <v>0.53</v>
      </c>
      <c r="D192" s="2">
        <v>0.19400000000000001</v>
      </c>
      <c r="E192">
        <v>0</v>
      </c>
      <c r="F192">
        <v>1</v>
      </c>
      <c r="G192">
        <v>1</v>
      </c>
    </row>
    <row r="193" spans="1:7" x14ac:dyDescent="0.3">
      <c r="A193" s="2">
        <v>192</v>
      </c>
      <c r="B193">
        <v>9.0899999999999995E-2</v>
      </c>
      <c r="C193">
        <v>0.49</v>
      </c>
      <c r="D193" s="2">
        <v>0.28360000000000002</v>
      </c>
      <c r="E193">
        <v>0</v>
      </c>
      <c r="F193">
        <v>1</v>
      </c>
      <c r="G193">
        <v>1</v>
      </c>
    </row>
    <row r="194" spans="1:7" x14ac:dyDescent="0.3">
      <c r="A194" s="2">
        <v>193</v>
      </c>
      <c r="B194">
        <v>9.0899999999999995E-2</v>
      </c>
      <c r="C194">
        <v>0.53</v>
      </c>
      <c r="D194" s="2">
        <v>0.19400000000000001</v>
      </c>
      <c r="E194">
        <v>1</v>
      </c>
      <c r="F194">
        <v>5</v>
      </c>
      <c r="G194">
        <v>6</v>
      </c>
    </row>
    <row r="195" spans="1:7" x14ac:dyDescent="0.3">
      <c r="A195" s="2">
        <v>194</v>
      </c>
      <c r="B195">
        <v>9.0899999999999995E-2</v>
      </c>
      <c r="C195">
        <v>0.49</v>
      </c>
      <c r="D195" s="2">
        <v>0.28360000000000002</v>
      </c>
      <c r="E195">
        <v>0</v>
      </c>
      <c r="F195">
        <v>10</v>
      </c>
      <c r="G195">
        <v>10</v>
      </c>
    </row>
    <row r="196" spans="1:7" x14ac:dyDescent="0.3">
      <c r="A196" s="2">
        <v>195</v>
      </c>
      <c r="B196">
        <v>7.5800000000000006E-2</v>
      </c>
      <c r="C196">
        <v>0.46</v>
      </c>
      <c r="D196" s="2">
        <v>0.52239999999999998</v>
      </c>
      <c r="E196">
        <v>0</v>
      </c>
      <c r="F196">
        <v>19</v>
      </c>
      <c r="G196">
        <v>19</v>
      </c>
    </row>
    <row r="197" spans="1:7" x14ac:dyDescent="0.3">
      <c r="A197" s="2">
        <v>196</v>
      </c>
      <c r="B197">
        <v>0.1061</v>
      </c>
      <c r="C197">
        <v>0.43</v>
      </c>
      <c r="D197" s="2">
        <v>0.3881</v>
      </c>
      <c r="E197">
        <v>0</v>
      </c>
      <c r="F197">
        <v>49</v>
      </c>
      <c r="G197">
        <v>49</v>
      </c>
    </row>
    <row r="198" spans="1:7" x14ac:dyDescent="0.3">
      <c r="A198" s="2">
        <v>197</v>
      </c>
      <c r="B198">
        <v>0.1212</v>
      </c>
      <c r="C198">
        <v>0.4</v>
      </c>
      <c r="D198" s="2">
        <v>0.52239999999999998</v>
      </c>
      <c r="E198">
        <v>2</v>
      </c>
      <c r="F198">
        <v>47</v>
      </c>
      <c r="G198">
        <v>49</v>
      </c>
    </row>
    <row r="199" spans="1:7" x14ac:dyDescent="0.3">
      <c r="A199" s="2">
        <v>198</v>
      </c>
      <c r="B199">
        <v>0.13639999999999999</v>
      </c>
      <c r="C199">
        <v>0.37</v>
      </c>
      <c r="D199" s="2">
        <v>0.44779999999999998</v>
      </c>
      <c r="E199">
        <v>4</v>
      </c>
      <c r="F199">
        <v>79</v>
      </c>
      <c r="G199">
        <v>83</v>
      </c>
    </row>
    <row r="200" spans="1:7" x14ac:dyDescent="0.3">
      <c r="A200" s="2">
        <v>199</v>
      </c>
      <c r="B200">
        <v>0.16669999999999999</v>
      </c>
      <c r="C200">
        <v>0.34</v>
      </c>
      <c r="D200" s="2">
        <v>0.44779999999999998</v>
      </c>
      <c r="E200">
        <v>6</v>
      </c>
      <c r="F200">
        <v>69</v>
      </c>
      <c r="G200">
        <v>75</v>
      </c>
    </row>
    <row r="201" spans="1:7" x14ac:dyDescent="0.3">
      <c r="A201" s="2">
        <v>200</v>
      </c>
      <c r="B201">
        <v>0.18179999999999999</v>
      </c>
      <c r="C201">
        <v>0.32</v>
      </c>
      <c r="D201" s="2">
        <v>0.4627</v>
      </c>
      <c r="E201">
        <v>8</v>
      </c>
      <c r="F201">
        <v>64</v>
      </c>
      <c r="G201">
        <v>72</v>
      </c>
    </row>
    <row r="202" spans="1:7" x14ac:dyDescent="0.3">
      <c r="A202" s="2">
        <v>201</v>
      </c>
      <c r="B202">
        <v>0.19700000000000001</v>
      </c>
      <c r="C202">
        <v>0.35</v>
      </c>
      <c r="D202" s="2">
        <v>0.35820000000000002</v>
      </c>
      <c r="E202">
        <v>5</v>
      </c>
      <c r="F202">
        <v>77</v>
      </c>
      <c r="G202">
        <v>82</v>
      </c>
    </row>
    <row r="203" spans="1:7" x14ac:dyDescent="0.3">
      <c r="A203" s="2">
        <v>202</v>
      </c>
      <c r="B203">
        <v>0.16669999999999999</v>
      </c>
      <c r="C203">
        <v>0.34</v>
      </c>
      <c r="D203" s="2">
        <v>0.44779999999999998</v>
      </c>
      <c r="E203">
        <v>13</v>
      </c>
      <c r="F203">
        <v>79</v>
      </c>
      <c r="G203">
        <v>92</v>
      </c>
    </row>
    <row r="204" spans="1:7" x14ac:dyDescent="0.3">
      <c r="A204" s="2">
        <v>203</v>
      </c>
      <c r="B204">
        <v>0.1515</v>
      </c>
      <c r="C204">
        <v>0.37</v>
      </c>
      <c r="D204" s="2">
        <v>0.3881</v>
      </c>
      <c r="E204">
        <v>3</v>
      </c>
      <c r="F204">
        <v>59</v>
      </c>
      <c r="G204">
        <v>62</v>
      </c>
    </row>
    <row r="205" spans="1:7" x14ac:dyDescent="0.3">
      <c r="A205" s="2">
        <v>204</v>
      </c>
      <c r="B205">
        <v>0.13639999999999999</v>
      </c>
      <c r="C205">
        <v>0.4</v>
      </c>
      <c r="D205" s="2">
        <v>0.32840000000000003</v>
      </c>
      <c r="E205">
        <v>4</v>
      </c>
      <c r="F205">
        <v>44</v>
      </c>
      <c r="G205">
        <v>48</v>
      </c>
    </row>
    <row r="206" spans="1:7" x14ac:dyDescent="0.3">
      <c r="A206" s="2">
        <v>205</v>
      </c>
      <c r="B206">
        <v>0.13639999999999999</v>
      </c>
      <c r="C206">
        <v>0.43</v>
      </c>
      <c r="D206" s="2">
        <v>0.32840000000000003</v>
      </c>
      <c r="E206">
        <v>1</v>
      </c>
      <c r="F206">
        <v>40</v>
      </c>
      <c r="G206">
        <v>41</v>
      </c>
    </row>
    <row r="207" spans="1:7" x14ac:dyDescent="0.3">
      <c r="A207" s="2">
        <v>206</v>
      </c>
      <c r="B207">
        <v>0.1212</v>
      </c>
      <c r="C207">
        <v>0.46</v>
      </c>
      <c r="D207" s="2">
        <v>0.25369999999999998</v>
      </c>
      <c r="E207">
        <v>0</v>
      </c>
      <c r="F207">
        <v>38</v>
      </c>
      <c r="G207">
        <v>38</v>
      </c>
    </row>
    <row r="208" spans="1:7" x14ac:dyDescent="0.3">
      <c r="A208" s="2">
        <v>207</v>
      </c>
      <c r="B208">
        <v>0.1061</v>
      </c>
      <c r="C208">
        <v>0.46</v>
      </c>
      <c r="D208" s="2">
        <v>0.41789999999999999</v>
      </c>
      <c r="E208">
        <v>1</v>
      </c>
      <c r="F208">
        <v>19</v>
      </c>
      <c r="G208">
        <v>20</v>
      </c>
    </row>
    <row r="209" spans="1:7" x14ac:dyDescent="0.3">
      <c r="A209" s="2">
        <v>208</v>
      </c>
      <c r="B209">
        <v>0.1212</v>
      </c>
      <c r="C209">
        <v>0.46</v>
      </c>
      <c r="D209" s="2">
        <v>0.29849999999999999</v>
      </c>
      <c r="E209">
        <v>5</v>
      </c>
      <c r="F209">
        <v>10</v>
      </c>
      <c r="G209">
        <v>15</v>
      </c>
    </row>
    <row r="210" spans="1:7" x14ac:dyDescent="0.3">
      <c r="A210" s="2">
        <v>209</v>
      </c>
      <c r="B210">
        <v>0.13639999999999999</v>
      </c>
      <c r="C210">
        <v>0.5</v>
      </c>
      <c r="D210" s="2">
        <v>0.19400000000000001</v>
      </c>
      <c r="E210">
        <v>0</v>
      </c>
      <c r="F210">
        <v>6</v>
      </c>
      <c r="G210">
        <v>6</v>
      </c>
    </row>
    <row r="211" spans="1:7" x14ac:dyDescent="0.3">
      <c r="A211" s="2">
        <v>210</v>
      </c>
      <c r="B211">
        <v>0.1212</v>
      </c>
      <c r="C211">
        <v>0.5</v>
      </c>
      <c r="D211" s="2">
        <v>0.28360000000000002</v>
      </c>
      <c r="E211">
        <v>2</v>
      </c>
      <c r="F211">
        <v>3</v>
      </c>
      <c r="G211">
        <v>5</v>
      </c>
    </row>
    <row r="212" spans="1:7" x14ac:dyDescent="0.3">
      <c r="A212" s="2">
        <v>211</v>
      </c>
      <c r="B212">
        <v>0.1212</v>
      </c>
      <c r="C212">
        <v>0.5</v>
      </c>
      <c r="D212" s="2">
        <v>0.28360000000000002</v>
      </c>
      <c r="E212">
        <v>1</v>
      </c>
      <c r="F212">
        <v>0</v>
      </c>
      <c r="G212">
        <v>1</v>
      </c>
    </row>
    <row r="213" spans="1:7" x14ac:dyDescent="0.3">
      <c r="A213" s="2">
        <v>212</v>
      </c>
      <c r="B213">
        <v>0.1212</v>
      </c>
      <c r="C213">
        <v>0.5</v>
      </c>
      <c r="D213" s="2">
        <v>0.22389999999999999</v>
      </c>
      <c r="E213">
        <v>0</v>
      </c>
      <c r="F213">
        <v>3</v>
      </c>
      <c r="G213">
        <v>3</v>
      </c>
    </row>
    <row r="214" spans="1:7" x14ac:dyDescent="0.3">
      <c r="A214" s="2">
        <v>213</v>
      </c>
      <c r="B214">
        <v>0.1212</v>
      </c>
      <c r="C214">
        <v>0.5</v>
      </c>
      <c r="D214" s="2">
        <v>0.22389999999999999</v>
      </c>
      <c r="E214">
        <v>0</v>
      </c>
      <c r="F214">
        <v>1</v>
      </c>
      <c r="G214">
        <v>1</v>
      </c>
    </row>
    <row r="215" spans="1:7" x14ac:dyDescent="0.3">
      <c r="A215" s="2">
        <v>214</v>
      </c>
      <c r="B215">
        <v>0.1212</v>
      </c>
      <c r="C215">
        <v>0.54</v>
      </c>
      <c r="D215" s="2">
        <v>0.1343</v>
      </c>
      <c r="E215">
        <v>1</v>
      </c>
      <c r="F215">
        <v>2</v>
      </c>
      <c r="G215">
        <v>3</v>
      </c>
    </row>
    <row r="216" spans="1:7" x14ac:dyDescent="0.3">
      <c r="A216" s="2">
        <v>215</v>
      </c>
      <c r="B216">
        <v>0.1061</v>
      </c>
      <c r="C216">
        <v>0.54</v>
      </c>
      <c r="D216" s="2">
        <v>0.25369999999999998</v>
      </c>
      <c r="E216">
        <v>0</v>
      </c>
      <c r="F216">
        <v>3</v>
      </c>
      <c r="G216">
        <v>3</v>
      </c>
    </row>
    <row r="217" spans="1:7" x14ac:dyDescent="0.3">
      <c r="A217" s="2">
        <v>216</v>
      </c>
      <c r="B217">
        <v>0.1212</v>
      </c>
      <c r="C217">
        <v>0.5</v>
      </c>
      <c r="D217" s="2">
        <v>0.28360000000000002</v>
      </c>
      <c r="E217">
        <v>0</v>
      </c>
      <c r="F217">
        <v>31</v>
      </c>
      <c r="G217">
        <v>31</v>
      </c>
    </row>
    <row r="218" spans="1:7" x14ac:dyDescent="0.3">
      <c r="A218" s="2">
        <v>217</v>
      </c>
      <c r="B218">
        <v>0.1212</v>
      </c>
      <c r="C218">
        <v>0.5</v>
      </c>
      <c r="D218" s="2">
        <v>0.22389999999999999</v>
      </c>
      <c r="E218">
        <v>2</v>
      </c>
      <c r="F218">
        <v>75</v>
      </c>
      <c r="G218">
        <v>77</v>
      </c>
    </row>
    <row r="219" spans="1:7" x14ac:dyDescent="0.3">
      <c r="A219" s="2">
        <v>218</v>
      </c>
      <c r="B219">
        <v>0.1212</v>
      </c>
      <c r="C219">
        <v>0.5</v>
      </c>
      <c r="D219" s="2">
        <v>0.28360000000000002</v>
      </c>
      <c r="E219">
        <v>4</v>
      </c>
      <c r="F219">
        <v>184</v>
      </c>
      <c r="G219">
        <v>188</v>
      </c>
    </row>
    <row r="220" spans="1:7" x14ac:dyDescent="0.3">
      <c r="A220" s="2">
        <v>219</v>
      </c>
      <c r="B220">
        <v>0.1212</v>
      </c>
      <c r="C220">
        <v>0.5</v>
      </c>
      <c r="D220" s="2">
        <v>0.25369999999999998</v>
      </c>
      <c r="E220">
        <v>2</v>
      </c>
      <c r="F220">
        <v>92</v>
      </c>
      <c r="G220">
        <v>94</v>
      </c>
    </row>
    <row r="221" spans="1:7" x14ac:dyDescent="0.3">
      <c r="A221" s="2">
        <v>220</v>
      </c>
      <c r="B221">
        <v>0.1212</v>
      </c>
      <c r="C221">
        <v>0.5</v>
      </c>
      <c r="D221" s="2">
        <v>0.29849999999999999</v>
      </c>
      <c r="E221">
        <v>0</v>
      </c>
      <c r="F221">
        <v>31</v>
      </c>
      <c r="G221">
        <v>31</v>
      </c>
    </row>
    <row r="222" spans="1:7" x14ac:dyDescent="0.3">
      <c r="A222" s="2">
        <v>221</v>
      </c>
      <c r="B222">
        <v>0.13639999999999999</v>
      </c>
      <c r="C222">
        <v>0.47</v>
      </c>
      <c r="D222" s="2">
        <v>0.28360000000000002</v>
      </c>
      <c r="E222">
        <v>2</v>
      </c>
      <c r="F222">
        <v>28</v>
      </c>
      <c r="G222">
        <v>30</v>
      </c>
    </row>
    <row r="223" spans="1:7" x14ac:dyDescent="0.3">
      <c r="A223" s="2">
        <v>222</v>
      </c>
      <c r="B223">
        <v>0.18179999999999999</v>
      </c>
      <c r="C223">
        <v>0.4</v>
      </c>
      <c r="D223" s="2">
        <v>0.28360000000000002</v>
      </c>
      <c r="E223">
        <v>5</v>
      </c>
      <c r="F223">
        <v>47</v>
      </c>
      <c r="G223">
        <v>52</v>
      </c>
    </row>
    <row r="224" spans="1:7" x14ac:dyDescent="0.3">
      <c r="A224" s="2">
        <v>223</v>
      </c>
      <c r="B224">
        <v>0.18179999999999999</v>
      </c>
      <c r="C224">
        <v>0.4</v>
      </c>
      <c r="D224" s="2">
        <v>0.28360000000000002</v>
      </c>
      <c r="E224">
        <v>4</v>
      </c>
      <c r="F224">
        <v>50</v>
      </c>
      <c r="G224">
        <v>54</v>
      </c>
    </row>
    <row r="225" spans="1:7" x14ac:dyDescent="0.3">
      <c r="A225" s="2">
        <v>224</v>
      </c>
      <c r="B225">
        <v>0.19700000000000001</v>
      </c>
      <c r="C225">
        <v>0.4</v>
      </c>
      <c r="D225" s="2">
        <v>0.22389999999999999</v>
      </c>
      <c r="E225">
        <v>0</v>
      </c>
      <c r="F225">
        <v>47</v>
      </c>
      <c r="G225">
        <v>47</v>
      </c>
    </row>
    <row r="226" spans="1:7" x14ac:dyDescent="0.3">
      <c r="A226" s="2">
        <v>225</v>
      </c>
      <c r="B226">
        <v>0.19700000000000001</v>
      </c>
      <c r="C226">
        <v>0.4</v>
      </c>
      <c r="D226" s="2">
        <v>0.22389999999999999</v>
      </c>
      <c r="E226">
        <v>2</v>
      </c>
      <c r="F226">
        <v>43</v>
      </c>
      <c r="G226">
        <v>45</v>
      </c>
    </row>
    <row r="227" spans="1:7" x14ac:dyDescent="0.3">
      <c r="A227" s="2">
        <v>226</v>
      </c>
      <c r="B227">
        <v>0.21210000000000001</v>
      </c>
      <c r="C227">
        <v>0.4</v>
      </c>
      <c r="D227" s="2">
        <v>0.1343</v>
      </c>
      <c r="E227">
        <v>4</v>
      </c>
      <c r="F227">
        <v>70</v>
      </c>
      <c r="G227">
        <v>74</v>
      </c>
    </row>
    <row r="228" spans="1:7" x14ac:dyDescent="0.3">
      <c r="A228" s="2">
        <v>227</v>
      </c>
      <c r="B228">
        <v>0.2273</v>
      </c>
      <c r="C228">
        <v>0.4</v>
      </c>
      <c r="D228" s="2">
        <v>0.1045</v>
      </c>
      <c r="E228">
        <v>4</v>
      </c>
      <c r="F228">
        <v>174</v>
      </c>
      <c r="G228">
        <v>178</v>
      </c>
    </row>
    <row r="229" spans="1:7" x14ac:dyDescent="0.3">
      <c r="A229" s="2">
        <v>228</v>
      </c>
      <c r="B229">
        <v>0.19700000000000001</v>
      </c>
      <c r="C229">
        <v>0.4</v>
      </c>
      <c r="D229" s="2">
        <v>0.22389999999999999</v>
      </c>
      <c r="E229">
        <v>1</v>
      </c>
      <c r="F229">
        <v>154</v>
      </c>
      <c r="G229">
        <v>155</v>
      </c>
    </row>
    <row r="230" spans="1:7" x14ac:dyDescent="0.3">
      <c r="A230" s="2">
        <v>229</v>
      </c>
      <c r="B230">
        <v>0.16669999999999999</v>
      </c>
      <c r="C230">
        <v>0.47</v>
      </c>
      <c r="D230" s="2">
        <v>0.16420000000000001</v>
      </c>
      <c r="E230">
        <v>3</v>
      </c>
      <c r="F230">
        <v>92</v>
      </c>
      <c r="G230">
        <v>95</v>
      </c>
    </row>
    <row r="231" spans="1:7" x14ac:dyDescent="0.3">
      <c r="A231" s="2">
        <v>230</v>
      </c>
      <c r="B231">
        <v>0.16669999999999999</v>
      </c>
      <c r="C231">
        <v>0.5</v>
      </c>
      <c r="D231" s="2">
        <v>0.16420000000000001</v>
      </c>
      <c r="E231">
        <v>1</v>
      </c>
      <c r="F231">
        <v>73</v>
      </c>
      <c r="G231">
        <v>74</v>
      </c>
    </row>
    <row r="232" spans="1:7" x14ac:dyDescent="0.3">
      <c r="A232" s="2">
        <v>231</v>
      </c>
      <c r="B232">
        <v>0.13639999999999999</v>
      </c>
      <c r="C232">
        <v>0.59</v>
      </c>
      <c r="D232" s="2">
        <v>0.19400000000000001</v>
      </c>
      <c r="E232">
        <v>1</v>
      </c>
      <c r="F232">
        <v>37</v>
      </c>
      <c r="G232">
        <v>38</v>
      </c>
    </row>
    <row r="233" spans="1:7" x14ac:dyDescent="0.3">
      <c r="A233" s="2">
        <v>232</v>
      </c>
      <c r="B233">
        <v>0.1515</v>
      </c>
      <c r="C233">
        <v>0.59</v>
      </c>
      <c r="D233" s="2">
        <v>0.16420000000000001</v>
      </c>
      <c r="E233">
        <v>2</v>
      </c>
      <c r="F233">
        <v>22</v>
      </c>
      <c r="G233">
        <v>24</v>
      </c>
    </row>
    <row r="234" spans="1:7" x14ac:dyDescent="0.3">
      <c r="A234" s="2">
        <v>233</v>
      </c>
      <c r="B234">
        <v>0.1515</v>
      </c>
      <c r="C234">
        <v>0.59</v>
      </c>
      <c r="D234" s="2">
        <v>0.16420000000000001</v>
      </c>
      <c r="E234">
        <v>0</v>
      </c>
      <c r="F234">
        <v>18</v>
      </c>
      <c r="G234">
        <v>18</v>
      </c>
    </row>
    <row r="235" spans="1:7" x14ac:dyDescent="0.3">
      <c r="A235" s="2">
        <v>234</v>
      </c>
      <c r="B235">
        <v>0.16669999999999999</v>
      </c>
      <c r="C235">
        <v>0.59</v>
      </c>
      <c r="D235" s="2">
        <v>0.1045</v>
      </c>
      <c r="E235">
        <v>2</v>
      </c>
      <c r="F235">
        <v>10</v>
      </c>
      <c r="G235">
        <v>12</v>
      </c>
    </row>
    <row r="236" spans="1:7" x14ac:dyDescent="0.3">
      <c r="A236" s="2">
        <v>235</v>
      </c>
      <c r="B236">
        <v>0.1515</v>
      </c>
      <c r="C236">
        <v>0.59</v>
      </c>
      <c r="D236" s="2">
        <v>0.16420000000000001</v>
      </c>
      <c r="E236">
        <v>0</v>
      </c>
      <c r="F236">
        <v>3</v>
      </c>
      <c r="G236">
        <v>3</v>
      </c>
    </row>
    <row r="237" spans="1:7" x14ac:dyDescent="0.3">
      <c r="A237" s="2">
        <v>236</v>
      </c>
      <c r="B237">
        <v>0.1515</v>
      </c>
      <c r="C237">
        <v>0.55000000000000004</v>
      </c>
      <c r="D237" s="2">
        <v>0.19400000000000001</v>
      </c>
      <c r="E237">
        <v>0</v>
      </c>
      <c r="F237">
        <v>3</v>
      </c>
      <c r="G237">
        <v>3</v>
      </c>
    </row>
    <row r="238" spans="1:7" x14ac:dyDescent="0.3">
      <c r="A238" s="2">
        <v>237</v>
      </c>
      <c r="B238">
        <v>0.18179999999999999</v>
      </c>
      <c r="C238">
        <v>0.55000000000000004</v>
      </c>
      <c r="D238" s="2">
        <v>0.1343</v>
      </c>
      <c r="E238">
        <v>0</v>
      </c>
      <c r="F238">
        <v>6</v>
      </c>
      <c r="G238">
        <v>6</v>
      </c>
    </row>
    <row r="239" spans="1:7" x14ac:dyDescent="0.3">
      <c r="A239" s="2">
        <v>238</v>
      </c>
      <c r="B239">
        <v>0.18179999999999999</v>
      </c>
      <c r="C239">
        <v>0.55000000000000004</v>
      </c>
      <c r="D239" s="2">
        <v>0.1343</v>
      </c>
      <c r="E239">
        <v>0</v>
      </c>
      <c r="F239">
        <v>27</v>
      </c>
      <c r="G239">
        <v>27</v>
      </c>
    </row>
    <row r="240" spans="1:7" x14ac:dyDescent="0.3">
      <c r="A240" s="2">
        <v>239</v>
      </c>
      <c r="B240">
        <v>0.2273</v>
      </c>
      <c r="C240">
        <v>0.55000000000000004</v>
      </c>
      <c r="D240" s="2">
        <v>0</v>
      </c>
      <c r="E240">
        <v>2</v>
      </c>
      <c r="F240">
        <v>97</v>
      </c>
      <c r="G240">
        <v>99</v>
      </c>
    </row>
    <row r="241" spans="1:7" x14ac:dyDescent="0.3">
      <c r="A241" s="2">
        <v>240</v>
      </c>
      <c r="B241">
        <v>0.21210000000000001</v>
      </c>
      <c r="C241">
        <v>0.51</v>
      </c>
      <c r="D241" s="2">
        <v>8.9599999999999999E-2</v>
      </c>
      <c r="E241">
        <v>3</v>
      </c>
      <c r="F241">
        <v>214</v>
      </c>
      <c r="G241">
        <v>217</v>
      </c>
    </row>
    <row r="242" spans="1:7" x14ac:dyDescent="0.3">
      <c r="A242" s="2">
        <v>241</v>
      </c>
      <c r="B242">
        <v>0.19700000000000001</v>
      </c>
      <c r="C242">
        <v>0.51</v>
      </c>
      <c r="D242" s="2">
        <v>0.16420000000000001</v>
      </c>
      <c r="E242">
        <v>3</v>
      </c>
      <c r="F242">
        <v>127</v>
      </c>
      <c r="G242">
        <v>130</v>
      </c>
    </row>
    <row r="243" spans="1:7" x14ac:dyDescent="0.3">
      <c r="A243" s="2">
        <v>242</v>
      </c>
      <c r="B243">
        <v>0.21210000000000001</v>
      </c>
      <c r="C243">
        <v>0.51</v>
      </c>
      <c r="D243" s="2">
        <v>0.16420000000000001</v>
      </c>
      <c r="E243">
        <v>3</v>
      </c>
      <c r="F243">
        <v>51</v>
      </c>
      <c r="G243">
        <v>54</v>
      </c>
    </row>
    <row r="244" spans="1:7" x14ac:dyDescent="0.3">
      <c r="A244" s="2">
        <v>243</v>
      </c>
      <c r="B244">
        <v>0.21210000000000001</v>
      </c>
      <c r="C244">
        <v>0.47</v>
      </c>
      <c r="D244" s="2">
        <v>0.1343</v>
      </c>
      <c r="E244">
        <v>4</v>
      </c>
      <c r="F244">
        <v>31</v>
      </c>
      <c r="G244">
        <v>35</v>
      </c>
    </row>
    <row r="245" spans="1:7" x14ac:dyDescent="0.3">
      <c r="A245" s="2">
        <v>244</v>
      </c>
      <c r="B245">
        <v>0.2273</v>
      </c>
      <c r="C245">
        <v>0.51</v>
      </c>
      <c r="D245" s="2">
        <v>0.1045</v>
      </c>
      <c r="E245">
        <v>2</v>
      </c>
      <c r="F245">
        <v>55</v>
      </c>
      <c r="G245">
        <v>57</v>
      </c>
    </row>
    <row r="246" spans="1:7" x14ac:dyDescent="0.3">
      <c r="A246" s="2">
        <v>245</v>
      </c>
      <c r="B246">
        <v>0.2273</v>
      </c>
      <c r="C246">
        <v>0.59</v>
      </c>
      <c r="D246" s="2">
        <v>8.9599999999999999E-2</v>
      </c>
      <c r="E246">
        <v>6</v>
      </c>
      <c r="F246">
        <v>46</v>
      </c>
      <c r="G246">
        <v>52</v>
      </c>
    </row>
    <row r="247" spans="1:7" x14ac:dyDescent="0.3">
      <c r="A247" s="2">
        <v>246</v>
      </c>
      <c r="B247">
        <v>0.2273</v>
      </c>
      <c r="C247">
        <v>0.59</v>
      </c>
      <c r="D247" s="2">
        <v>8.9599999999999999E-2</v>
      </c>
      <c r="E247">
        <v>3</v>
      </c>
      <c r="F247">
        <v>60</v>
      </c>
      <c r="G247">
        <v>63</v>
      </c>
    </row>
    <row r="248" spans="1:7" x14ac:dyDescent="0.3">
      <c r="A248" s="2">
        <v>247</v>
      </c>
      <c r="B248">
        <v>0.19700000000000001</v>
      </c>
      <c r="C248">
        <v>0.8</v>
      </c>
      <c r="D248" s="2">
        <v>8.9599999999999999E-2</v>
      </c>
      <c r="E248">
        <v>2</v>
      </c>
      <c r="F248">
        <v>45</v>
      </c>
      <c r="G248">
        <v>47</v>
      </c>
    </row>
    <row r="249" spans="1:7" x14ac:dyDescent="0.3">
      <c r="A249" s="2">
        <v>248</v>
      </c>
      <c r="B249">
        <v>0.1515</v>
      </c>
      <c r="C249">
        <v>0.86</v>
      </c>
      <c r="D249" s="2">
        <v>0.22389999999999999</v>
      </c>
      <c r="E249">
        <v>4</v>
      </c>
      <c r="F249">
        <v>72</v>
      </c>
      <c r="G249">
        <v>76</v>
      </c>
    </row>
    <row r="250" spans="1:7" x14ac:dyDescent="0.3">
      <c r="A250" s="2">
        <v>249</v>
      </c>
      <c r="B250">
        <v>0.1515</v>
      </c>
      <c r="C250">
        <v>0.86</v>
      </c>
      <c r="D250" s="2">
        <v>0.22389999999999999</v>
      </c>
      <c r="E250">
        <v>6</v>
      </c>
      <c r="F250">
        <v>130</v>
      </c>
      <c r="G250">
        <v>136</v>
      </c>
    </row>
    <row r="251" spans="1:7" x14ac:dyDescent="0.3">
      <c r="A251" s="2">
        <v>250</v>
      </c>
      <c r="B251">
        <v>0.18179999999999999</v>
      </c>
      <c r="C251">
        <v>0.93</v>
      </c>
      <c r="D251" s="2">
        <v>0.1045</v>
      </c>
      <c r="E251">
        <v>1</v>
      </c>
      <c r="F251">
        <v>94</v>
      </c>
      <c r="G251">
        <v>95</v>
      </c>
    </row>
    <row r="252" spans="1:7" x14ac:dyDescent="0.3">
      <c r="A252" s="2">
        <v>251</v>
      </c>
      <c r="B252">
        <v>0.2273</v>
      </c>
      <c r="C252">
        <v>0.93</v>
      </c>
      <c r="D252" s="2">
        <v>0</v>
      </c>
      <c r="E252">
        <v>0</v>
      </c>
      <c r="F252">
        <v>51</v>
      </c>
      <c r="G252">
        <v>51</v>
      </c>
    </row>
    <row r="253" spans="1:7" x14ac:dyDescent="0.3">
      <c r="A253" s="2">
        <v>252</v>
      </c>
      <c r="B253">
        <v>0.1515</v>
      </c>
      <c r="C253">
        <v>0.93</v>
      </c>
      <c r="D253" s="2">
        <v>0.19400000000000001</v>
      </c>
      <c r="E253">
        <v>0</v>
      </c>
      <c r="F253">
        <v>32</v>
      </c>
      <c r="G253">
        <v>32</v>
      </c>
    </row>
    <row r="254" spans="1:7" x14ac:dyDescent="0.3">
      <c r="A254" s="2">
        <v>253</v>
      </c>
      <c r="B254">
        <v>0.19700000000000001</v>
      </c>
      <c r="C254">
        <v>0.86</v>
      </c>
      <c r="D254" s="2">
        <v>8.9599999999999999E-2</v>
      </c>
      <c r="E254">
        <v>0</v>
      </c>
      <c r="F254">
        <v>20</v>
      </c>
      <c r="G254">
        <v>20</v>
      </c>
    </row>
    <row r="255" spans="1:7" x14ac:dyDescent="0.3">
      <c r="A255" s="2">
        <v>254</v>
      </c>
      <c r="B255">
        <v>0.18179999999999999</v>
      </c>
      <c r="C255">
        <v>0.93</v>
      </c>
      <c r="D255" s="2">
        <v>0.1045</v>
      </c>
      <c r="E255">
        <v>1</v>
      </c>
      <c r="F255">
        <v>28</v>
      </c>
      <c r="G255">
        <v>29</v>
      </c>
    </row>
    <row r="256" spans="1:7" x14ac:dyDescent="0.3">
      <c r="A256" s="2">
        <v>255</v>
      </c>
      <c r="B256">
        <v>0.19700000000000001</v>
      </c>
      <c r="C256">
        <v>0.93</v>
      </c>
      <c r="D256" s="2">
        <v>8.9599999999999999E-2</v>
      </c>
      <c r="E256">
        <v>1</v>
      </c>
      <c r="F256">
        <v>18</v>
      </c>
      <c r="G256">
        <v>19</v>
      </c>
    </row>
    <row r="257" spans="1:7" x14ac:dyDescent="0.3">
      <c r="A257" s="2">
        <v>256</v>
      </c>
      <c r="B257">
        <v>0.19700000000000001</v>
      </c>
      <c r="C257">
        <v>0.86</v>
      </c>
      <c r="D257" s="2">
        <v>8.9599999999999999E-2</v>
      </c>
      <c r="E257">
        <v>0</v>
      </c>
      <c r="F257">
        <v>7</v>
      </c>
      <c r="G257">
        <v>7</v>
      </c>
    </row>
    <row r="258" spans="1:7" x14ac:dyDescent="0.3">
      <c r="A258" s="2">
        <v>257</v>
      </c>
      <c r="B258">
        <v>0.18179999999999999</v>
      </c>
      <c r="C258">
        <v>0.86</v>
      </c>
      <c r="D258" s="2">
        <v>0.1045</v>
      </c>
      <c r="E258">
        <v>0</v>
      </c>
      <c r="F258">
        <v>6</v>
      </c>
      <c r="G258">
        <v>6</v>
      </c>
    </row>
    <row r="259" spans="1:7" x14ac:dyDescent="0.3">
      <c r="A259" s="2">
        <v>258</v>
      </c>
      <c r="B259">
        <v>0.1515</v>
      </c>
      <c r="C259">
        <v>0.86</v>
      </c>
      <c r="D259" s="2">
        <v>0.1343</v>
      </c>
      <c r="E259">
        <v>0</v>
      </c>
      <c r="F259">
        <v>1</v>
      </c>
      <c r="G259">
        <v>1</v>
      </c>
    </row>
    <row r="260" spans="1:7" x14ac:dyDescent="0.3">
      <c r="A260" s="2">
        <v>259</v>
      </c>
      <c r="B260">
        <v>0.1515</v>
      </c>
      <c r="C260">
        <v>0.86</v>
      </c>
      <c r="D260" s="2">
        <v>0.16420000000000001</v>
      </c>
      <c r="E260">
        <v>0</v>
      </c>
      <c r="F260">
        <v>5</v>
      </c>
      <c r="G260">
        <v>5</v>
      </c>
    </row>
    <row r="261" spans="1:7" x14ac:dyDescent="0.3">
      <c r="A261" s="2">
        <v>260</v>
      </c>
      <c r="B261">
        <v>0.1515</v>
      </c>
      <c r="C261">
        <v>0.93</v>
      </c>
      <c r="D261" s="2">
        <v>0.1343</v>
      </c>
      <c r="E261">
        <v>0</v>
      </c>
      <c r="F261">
        <v>16</v>
      </c>
      <c r="G261">
        <v>16</v>
      </c>
    </row>
    <row r="262" spans="1:7" x14ac:dyDescent="0.3">
      <c r="A262" s="2">
        <v>261</v>
      </c>
      <c r="B262">
        <v>0.1515</v>
      </c>
      <c r="C262">
        <v>0.69</v>
      </c>
      <c r="D262" s="2">
        <v>0.1343</v>
      </c>
      <c r="E262">
        <v>0</v>
      </c>
      <c r="F262">
        <v>54</v>
      </c>
      <c r="G262">
        <v>54</v>
      </c>
    </row>
    <row r="263" spans="1:7" x14ac:dyDescent="0.3">
      <c r="A263" s="2">
        <v>262</v>
      </c>
      <c r="B263">
        <v>0.16669999999999999</v>
      </c>
      <c r="C263">
        <v>0.59</v>
      </c>
      <c r="D263" s="2">
        <v>0.16420000000000001</v>
      </c>
      <c r="E263">
        <v>3</v>
      </c>
      <c r="F263">
        <v>125</v>
      </c>
      <c r="G263">
        <v>128</v>
      </c>
    </row>
    <row r="264" spans="1:7" x14ac:dyDescent="0.3">
      <c r="A264" s="2">
        <v>263</v>
      </c>
      <c r="B264">
        <v>0.13639999999999999</v>
      </c>
      <c r="C264">
        <v>0.59</v>
      </c>
      <c r="D264" s="2">
        <v>0.32840000000000003</v>
      </c>
      <c r="E264">
        <v>3</v>
      </c>
      <c r="F264">
        <v>78</v>
      </c>
      <c r="G264">
        <v>81</v>
      </c>
    </row>
    <row r="265" spans="1:7" x14ac:dyDescent="0.3">
      <c r="A265" s="2">
        <v>264</v>
      </c>
      <c r="B265">
        <v>0.18179999999999999</v>
      </c>
      <c r="C265">
        <v>0.55000000000000004</v>
      </c>
      <c r="D265" s="2">
        <v>0.22389999999999999</v>
      </c>
      <c r="E265">
        <v>0</v>
      </c>
      <c r="F265">
        <v>39</v>
      </c>
      <c r="G265">
        <v>39</v>
      </c>
    </row>
    <row r="266" spans="1:7" x14ac:dyDescent="0.3">
      <c r="A266" s="2">
        <v>265</v>
      </c>
      <c r="B266">
        <v>0.18179999999999999</v>
      </c>
      <c r="C266">
        <v>0.51</v>
      </c>
      <c r="D266" s="2">
        <v>0.3881</v>
      </c>
      <c r="E266">
        <v>3</v>
      </c>
      <c r="F266">
        <v>32</v>
      </c>
      <c r="G266">
        <v>35</v>
      </c>
    </row>
    <row r="267" spans="1:7" x14ac:dyDescent="0.3">
      <c r="A267" s="2">
        <v>266</v>
      </c>
      <c r="B267">
        <v>0.1515</v>
      </c>
      <c r="C267">
        <v>0.47</v>
      </c>
      <c r="D267" s="2">
        <v>0.58209999999999995</v>
      </c>
      <c r="E267">
        <v>3</v>
      </c>
      <c r="F267">
        <v>52</v>
      </c>
      <c r="G267">
        <v>55</v>
      </c>
    </row>
    <row r="268" spans="1:7" x14ac:dyDescent="0.3">
      <c r="A268" s="2">
        <v>267</v>
      </c>
      <c r="B268">
        <v>0.19700000000000001</v>
      </c>
      <c r="C268">
        <v>0.44</v>
      </c>
      <c r="D268" s="2">
        <v>0.35820000000000002</v>
      </c>
      <c r="E268">
        <v>0</v>
      </c>
      <c r="F268">
        <v>49</v>
      </c>
      <c r="G268">
        <v>49</v>
      </c>
    </row>
    <row r="269" spans="1:7" x14ac:dyDescent="0.3">
      <c r="A269" s="2">
        <v>268</v>
      </c>
      <c r="B269">
        <v>0.18179999999999999</v>
      </c>
      <c r="C269">
        <v>0.47</v>
      </c>
      <c r="D269" s="2">
        <v>0.32840000000000003</v>
      </c>
      <c r="E269">
        <v>0</v>
      </c>
      <c r="F269">
        <v>44</v>
      </c>
      <c r="G269">
        <v>44</v>
      </c>
    </row>
    <row r="270" spans="1:7" x14ac:dyDescent="0.3">
      <c r="A270" s="2">
        <v>269</v>
      </c>
      <c r="B270">
        <v>0.16669999999999999</v>
      </c>
      <c r="C270">
        <v>0.47</v>
      </c>
      <c r="D270" s="2">
        <v>0.41789999999999999</v>
      </c>
      <c r="E270">
        <v>1</v>
      </c>
      <c r="F270">
        <v>48</v>
      </c>
      <c r="G270">
        <v>49</v>
      </c>
    </row>
    <row r="271" spans="1:7" x14ac:dyDescent="0.3">
      <c r="A271" s="2">
        <v>270</v>
      </c>
      <c r="B271">
        <v>0.19700000000000001</v>
      </c>
      <c r="C271">
        <v>0.44</v>
      </c>
      <c r="D271" s="2">
        <v>0.32840000000000003</v>
      </c>
      <c r="E271">
        <v>5</v>
      </c>
      <c r="F271">
        <v>63</v>
      </c>
      <c r="G271">
        <v>68</v>
      </c>
    </row>
    <row r="272" spans="1:7" x14ac:dyDescent="0.3">
      <c r="A272" s="2">
        <v>271</v>
      </c>
      <c r="B272">
        <v>0.18179999999999999</v>
      </c>
      <c r="C272">
        <v>0.47</v>
      </c>
      <c r="D272" s="2">
        <v>0.35820000000000002</v>
      </c>
      <c r="E272">
        <v>0</v>
      </c>
      <c r="F272">
        <v>139</v>
      </c>
      <c r="G272">
        <v>139</v>
      </c>
    </row>
    <row r="273" spans="1:7" x14ac:dyDescent="0.3">
      <c r="A273" s="2">
        <v>272</v>
      </c>
      <c r="B273">
        <v>0.1515</v>
      </c>
      <c r="C273">
        <v>0.47</v>
      </c>
      <c r="D273" s="2">
        <v>0.52239999999999998</v>
      </c>
      <c r="E273">
        <v>2</v>
      </c>
      <c r="F273">
        <v>135</v>
      </c>
      <c r="G273">
        <v>137</v>
      </c>
    </row>
    <row r="274" spans="1:7" x14ac:dyDescent="0.3">
      <c r="A274" s="2">
        <v>273</v>
      </c>
      <c r="B274">
        <v>0.1515</v>
      </c>
      <c r="C274">
        <v>0.47</v>
      </c>
      <c r="D274" s="2">
        <v>0.41789999999999999</v>
      </c>
      <c r="E274">
        <v>1</v>
      </c>
      <c r="F274">
        <v>82</v>
      </c>
      <c r="G274">
        <v>83</v>
      </c>
    </row>
    <row r="275" spans="1:7" x14ac:dyDescent="0.3">
      <c r="A275" s="2">
        <v>274</v>
      </c>
      <c r="B275">
        <v>0.13639999999999999</v>
      </c>
      <c r="C275">
        <v>0.5</v>
      </c>
      <c r="D275" s="2">
        <v>0.32840000000000003</v>
      </c>
      <c r="E275">
        <v>2</v>
      </c>
      <c r="F275">
        <v>54</v>
      </c>
      <c r="G275">
        <v>56</v>
      </c>
    </row>
    <row r="276" spans="1:7" x14ac:dyDescent="0.3">
      <c r="A276" s="2">
        <v>275</v>
      </c>
      <c r="B276">
        <v>0.13639999999999999</v>
      </c>
      <c r="C276">
        <v>0.55000000000000004</v>
      </c>
      <c r="D276" s="2">
        <v>0.32840000000000003</v>
      </c>
      <c r="E276">
        <v>0</v>
      </c>
      <c r="F276">
        <v>57</v>
      </c>
      <c r="G276">
        <v>57</v>
      </c>
    </row>
    <row r="277" spans="1:7" x14ac:dyDescent="0.3">
      <c r="A277" s="2">
        <v>276</v>
      </c>
      <c r="B277">
        <v>0.1212</v>
      </c>
      <c r="C277">
        <v>0.55000000000000004</v>
      </c>
      <c r="D277" s="2">
        <v>0.44779999999999998</v>
      </c>
      <c r="E277">
        <v>1</v>
      </c>
      <c r="F277">
        <v>32</v>
      </c>
      <c r="G277">
        <v>33</v>
      </c>
    </row>
    <row r="278" spans="1:7" x14ac:dyDescent="0.3">
      <c r="A278" s="2">
        <v>277</v>
      </c>
      <c r="B278">
        <v>0.1061</v>
      </c>
      <c r="C278">
        <v>0.59</v>
      </c>
      <c r="D278" s="2">
        <v>0.41789999999999999</v>
      </c>
      <c r="E278">
        <v>1</v>
      </c>
      <c r="F278">
        <v>19</v>
      </c>
      <c r="G278">
        <v>20</v>
      </c>
    </row>
    <row r="279" spans="1:7" x14ac:dyDescent="0.3">
      <c r="A279" s="2">
        <v>278</v>
      </c>
      <c r="B279">
        <v>0.1212</v>
      </c>
      <c r="C279">
        <v>0.59</v>
      </c>
      <c r="D279" s="2">
        <v>0.28360000000000002</v>
      </c>
      <c r="E279">
        <v>1</v>
      </c>
      <c r="F279">
        <v>6</v>
      </c>
      <c r="G279">
        <v>7</v>
      </c>
    </row>
    <row r="280" spans="1:7" x14ac:dyDescent="0.3">
      <c r="A280" s="2">
        <v>279</v>
      </c>
      <c r="B280">
        <v>0.1212</v>
      </c>
      <c r="C280">
        <v>0.5</v>
      </c>
      <c r="D280" s="2">
        <v>0.28360000000000002</v>
      </c>
      <c r="E280">
        <v>0</v>
      </c>
      <c r="F280">
        <v>2</v>
      </c>
      <c r="G280">
        <v>2</v>
      </c>
    </row>
    <row r="281" spans="1:7" x14ac:dyDescent="0.3">
      <c r="A281" s="2">
        <v>280</v>
      </c>
      <c r="B281">
        <v>0.1212</v>
      </c>
      <c r="C281">
        <v>0.5</v>
      </c>
      <c r="D281" s="2">
        <v>0.35820000000000002</v>
      </c>
      <c r="E281">
        <v>0</v>
      </c>
      <c r="F281">
        <v>2</v>
      </c>
      <c r="G281">
        <v>2</v>
      </c>
    </row>
    <row r="282" spans="1:7" x14ac:dyDescent="0.3">
      <c r="A282" s="2">
        <v>281</v>
      </c>
      <c r="B282">
        <v>0.1212</v>
      </c>
      <c r="C282">
        <v>0.5</v>
      </c>
      <c r="D282" s="2">
        <v>0.32840000000000003</v>
      </c>
      <c r="E282">
        <v>0</v>
      </c>
      <c r="F282">
        <v>3</v>
      </c>
      <c r="G282">
        <v>3</v>
      </c>
    </row>
    <row r="283" spans="1:7" x14ac:dyDescent="0.3">
      <c r="A283" s="2">
        <v>282</v>
      </c>
      <c r="B283">
        <v>0.1212</v>
      </c>
      <c r="C283">
        <v>0.5</v>
      </c>
      <c r="D283" s="2">
        <v>0.25369999999999998</v>
      </c>
      <c r="E283">
        <v>0</v>
      </c>
      <c r="F283">
        <v>4</v>
      </c>
      <c r="G283">
        <v>4</v>
      </c>
    </row>
    <row r="284" spans="1:7" x14ac:dyDescent="0.3">
      <c r="A284" s="2">
        <v>283</v>
      </c>
      <c r="B284">
        <v>0.1212</v>
      </c>
      <c r="C284">
        <v>0.5</v>
      </c>
      <c r="D284" s="2">
        <v>0.29849999999999999</v>
      </c>
      <c r="E284">
        <v>0</v>
      </c>
      <c r="F284">
        <v>3</v>
      </c>
      <c r="G284">
        <v>3</v>
      </c>
    </row>
    <row r="285" spans="1:7" x14ac:dyDescent="0.3">
      <c r="A285" s="2">
        <v>284</v>
      </c>
      <c r="B285">
        <v>0.1515</v>
      </c>
      <c r="C285">
        <v>0.54</v>
      </c>
      <c r="D285" s="2">
        <v>0.1343</v>
      </c>
      <c r="E285">
        <v>0</v>
      </c>
      <c r="F285">
        <v>28</v>
      </c>
      <c r="G285">
        <v>28</v>
      </c>
    </row>
    <row r="286" spans="1:7" x14ac:dyDescent="0.3">
      <c r="A286" s="2">
        <v>285</v>
      </c>
      <c r="B286">
        <v>0.1515</v>
      </c>
      <c r="C286">
        <v>0.54</v>
      </c>
      <c r="D286" s="2">
        <v>0.1343</v>
      </c>
      <c r="E286">
        <v>0</v>
      </c>
      <c r="F286">
        <v>72</v>
      </c>
      <c r="G286">
        <v>72</v>
      </c>
    </row>
    <row r="287" spans="1:7" x14ac:dyDescent="0.3">
      <c r="A287" s="2">
        <v>286</v>
      </c>
      <c r="B287">
        <v>0.13639999999999999</v>
      </c>
      <c r="C287">
        <v>0.5</v>
      </c>
      <c r="D287" s="2">
        <v>0.19400000000000001</v>
      </c>
      <c r="E287">
        <v>5</v>
      </c>
      <c r="F287">
        <v>197</v>
      </c>
      <c r="G287">
        <v>202</v>
      </c>
    </row>
    <row r="288" spans="1:7" x14ac:dyDescent="0.3">
      <c r="A288" s="2">
        <v>287</v>
      </c>
      <c r="B288">
        <v>0.1212</v>
      </c>
      <c r="C288">
        <v>0.5</v>
      </c>
      <c r="D288" s="2">
        <v>0.32840000000000003</v>
      </c>
      <c r="E288">
        <v>2</v>
      </c>
      <c r="F288">
        <v>137</v>
      </c>
      <c r="G288">
        <v>139</v>
      </c>
    </row>
    <row r="289" spans="1:7" x14ac:dyDescent="0.3">
      <c r="A289" s="2">
        <v>288</v>
      </c>
      <c r="B289">
        <v>0.13639999999999999</v>
      </c>
      <c r="C289">
        <v>0.5</v>
      </c>
      <c r="D289" s="2">
        <v>0.35820000000000002</v>
      </c>
      <c r="E289">
        <v>2</v>
      </c>
      <c r="F289">
        <v>36</v>
      </c>
      <c r="G289">
        <v>38</v>
      </c>
    </row>
    <row r="290" spans="1:7" x14ac:dyDescent="0.3">
      <c r="A290" s="2">
        <v>289</v>
      </c>
      <c r="B290">
        <v>0.16669999999999999</v>
      </c>
      <c r="C290">
        <v>0.44</v>
      </c>
      <c r="D290" s="2">
        <v>0.44779999999999998</v>
      </c>
      <c r="E290">
        <v>4</v>
      </c>
      <c r="F290">
        <v>33</v>
      </c>
      <c r="G290">
        <v>37</v>
      </c>
    </row>
    <row r="291" spans="1:7" x14ac:dyDescent="0.3">
      <c r="A291" s="2">
        <v>290</v>
      </c>
      <c r="B291">
        <v>0.16669999999999999</v>
      </c>
      <c r="C291">
        <v>0.44</v>
      </c>
      <c r="D291" s="2">
        <v>0.41789999999999999</v>
      </c>
      <c r="E291">
        <v>3</v>
      </c>
      <c r="F291">
        <v>49</v>
      </c>
      <c r="G291">
        <v>52</v>
      </c>
    </row>
    <row r="292" spans="1:7" x14ac:dyDescent="0.3">
      <c r="A292" s="2">
        <v>291</v>
      </c>
      <c r="B292">
        <v>0.19700000000000001</v>
      </c>
      <c r="C292">
        <v>0.41</v>
      </c>
      <c r="D292" s="2">
        <v>0.44779999999999998</v>
      </c>
      <c r="E292">
        <v>2</v>
      </c>
      <c r="F292">
        <v>81</v>
      </c>
      <c r="G292">
        <v>83</v>
      </c>
    </row>
    <row r="293" spans="1:7" x14ac:dyDescent="0.3">
      <c r="A293" s="2">
        <v>292</v>
      </c>
      <c r="B293">
        <v>0.19700000000000001</v>
      </c>
      <c r="C293">
        <v>0.41</v>
      </c>
      <c r="D293" s="2">
        <v>0.3881</v>
      </c>
      <c r="E293">
        <v>3</v>
      </c>
      <c r="F293">
        <v>39</v>
      </c>
      <c r="G293">
        <v>42</v>
      </c>
    </row>
    <row r="294" spans="1:7" x14ac:dyDescent="0.3">
      <c r="A294" s="2">
        <v>293</v>
      </c>
      <c r="B294">
        <v>0.21210000000000001</v>
      </c>
      <c r="C294">
        <v>0.38</v>
      </c>
      <c r="D294" s="2">
        <v>0.29849999999999999</v>
      </c>
      <c r="E294">
        <v>5</v>
      </c>
      <c r="F294">
        <v>55</v>
      </c>
      <c r="G294">
        <v>60</v>
      </c>
    </row>
    <row r="295" spans="1:7" x14ac:dyDescent="0.3">
      <c r="A295" s="2">
        <v>294</v>
      </c>
      <c r="B295">
        <v>0.21210000000000001</v>
      </c>
      <c r="C295">
        <v>0.38</v>
      </c>
      <c r="D295" s="2">
        <v>0.35820000000000002</v>
      </c>
      <c r="E295">
        <v>2</v>
      </c>
      <c r="F295">
        <v>76</v>
      </c>
      <c r="G295">
        <v>78</v>
      </c>
    </row>
    <row r="296" spans="1:7" x14ac:dyDescent="0.3">
      <c r="A296" s="2">
        <v>295</v>
      </c>
      <c r="B296">
        <v>0.18179999999999999</v>
      </c>
      <c r="C296">
        <v>0.4</v>
      </c>
      <c r="D296" s="2">
        <v>0.28360000000000002</v>
      </c>
      <c r="E296">
        <v>4</v>
      </c>
      <c r="F296">
        <v>158</v>
      </c>
      <c r="G296">
        <v>162</v>
      </c>
    </row>
    <row r="297" spans="1:7" x14ac:dyDescent="0.3">
      <c r="A297" s="2">
        <v>296</v>
      </c>
      <c r="B297">
        <v>0.18179999999999999</v>
      </c>
      <c r="C297">
        <v>0.4</v>
      </c>
      <c r="D297" s="2">
        <v>0.32840000000000003</v>
      </c>
      <c r="E297">
        <v>3</v>
      </c>
      <c r="F297">
        <v>141</v>
      </c>
      <c r="G297">
        <v>144</v>
      </c>
    </row>
    <row r="298" spans="1:7" x14ac:dyDescent="0.3">
      <c r="A298" s="2">
        <v>297</v>
      </c>
      <c r="B298">
        <v>0.1515</v>
      </c>
      <c r="C298">
        <v>0.47</v>
      </c>
      <c r="D298" s="2">
        <v>0.25369999999999998</v>
      </c>
      <c r="E298">
        <v>1</v>
      </c>
      <c r="F298">
        <v>98</v>
      </c>
      <c r="G298">
        <v>99</v>
      </c>
    </row>
    <row r="299" spans="1:7" x14ac:dyDescent="0.3">
      <c r="A299" s="2">
        <v>298</v>
      </c>
      <c r="B299">
        <v>0.1515</v>
      </c>
      <c r="C299">
        <v>0.47</v>
      </c>
      <c r="D299" s="2">
        <v>0.22389999999999999</v>
      </c>
      <c r="E299">
        <v>0</v>
      </c>
      <c r="F299">
        <v>64</v>
      </c>
      <c r="G299">
        <v>64</v>
      </c>
    </row>
    <row r="300" spans="1:7" x14ac:dyDescent="0.3">
      <c r="A300" s="2">
        <v>299</v>
      </c>
      <c r="B300">
        <v>0.1212</v>
      </c>
      <c r="C300">
        <v>0.46</v>
      </c>
      <c r="D300" s="2">
        <v>0.29849999999999999</v>
      </c>
      <c r="E300">
        <v>0</v>
      </c>
      <c r="F300">
        <v>40</v>
      </c>
      <c r="G300">
        <v>40</v>
      </c>
    </row>
    <row r="301" spans="1:7" x14ac:dyDescent="0.3">
      <c r="A301" s="2">
        <v>300</v>
      </c>
      <c r="B301">
        <v>0.1212</v>
      </c>
      <c r="C301">
        <v>0.46</v>
      </c>
      <c r="D301" s="2">
        <v>0.32840000000000003</v>
      </c>
      <c r="E301">
        <v>0</v>
      </c>
      <c r="F301">
        <v>30</v>
      </c>
      <c r="G301">
        <v>30</v>
      </c>
    </row>
    <row r="302" spans="1:7" x14ac:dyDescent="0.3">
      <c r="A302" s="2">
        <v>301</v>
      </c>
      <c r="B302">
        <v>0.13639999999999999</v>
      </c>
      <c r="C302">
        <v>0.5</v>
      </c>
      <c r="D302" s="2">
        <v>0.19400000000000001</v>
      </c>
      <c r="E302">
        <v>1</v>
      </c>
      <c r="F302">
        <v>14</v>
      </c>
      <c r="G302">
        <v>15</v>
      </c>
    </row>
    <row r="303" spans="1:7" x14ac:dyDescent="0.3">
      <c r="A303" s="2">
        <v>302</v>
      </c>
      <c r="B303">
        <v>0.13639999999999999</v>
      </c>
      <c r="C303">
        <v>0.5</v>
      </c>
      <c r="D303" s="2">
        <v>0.19400000000000001</v>
      </c>
      <c r="E303">
        <v>0</v>
      </c>
      <c r="F303">
        <v>14</v>
      </c>
      <c r="G303">
        <v>14</v>
      </c>
    </row>
    <row r="304" spans="1:7" x14ac:dyDescent="0.3">
      <c r="A304" s="2">
        <v>303</v>
      </c>
      <c r="B304">
        <v>0.1212</v>
      </c>
      <c r="C304">
        <v>0.54</v>
      </c>
      <c r="D304" s="2">
        <v>0.16420000000000001</v>
      </c>
      <c r="E304">
        <v>0</v>
      </c>
      <c r="F304">
        <v>5</v>
      </c>
      <c r="G304">
        <v>5</v>
      </c>
    </row>
    <row r="305" spans="1:7" x14ac:dyDescent="0.3">
      <c r="A305" s="2">
        <v>304</v>
      </c>
      <c r="B305">
        <v>0.1212</v>
      </c>
      <c r="C305">
        <v>0.54</v>
      </c>
      <c r="D305" s="2">
        <v>0.1343</v>
      </c>
      <c r="E305">
        <v>0</v>
      </c>
      <c r="F305">
        <v>1</v>
      </c>
      <c r="G305">
        <v>1</v>
      </c>
    </row>
    <row r="306" spans="1:7" x14ac:dyDescent="0.3">
      <c r="A306" s="2">
        <v>305</v>
      </c>
      <c r="B306">
        <v>0.13639999999999999</v>
      </c>
      <c r="C306">
        <v>0.54</v>
      </c>
      <c r="D306" s="2">
        <v>0.1045</v>
      </c>
      <c r="E306">
        <v>0</v>
      </c>
      <c r="F306">
        <v>1</v>
      </c>
      <c r="G306">
        <v>1</v>
      </c>
    </row>
    <row r="307" spans="1:7" x14ac:dyDescent="0.3">
      <c r="A307" s="2">
        <v>306</v>
      </c>
      <c r="B307">
        <v>0.13639999999999999</v>
      </c>
      <c r="C307">
        <v>0.54</v>
      </c>
      <c r="D307" s="2">
        <v>8.9599999999999999E-2</v>
      </c>
      <c r="E307">
        <v>0</v>
      </c>
      <c r="F307">
        <v>8</v>
      </c>
      <c r="G307">
        <v>8</v>
      </c>
    </row>
    <row r="308" spans="1:7" x14ac:dyDescent="0.3">
      <c r="A308" s="2">
        <v>307</v>
      </c>
      <c r="B308">
        <v>0.18179999999999999</v>
      </c>
      <c r="C308">
        <v>0.54</v>
      </c>
      <c r="D308" s="2">
        <v>0</v>
      </c>
      <c r="E308">
        <v>0</v>
      </c>
      <c r="F308">
        <v>17</v>
      </c>
      <c r="G308">
        <v>17</v>
      </c>
    </row>
    <row r="309" spans="1:7" x14ac:dyDescent="0.3">
      <c r="A309" s="2">
        <v>308</v>
      </c>
      <c r="B309">
        <v>0.1212</v>
      </c>
      <c r="C309">
        <v>0.74</v>
      </c>
      <c r="D309" s="2">
        <v>0.16420000000000001</v>
      </c>
      <c r="E309">
        <v>0</v>
      </c>
      <c r="F309">
        <v>70</v>
      </c>
      <c r="G309">
        <v>70</v>
      </c>
    </row>
    <row r="310" spans="1:7" x14ac:dyDescent="0.3">
      <c r="A310" s="2">
        <v>309</v>
      </c>
      <c r="B310">
        <v>0.16669999999999999</v>
      </c>
      <c r="C310">
        <v>0.68</v>
      </c>
      <c r="D310" s="2">
        <v>0</v>
      </c>
      <c r="E310">
        <v>2</v>
      </c>
      <c r="F310">
        <v>156</v>
      </c>
      <c r="G310">
        <v>158</v>
      </c>
    </row>
    <row r="311" spans="1:7" x14ac:dyDescent="0.3">
      <c r="A311" s="2">
        <v>310</v>
      </c>
      <c r="B311">
        <v>0.1515</v>
      </c>
      <c r="C311">
        <v>0.69</v>
      </c>
      <c r="D311" s="2">
        <v>0.1343</v>
      </c>
      <c r="E311">
        <v>0</v>
      </c>
      <c r="F311">
        <v>117</v>
      </c>
      <c r="G311">
        <v>117</v>
      </c>
    </row>
    <row r="312" spans="1:7" x14ac:dyDescent="0.3">
      <c r="A312" s="2">
        <v>311</v>
      </c>
      <c r="B312">
        <v>0.18179999999999999</v>
      </c>
      <c r="C312">
        <v>0.55000000000000004</v>
      </c>
      <c r="D312" s="2">
        <v>0.19400000000000001</v>
      </c>
      <c r="E312">
        <v>4</v>
      </c>
      <c r="F312">
        <v>40</v>
      </c>
      <c r="G312">
        <v>44</v>
      </c>
    </row>
    <row r="313" spans="1:7" x14ac:dyDescent="0.3">
      <c r="A313" s="2">
        <v>312</v>
      </c>
      <c r="B313">
        <v>0.16669999999999999</v>
      </c>
      <c r="C313">
        <v>0.51</v>
      </c>
      <c r="D313" s="2">
        <v>0.28360000000000002</v>
      </c>
      <c r="E313">
        <v>6</v>
      </c>
      <c r="F313">
        <v>47</v>
      </c>
      <c r="G313">
        <v>53</v>
      </c>
    </row>
    <row r="314" spans="1:7" x14ac:dyDescent="0.3">
      <c r="A314" s="2">
        <v>313</v>
      </c>
      <c r="B314">
        <v>0.19700000000000001</v>
      </c>
      <c r="C314">
        <v>0.44</v>
      </c>
      <c r="D314" s="2">
        <v>0.25369999999999998</v>
      </c>
      <c r="E314">
        <v>2</v>
      </c>
      <c r="F314">
        <v>59</v>
      </c>
      <c r="G314">
        <v>61</v>
      </c>
    </row>
    <row r="315" spans="1:7" x14ac:dyDescent="0.3">
      <c r="A315" s="2">
        <v>314</v>
      </c>
      <c r="B315">
        <v>0.19700000000000001</v>
      </c>
      <c r="C315">
        <v>0.37</v>
      </c>
      <c r="D315" s="2">
        <v>0.3881</v>
      </c>
      <c r="E315">
        <v>4</v>
      </c>
      <c r="F315">
        <v>73</v>
      </c>
      <c r="G315">
        <v>77</v>
      </c>
    </row>
    <row r="316" spans="1:7" x14ac:dyDescent="0.3">
      <c r="A316" s="2">
        <v>315</v>
      </c>
      <c r="B316">
        <v>0.21210000000000001</v>
      </c>
      <c r="C316">
        <v>0.41</v>
      </c>
      <c r="D316" s="2">
        <v>0.28360000000000002</v>
      </c>
      <c r="E316">
        <v>5</v>
      </c>
      <c r="F316">
        <v>59</v>
      </c>
      <c r="G316">
        <v>64</v>
      </c>
    </row>
    <row r="317" spans="1:7" x14ac:dyDescent="0.3">
      <c r="A317" s="2">
        <v>316</v>
      </c>
      <c r="B317">
        <v>0.2424</v>
      </c>
      <c r="C317">
        <v>0.38</v>
      </c>
      <c r="D317" s="2">
        <v>0.16420000000000001</v>
      </c>
      <c r="E317">
        <v>9</v>
      </c>
      <c r="F317">
        <v>59</v>
      </c>
      <c r="G317">
        <v>68</v>
      </c>
    </row>
    <row r="318" spans="1:7" x14ac:dyDescent="0.3">
      <c r="A318" s="2">
        <v>317</v>
      </c>
      <c r="B318">
        <v>0.2424</v>
      </c>
      <c r="C318">
        <v>0.41</v>
      </c>
      <c r="D318" s="2">
        <v>0.1045</v>
      </c>
      <c r="E318">
        <v>3</v>
      </c>
      <c r="F318">
        <v>87</v>
      </c>
      <c r="G318">
        <v>90</v>
      </c>
    </row>
    <row r="319" spans="1:7" x14ac:dyDescent="0.3">
      <c r="A319" s="2">
        <v>318</v>
      </c>
      <c r="B319">
        <v>0.2273</v>
      </c>
      <c r="C319">
        <v>0.41</v>
      </c>
      <c r="D319" s="2">
        <v>0.16420000000000001</v>
      </c>
      <c r="E319">
        <v>4</v>
      </c>
      <c r="F319">
        <v>155</v>
      </c>
      <c r="G319">
        <v>159</v>
      </c>
    </row>
    <row r="320" spans="1:7" x14ac:dyDescent="0.3">
      <c r="A320" s="2">
        <v>319</v>
      </c>
      <c r="B320">
        <v>0.2576</v>
      </c>
      <c r="C320">
        <v>0.47</v>
      </c>
      <c r="D320" s="2">
        <v>0</v>
      </c>
      <c r="E320">
        <v>5</v>
      </c>
      <c r="F320">
        <v>134</v>
      </c>
      <c r="G320">
        <v>139</v>
      </c>
    </row>
    <row r="321" spans="1:7" x14ac:dyDescent="0.3">
      <c r="A321" s="2">
        <v>320</v>
      </c>
      <c r="B321">
        <v>0.19700000000000001</v>
      </c>
      <c r="C321">
        <v>0.59</v>
      </c>
      <c r="D321" s="2">
        <v>8.9599999999999999E-2</v>
      </c>
      <c r="E321">
        <v>3</v>
      </c>
      <c r="F321">
        <v>89</v>
      </c>
      <c r="G321">
        <v>92</v>
      </c>
    </row>
    <row r="322" spans="1:7" x14ac:dyDescent="0.3">
      <c r="A322" s="2">
        <v>321</v>
      </c>
      <c r="B322">
        <v>0.2424</v>
      </c>
      <c r="C322">
        <v>0.59</v>
      </c>
      <c r="D322" s="2">
        <v>0</v>
      </c>
      <c r="E322">
        <v>0</v>
      </c>
      <c r="F322">
        <v>68</v>
      </c>
      <c r="G322">
        <v>68</v>
      </c>
    </row>
    <row r="323" spans="1:7" x14ac:dyDescent="0.3">
      <c r="A323" s="2">
        <v>322</v>
      </c>
      <c r="B323">
        <v>0.2273</v>
      </c>
      <c r="C323">
        <v>0.69</v>
      </c>
      <c r="D323" s="2">
        <v>0</v>
      </c>
      <c r="E323">
        <v>4</v>
      </c>
      <c r="F323">
        <v>48</v>
      </c>
      <c r="G323">
        <v>52</v>
      </c>
    </row>
    <row r="324" spans="1:7" x14ac:dyDescent="0.3">
      <c r="A324" s="2">
        <v>323</v>
      </c>
      <c r="B324">
        <v>0.2273</v>
      </c>
      <c r="C324">
        <v>0.69</v>
      </c>
      <c r="D324" s="2">
        <v>0</v>
      </c>
      <c r="E324">
        <v>2</v>
      </c>
      <c r="F324">
        <v>34</v>
      </c>
      <c r="G324">
        <v>36</v>
      </c>
    </row>
    <row r="325" spans="1:7" x14ac:dyDescent="0.3">
      <c r="A325" s="2">
        <v>324</v>
      </c>
      <c r="B325">
        <v>0.2424</v>
      </c>
      <c r="C325">
        <v>0.55000000000000004</v>
      </c>
      <c r="D325" s="2">
        <v>0</v>
      </c>
      <c r="E325">
        <v>1</v>
      </c>
      <c r="F325">
        <v>26</v>
      </c>
      <c r="G325">
        <v>27</v>
      </c>
    </row>
    <row r="326" spans="1:7" x14ac:dyDescent="0.3">
      <c r="A326" s="2">
        <v>325</v>
      </c>
      <c r="B326">
        <v>0.2424</v>
      </c>
      <c r="C326">
        <v>0.55000000000000004</v>
      </c>
      <c r="D326" s="2">
        <v>0</v>
      </c>
      <c r="E326">
        <v>3</v>
      </c>
      <c r="F326">
        <v>25</v>
      </c>
      <c r="G326">
        <v>28</v>
      </c>
    </row>
    <row r="327" spans="1:7" x14ac:dyDescent="0.3">
      <c r="A327" s="2">
        <v>326</v>
      </c>
      <c r="B327">
        <v>0.19700000000000001</v>
      </c>
      <c r="C327">
        <v>0.59</v>
      </c>
      <c r="D327" s="2">
        <v>8.9599999999999999E-2</v>
      </c>
      <c r="E327">
        <v>2</v>
      </c>
      <c r="F327">
        <v>18</v>
      </c>
      <c r="G327">
        <v>20</v>
      </c>
    </row>
    <row r="328" spans="1:7" x14ac:dyDescent="0.3">
      <c r="A328" s="2">
        <v>327</v>
      </c>
      <c r="B328">
        <v>0.19700000000000001</v>
      </c>
      <c r="C328">
        <v>0.59</v>
      </c>
      <c r="D328" s="2">
        <v>8.9599999999999999E-2</v>
      </c>
      <c r="E328">
        <v>0</v>
      </c>
      <c r="F328">
        <v>12</v>
      </c>
      <c r="G328">
        <v>12</v>
      </c>
    </row>
    <row r="329" spans="1:7" x14ac:dyDescent="0.3">
      <c r="A329" s="2">
        <v>328</v>
      </c>
      <c r="B329">
        <v>0.2273</v>
      </c>
      <c r="C329">
        <v>0.59</v>
      </c>
      <c r="D329" s="2">
        <v>0</v>
      </c>
      <c r="E329">
        <v>1</v>
      </c>
      <c r="F329">
        <v>7</v>
      </c>
      <c r="G329">
        <v>8</v>
      </c>
    </row>
    <row r="330" spans="1:7" x14ac:dyDescent="0.3">
      <c r="A330" s="2">
        <v>329</v>
      </c>
      <c r="B330">
        <v>0.2273</v>
      </c>
      <c r="C330">
        <v>0.59</v>
      </c>
      <c r="D330" s="2">
        <v>0</v>
      </c>
      <c r="E330">
        <v>0</v>
      </c>
      <c r="F330">
        <v>5</v>
      </c>
      <c r="G330">
        <v>5</v>
      </c>
    </row>
    <row r="331" spans="1:7" x14ac:dyDescent="0.3">
      <c r="A331" s="2">
        <v>330</v>
      </c>
      <c r="B331">
        <v>0.2273</v>
      </c>
      <c r="C331">
        <v>0.59</v>
      </c>
      <c r="D331" s="2">
        <v>0</v>
      </c>
      <c r="E331">
        <v>0</v>
      </c>
      <c r="F331">
        <v>1</v>
      </c>
      <c r="G331">
        <v>1</v>
      </c>
    </row>
    <row r="332" spans="1:7" x14ac:dyDescent="0.3">
      <c r="A332" s="2">
        <v>331</v>
      </c>
      <c r="B332">
        <v>0.16669999999999999</v>
      </c>
      <c r="C332">
        <v>0.63</v>
      </c>
      <c r="D332" s="2">
        <v>0.1045</v>
      </c>
      <c r="E332">
        <v>1</v>
      </c>
      <c r="F332">
        <v>2</v>
      </c>
      <c r="G332">
        <v>3</v>
      </c>
    </row>
    <row r="333" spans="1:7" x14ac:dyDescent="0.3">
      <c r="A333" s="2">
        <v>332</v>
      </c>
      <c r="B333">
        <v>0.21210000000000001</v>
      </c>
      <c r="C333">
        <v>0.63</v>
      </c>
      <c r="D333" s="2">
        <v>0</v>
      </c>
      <c r="E333">
        <v>1</v>
      </c>
      <c r="F333">
        <v>9</v>
      </c>
      <c r="G333">
        <v>10</v>
      </c>
    </row>
    <row r="334" spans="1:7" x14ac:dyDescent="0.3">
      <c r="A334" s="2">
        <v>333</v>
      </c>
      <c r="B334">
        <v>0.1515</v>
      </c>
      <c r="C334">
        <v>0.63</v>
      </c>
      <c r="D334" s="2">
        <v>0.1343</v>
      </c>
      <c r="E334">
        <v>1</v>
      </c>
      <c r="F334">
        <v>22</v>
      </c>
      <c r="G334">
        <v>23</v>
      </c>
    </row>
    <row r="335" spans="1:7" x14ac:dyDescent="0.3">
      <c r="A335" s="2">
        <v>334</v>
      </c>
      <c r="B335">
        <v>0.18179999999999999</v>
      </c>
      <c r="C335">
        <v>0.64</v>
      </c>
      <c r="D335" s="2">
        <v>0.1343</v>
      </c>
      <c r="E335">
        <v>2</v>
      </c>
      <c r="F335">
        <v>31</v>
      </c>
      <c r="G335">
        <v>33</v>
      </c>
    </row>
    <row r="336" spans="1:7" x14ac:dyDescent="0.3">
      <c r="A336" s="2">
        <v>335</v>
      </c>
      <c r="B336">
        <v>0.19700000000000001</v>
      </c>
      <c r="C336">
        <v>0.59</v>
      </c>
      <c r="D336" s="2">
        <v>0.16420000000000001</v>
      </c>
      <c r="E336">
        <v>2</v>
      </c>
      <c r="F336">
        <v>57</v>
      </c>
      <c r="G336">
        <v>59</v>
      </c>
    </row>
    <row r="337" spans="1:7" x14ac:dyDescent="0.3">
      <c r="A337" s="2">
        <v>336</v>
      </c>
      <c r="B337">
        <v>0.19700000000000001</v>
      </c>
      <c r="C337">
        <v>0.55000000000000004</v>
      </c>
      <c r="D337" s="2">
        <v>0.22389999999999999</v>
      </c>
      <c r="E337">
        <v>18</v>
      </c>
      <c r="F337">
        <v>54</v>
      </c>
      <c r="G337">
        <v>72</v>
      </c>
    </row>
    <row r="338" spans="1:7" x14ac:dyDescent="0.3">
      <c r="A338" s="2">
        <v>337</v>
      </c>
      <c r="B338">
        <v>0.2273</v>
      </c>
      <c r="C338">
        <v>0.48</v>
      </c>
      <c r="D338" s="2">
        <v>0.22389999999999999</v>
      </c>
      <c r="E338">
        <v>15</v>
      </c>
      <c r="F338">
        <v>74</v>
      </c>
      <c r="G338">
        <v>89</v>
      </c>
    </row>
    <row r="339" spans="1:7" x14ac:dyDescent="0.3">
      <c r="A339" s="2">
        <v>338</v>
      </c>
      <c r="B339">
        <v>0.2576</v>
      </c>
      <c r="C339">
        <v>0.38</v>
      </c>
      <c r="D339" s="2">
        <v>0.29849999999999999</v>
      </c>
      <c r="E339">
        <v>21</v>
      </c>
      <c r="F339">
        <v>80</v>
      </c>
      <c r="G339">
        <v>101</v>
      </c>
    </row>
    <row r="340" spans="1:7" x14ac:dyDescent="0.3">
      <c r="A340" s="2">
        <v>339</v>
      </c>
      <c r="B340">
        <v>0.28789999999999999</v>
      </c>
      <c r="C340">
        <v>0.39</v>
      </c>
      <c r="D340" s="2">
        <v>0.28360000000000002</v>
      </c>
      <c r="E340">
        <v>26</v>
      </c>
      <c r="F340">
        <v>92</v>
      </c>
      <c r="G340">
        <v>118</v>
      </c>
    </row>
    <row r="341" spans="1:7" x14ac:dyDescent="0.3">
      <c r="A341" s="2">
        <v>340</v>
      </c>
      <c r="B341">
        <v>0.31819999999999998</v>
      </c>
      <c r="C341">
        <v>0.36</v>
      </c>
      <c r="D341" s="2">
        <v>0.19400000000000001</v>
      </c>
      <c r="E341">
        <v>21</v>
      </c>
      <c r="F341">
        <v>108</v>
      </c>
      <c r="G341">
        <v>129</v>
      </c>
    </row>
    <row r="342" spans="1:7" x14ac:dyDescent="0.3">
      <c r="A342" s="2">
        <v>341</v>
      </c>
      <c r="B342">
        <v>0.33329999999999999</v>
      </c>
      <c r="C342">
        <v>0.34</v>
      </c>
      <c r="D342" s="2">
        <v>0.19400000000000001</v>
      </c>
      <c r="E342">
        <v>33</v>
      </c>
      <c r="F342">
        <v>95</v>
      </c>
      <c r="G342">
        <v>128</v>
      </c>
    </row>
    <row r="343" spans="1:7" x14ac:dyDescent="0.3">
      <c r="A343" s="2">
        <v>342</v>
      </c>
      <c r="B343">
        <v>0.30299999999999999</v>
      </c>
      <c r="C343">
        <v>0.36</v>
      </c>
      <c r="D343" s="2">
        <v>0.28360000000000002</v>
      </c>
      <c r="E343">
        <v>29</v>
      </c>
      <c r="F343">
        <v>54</v>
      </c>
      <c r="G343">
        <v>83</v>
      </c>
    </row>
    <row r="344" spans="1:7" x14ac:dyDescent="0.3">
      <c r="A344" s="2">
        <v>343</v>
      </c>
      <c r="B344">
        <v>0.28789999999999999</v>
      </c>
      <c r="C344">
        <v>0.45</v>
      </c>
      <c r="D344" s="2">
        <v>0.25369999999999998</v>
      </c>
      <c r="E344">
        <v>15</v>
      </c>
      <c r="F344">
        <v>69</v>
      </c>
      <c r="G344">
        <v>84</v>
      </c>
    </row>
    <row r="345" spans="1:7" x14ac:dyDescent="0.3">
      <c r="A345" s="2">
        <v>344</v>
      </c>
      <c r="B345">
        <v>0.30299999999999999</v>
      </c>
      <c r="C345">
        <v>0.39</v>
      </c>
      <c r="D345" s="2">
        <v>0.25369999999999998</v>
      </c>
      <c r="E345">
        <v>14</v>
      </c>
      <c r="F345">
        <v>60</v>
      </c>
      <c r="G345">
        <v>74</v>
      </c>
    </row>
    <row r="346" spans="1:7" x14ac:dyDescent="0.3">
      <c r="A346" s="2">
        <v>345</v>
      </c>
      <c r="B346">
        <v>0.30299999999999999</v>
      </c>
      <c r="C346">
        <v>0.39</v>
      </c>
      <c r="D346" s="2">
        <v>0.25369999999999998</v>
      </c>
      <c r="E346">
        <v>6</v>
      </c>
      <c r="F346">
        <v>35</v>
      </c>
      <c r="G346">
        <v>41</v>
      </c>
    </row>
    <row r="347" spans="1:7" x14ac:dyDescent="0.3">
      <c r="A347" s="2">
        <v>346</v>
      </c>
      <c r="B347">
        <v>0.30299999999999999</v>
      </c>
      <c r="C347">
        <v>0.39</v>
      </c>
      <c r="D347" s="2">
        <v>0.22389999999999999</v>
      </c>
      <c r="E347">
        <v>6</v>
      </c>
      <c r="F347">
        <v>51</v>
      </c>
      <c r="G347">
        <v>57</v>
      </c>
    </row>
    <row r="348" spans="1:7" x14ac:dyDescent="0.3">
      <c r="A348" s="2">
        <v>347</v>
      </c>
      <c r="B348">
        <v>0.31819999999999998</v>
      </c>
      <c r="C348">
        <v>0.42</v>
      </c>
      <c r="D348" s="2">
        <v>0.1045</v>
      </c>
      <c r="E348">
        <v>0</v>
      </c>
      <c r="F348">
        <v>26</v>
      </c>
      <c r="G348">
        <v>26</v>
      </c>
    </row>
    <row r="349" spans="1:7" x14ac:dyDescent="0.3">
      <c r="A349" s="2">
        <v>348</v>
      </c>
      <c r="B349">
        <v>0.28789999999999999</v>
      </c>
      <c r="C349">
        <v>0.45</v>
      </c>
      <c r="D349" s="2">
        <v>0.28360000000000002</v>
      </c>
      <c r="E349">
        <v>5</v>
      </c>
      <c r="F349">
        <v>39</v>
      </c>
      <c r="G349">
        <v>44</v>
      </c>
    </row>
    <row r="350" spans="1:7" x14ac:dyDescent="0.3">
      <c r="A350" s="2">
        <v>349</v>
      </c>
      <c r="B350">
        <v>0.30299999999999999</v>
      </c>
      <c r="C350">
        <v>0.56000000000000005</v>
      </c>
      <c r="D350" s="2">
        <v>0</v>
      </c>
      <c r="E350">
        <v>6</v>
      </c>
      <c r="F350">
        <v>33</v>
      </c>
      <c r="G350">
        <v>39</v>
      </c>
    </row>
    <row r="351" spans="1:7" x14ac:dyDescent="0.3">
      <c r="A351" s="2">
        <v>350</v>
      </c>
      <c r="B351">
        <v>0.2727</v>
      </c>
      <c r="C351">
        <v>0.56000000000000005</v>
      </c>
      <c r="D351" s="2">
        <v>0.1343</v>
      </c>
      <c r="E351">
        <v>4</v>
      </c>
      <c r="F351">
        <v>19</v>
      </c>
      <c r="G351">
        <v>23</v>
      </c>
    </row>
    <row r="352" spans="1:7" x14ac:dyDescent="0.3">
      <c r="A352" s="2">
        <v>351</v>
      </c>
      <c r="B352">
        <v>0.28789999999999999</v>
      </c>
      <c r="C352">
        <v>0.56000000000000005</v>
      </c>
      <c r="D352" s="2">
        <v>8.9599999999999999E-2</v>
      </c>
      <c r="E352">
        <v>3</v>
      </c>
      <c r="F352">
        <v>13</v>
      </c>
      <c r="G352">
        <v>16</v>
      </c>
    </row>
    <row r="353" spans="1:7" x14ac:dyDescent="0.3">
      <c r="A353" s="2">
        <v>352</v>
      </c>
      <c r="B353">
        <v>0.2727</v>
      </c>
      <c r="C353">
        <v>0.69</v>
      </c>
      <c r="D353" s="2">
        <v>0</v>
      </c>
      <c r="E353">
        <v>9</v>
      </c>
      <c r="F353">
        <v>6</v>
      </c>
      <c r="G353">
        <v>15</v>
      </c>
    </row>
    <row r="354" spans="1:7" x14ac:dyDescent="0.3">
      <c r="A354" s="2">
        <v>353</v>
      </c>
      <c r="B354">
        <v>0.2576</v>
      </c>
      <c r="C354">
        <v>0.56000000000000005</v>
      </c>
      <c r="D354" s="2">
        <v>0.16420000000000001</v>
      </c>
      <c r="E354">
        <v>0</v>
      </c>
      <c r="F354">
        <v>1</v>
      </c>
      <c r="G354">
        <v>1</v>
      </c>
    </row>
    <row r="355" spans="1:7" x14ac:dyDescent="0.3">
      <c r="A355" s="2">
        <v>354</v>
      </c>
      <c r="B355">
        <v>0.2576</v>
      </c>
      <c r="C355">
        <v>0.56000000000000005</v>
      </c>
      <c r="D355" s="2">
        <v>0.16420000000000001</v>
      </c>
      <c r="E355">
        <v>1</v>
      </c>
      <c r="F355">
        <v>1</v>
      </c>
      <c r="G355">
        <v>2</v>
      </c>
    </row>
    <row r="356" spans="1:7" x14ac:dyDescent="0.3">
      <c r="A356" s="2">
        <v>355</v>
      </c>
      <c r="B356">
        <v>0.2576</v>
      </c>
      <c r="C356">
        <v>0.56000000000000005</v>
      </c>
      <c r="D356" s="2">
        <v>0.16420000000000001</v>
      </c>
      <c r="E356">
        <v>0</v>
      </c>
      <c r="F356">
        <v>1</v>
      </c>
      <c r="G356">
        <v>1</v>
      </c>
    </row>
    <row r="357" spans="1:7" x14ac:dyDescent="0.3">
      <c r="A357" s="2">
        <v>356</v>
      </c>
      <c r="B357">
        <v>0.21210000000000001</v>
      </c>
      <c r="C357">
        <v>0.56000000000000005</v>
      </c>
      <c r="D357" s="2">
        <v>0.29849999999999999</v>
      </c>
      <c r="E357">
        <v>0</v>
      </c>
      <c r="F357">
        <v>3</v>
      </c>
      <c r="G357">
        <v>3</v>
      </c>
    </row>
    <row r="358" spans="1:7" x14ac:dyDescent="0.3">
      <c r="A358" s="2">
        <v>357</v>
      </c>
      <c r="B358">
        <v>0.21210000000000001</v>
      </c>
      <c r="C358">
        <v>0.55000000000000004</v>
      </c>
      <c r="D358" s="2">
        <v>0.28360000000000002</v>
      </c>
      <c r="E358">
        <v>0</v>
      </c>
      <c r="F358">
        <v>18</v>
      </c>
      <c r="G358">
        <v>18</v>
      </c>
    </row>
    <row r="359" spans="1:7" x14ac:dyDescent="0.3">
      <c r="A359" s="2">
        <v>358</v>
      </c>
      <c r="B359">
        <v>0.21210000000000001</v>
      </c>
      <c r="C359">
        <v>0.51</v>
      </c>
      <c r="D359" s="2">
        <v>0.25369999999999998</v>
      </c>
      <c r="E359">
        <v>3</v>
      </c>
      <c r="F359">
        <v>29</v>
      </c>
      <c r="G359">
        <v>32</v>
      </c>
    </row>
    <row r="360" spans="1:7" x14ac:dyDescent="0.3">
      <c r="A360" s="2">
        <v>359</v>
      </c>
      <c r="B360">
        <v>0.21210000000000001</v>
      </c>
      <c r="C360">
        <v>0.51</v>
      </c>
      <c r="D360" s="2">
        <v>0.28360000000000002</v>
      </c>
      <c r="E360">
        <v>8</v>
      </c>
      <c r="F360">
        <v>71</v>
      </c>
      <c r="G360">
        <v>79</v>
      </c>
    </row>
    <row r="361" spans="1:7" x14ac:dyDescent="0.3">
      <c r="A361" s="2">
        <v>360</v>
      </c>
      <c r="B361">
        <v>0.2273</v>
      </c>
      <c r="C361">
        <v>0.44</v>
      </c>
      <c r="D361" s="2">
        <v>0.25369999999999998</v>
      </c>
      <c r="E361">
        <v>23</v>
      </c>
      <c r="F361">
        <v>70</v>
      </c>
      <c r="G361">
        <v>93</v>
      </c>
    </row>
    <row r="362" spans="1:7" x14ac:dyDescent="0.3">
      <c r="A362" s="2">
        <v>361</v>
      </c>
      <c r="B362">
        <v>0.21210000000000001</v>
      </c>
      <c r="C362">
        <v>0.41</v>
      </c>
      <c r="D362" s="2">
        <v>0.28360000000000002</v>
      </c>
      <c r="E362">
        <v>29</v>
      </c>
      <c r="F362">
        <v>75</v>
      </c>
      <c r="G362">
        <v>104</v>
      </c>
    </row>
    <row r="363" spans="1:7" x14ac:dyDescent="0.3">
      <c r="A363" s="2">
        <v>362</v>
      </c>
      <c r="B363">
        <v>0.2273</v>
      </c>
      <c r="C363">
        <v>0.35</v>
      </c>
      <c r="D363" s="2">
        <v>0.29849999999999999</v>
      </c>
      <c r="E363">
        <v>23</v>
      </c>
      <c r="F363">
        <v>95</v>
      </c>
      <c r="G363">
        <v>118</v>
      </c>
    </row>
    <row r="364" spans="1:7" x14ac:dyDescent="0.3">
      <c r="A364" s="2">
        <v>363</v>
      </c>
      <c r="B364">
        <v>0.2727</v>
      </c>
      <c r="C364">
        <v>0.36</v>
      </c>
      <c r="D364" s="2">
        <v>0.25369999999999998</v>
      </c>
      <c r="E364">
        <v>22</v>
      </c>
      <c r="F364">
        <v>69</v>
      </c>
      <c r="G364">
        <v>91</v>
      </c>
    </row>
    <row r="365" spans="1:7" x14ac:dyDescent="0.3">
      <c r="A365" s="2">
        <v>364</v>
      </c>
      <c r="B365">
        <v>0.2424</v>
      </c>
      <c r="C365">
        <v>0.38</v>
      </c>
      <c r="D365" s="2">
        <v>0.25369999999999998</v>
      </c>
      <c r="E365">
        <v>35</v>
      </c>
      <c r="F365">
        <v>78</v>
      </c>
      <c r="G365">
        <v>113</v>
      </c>
    </row>
    <row r="366" spans="1:7" x14ac:dyDescent="0.3">
      <c r="A366" s="2">
        <v>365</v>
      </c>
      <c r="B366">
        <v>0.2273</v>
      </c>
      <c r="C366">
        <v>0.38</v>
      </c>
      <c r="D366" s="2">
        <v>0.22389999999999999</v>
      </c>
      <c r="E366">
        <v>22</v>
      </c>
      <c r="F366">
        <v>77</v>
      </c>
      <c r="G366">
        <v>99</v>
      </c>
    </row>
    <row r="367" spans="1:7" x14ac:dyDescent="0.3">
      <c r="A367" s="2">
        <v>366</v>
      </c>
      <c r="B367">
        <v>0.21210000000000001</v>
      </c>
      <c r="C367">
        <v>0.37</v>
      </c>
      <c r="D367" s="2">
        <v>0.25369999999999998</v>
      </c>
      <c r="E367">
        <v>23</v>
      </c>
      <c r="F367">
        <v>82</v>
      </c>
      <c r="G367">
        <v>105</v>
      </c>
    </row>
    <row r="368" spans="1:7" x14ac:dyDescent="0.3">
      <c r="A368" s="2">
        <v>367</v>
      </c>
      <c r="B368">
        <v>0.21210000000000001</v>
      </c>
      <c r="C368">
        <v>0.4</v>
      </c>
      <c r="D368" s="2">
        <v>0.16420000000000001</v>
      </c>
      <c r="E368">
        <v>11</v>
      </c>
      <c r="F368">
        <v>56</v>
      </c>
      <c r="G368">
        <v>67</v>
      </c>
    </row>
    <row r="369" spans="1:7" x14ac:dyDescent="0.3">
      <c r="A369" s="2">
        <v>368</v>
      </c>
      <c r="B369">
        <v>0.19700000000000001</v>
      </c>
      <c r="C369">
        <v>0.47</v>
      </c>
      <c r="D369" s="2">
        <v>0.1343</v>
      </c>
      <c r="E369">
        <v>14</v>
      </c>
      <c r="F369">
        <v>47</v>
      </c>
      <c r="G369">
        <v>61</v>
      </c>
    </row>
    <row r="370" spans="1:7" x14ac:dyDescent="0.3">
      <c r="A370" s="2">
        <v>369</v>
      </c>
      <c r="B370">
        <v>0.19700000000000001</v>
      </c>
      <c r="C370">
        <v>0.47</v>
      </c>
      <c r="D370" s="2">
        <v>0.16420000000000001</v>
      </c>
      <c r="E370">
        <v>7</v>
      </c>
      <c r="F370">
        <v>50</v>
      </c>
      <c r="G370">
        <v>57</v>
      </c>
    </row>
    <row r="371" spans="1:7" x14ac:dyDescent="0.3">
      <c r="A371" s="2">
        <v>370</v>
      </c>
      <c r="B371">
        <v>0.19700000000000001</v>
      </c>
      <c r="C371">
        <v>0.51</v>
      </c>
      <c r="D371" s="2">
        <v>0.16420000000000001</v>
      </c>
      <c r="E371">
        <v>6</v>
      </c>
      <c r="F371">
        <v>22</v>
      </c>
      <c r="G371">
        <v>28</v>
      </c>
    </row>
    <row r="372" spans="1:7" x14ac:dyDescent="0.3">
      <c r="A372" s="2">
        <v>371</v>
      </c>
      <c r="B372">
        <v>0.21210000000000001</v>
      </c>
      <c r="C372">
        <v>0.49</v>
      </c>
      <c r="D372" s="2">
        <v>0.1343</v>
      </c>
      <c r="E372">
        <v>2</v>
      </c>
      <c r="F372">
        <v>19</v>
      </c>
      <c r="G372">
        <v>21</v>
      </c>
    </row>
    <row r="373" spans="1:7" x14ac:dyDescent="0.3">
      <c r="A373" s="2">
        <v>372</v>
      </c>
      <c r="B373">
        <v>0.2273</v>
      </c>
      <c r="C373">
        <v>0.4</v>
      </c>
      <c r="D373" s="2">
        <v>0.1045</v>
      </c>
      <c r="E373">
        <v>0</v>
      </c>
      <c r="F373">
        <v>18</v>
      </c>
      <c r="G373">
        <v>18</v>
      </c>
    </row>
    <row r="374" spans="1:7" x14ac:dyDescent="0.3">
      <c r="A374" s="2">
        <v>373</v>
      </c>
      <c r="B374">
        <v>0.19700000000000001</v>
      </c>
      <c r="C374">
        <v>0.47</v>
      </c>
      <c r="D374" s="2">
        <v>0.22389999999999999</v>
      </c>
      <c r="E374">
        <v>1</v>
      </c>
      <c r="F374">
        <v>16</v>
      </c>
      <c r="G374">
        <v>17</v>
      </c>
    </row>
    <row r="375" spans="1:7" x14ac:dyDescent="0.3">
      <c r="A375" s="2">
        <v>374</v>
      </c>
      <c r="B375">
        <v>0.19700000000000001</v>
      </c>
      <c r="C375">
        <v>0.44</v>
      </c>
      <c r="D375" s="2">
        <v>0.19400000000000001</v>
      </c>
      <c r="E375">
        <v>1</v>
      </c>
      <c r="F375">
        <v>15</v>
      </c>
      <c r="G375">
        <v>16</v>
      </c>
    </row>
    <row r="376" spans="1:7" x14ac:dyDescent="0.3">
      <c r="A376" s="2">
        <v>375</v>
      </c>
      <c r="B376">
        <v>0.16669999999999999</v>
      </c>
      <c r="C376">
        <v>0.43</v>
      </c>
      <c r="D376" s="2">
        <v>0.25369999999999998</v>
      </c>
      <c r="E376">
        <v>0</v>
      </c>
      <c r="F376">
        <v>8</v>
      </c>
      <c r="G376">
        <v>8</v>
      </c>
    </row>
    <row r="377" spans="1:7" x14ac:dyDescent="0.3">
      <c r="A377" s="2">
        <v>376</v>
      </c>
      <c r="B377">
        <v>0.18179999999999999</v>
      </c>
      <c r="C377">
        <v>0.43</v>
      </c>
      <c r="D377" s="2">
        <v>0.19400000000000001</v>
      </c>
      <c r="E377">
        <v>0</v>
      </c>
      <c r="F377">
        <v>2</v>
      </c>
      <c r="G377">
        <v>2</v>
      </c>
    </row>
    <row r="378" spans="1:7" x14ac:dyDescent="0.3">
      <c r="A378" s="2">
        <v>377</v>
      </c>
      <c r="B378">
        <v>0.19700000000000001</v>
      </c>
      <c r="C378">
        <v>0.43</v>
      </c>
      <c r="D378" s="2">
        <v>0.1343</v>
      </c>
      <c r="E378">
        <v>1</v>
      </c>
      <c r="F378">
        <v>2</v>
      </c>
      <c r="G378">
        <v>3</v>
      </c>
    </row>
    <row r="379" spans="1:7" x14ac:dyDescent="0.3">
      <c r="A379" s="2">
        <v>378</v>
      </c>
      <c r="B379">
        <v>0.19700000000000001</v>
      </c>
      <c r="C379">
        <v>0.43</v>
      </c>
      <c r="D379" s="2">
        <v>0.16420000000000001</v>
      </c>
      <c r="E379">
        <v>0</v>
      </c>
      <c r="F379">
        <v>1</v>
      </c>
      <c r="G379">
        <v>1</v>
      </c>
    </row>
    <row r="380" spans="1:7" x14ac:dyDescent="0.3">
      <c r="A380" s="2">
        <v>379</v>
      </c>
      <c r="B380">
        <v>0.18179999999999999</v>
      </c>
      <c r="C380">
        <v>0.43</v>
      </c>
      <c r="D380" s="2">
        <v>0.19400000000000001</v>
      </c>
      <c r="E380">
        <v>0</v>
      </c>
      <c r="F380">
        <v>5</v>
      </c>
      <c r="G380">
        <v>5</v>
      </c>
    </row>
    <row r="381" spans="1:7" x14ac:dyDescent="0.3">
      <c r="A381" s="2">
        <v>380</v>
      </c>
      <c r="B381">
        <v>0.18179999999999999</v>
      </c>
      <c r="C381">
        <v>0.5</v>
      </c>
      <c r="D381" s="2">
        <v>0.1343</v>
      </c>
      <c r="E381">
        <v>4</v>
      </c>
      <c r="F381">
        <v>9</v>
      </c>
      <c r="G381">
        <v>13</v>
      </c>
    </row>
    <row r="382" spans="1:7" x14ac:dyDescent="0.3">
      <c r="A382" s="2">
        <v>381</v>
      </c>
      <c r="B382">
        <v>0.1515</v>
      </c>
      <c r="C382">
        <v>0.47</v>
      </c>
      <c r="D382" s="2">
        <v>0.22389999999999999</v>
      </c>
      <c r="E382">
        <v>3</v>
      </c>
      <c r="F382">
        <v>30</v>
      </c>
      <c r="G382">
        <v>33</v>
      </c>
    </row>
    <row r="383" spans="1:7" x14ac:dyDescent="0.3">
      <c r="A383" s="2">
        <v>382</v>
      </c>
      <c r="B383">
        <v>0.1515</v>
      </c>
      <c r="C383">
        <v>0.47</v>
      </c>
      <c r="D383" s="2">
        <v>0.22389999999999999</v>
      </c>
      <c r="E383">
        <v>8</v>
      </c>
      <c r="F383">
        <v>39</v>
      </c>
      <c r="G383">
        <v>47</v>
      </c>
    </row>
    <row r="384" spans="1:7" x14ac:dyDescent="0.3">
      <c r="A384" s="2">
        <v>383</v>
      </c>
      <c r="B384">
        <v>0.1515</v>
      </c>
      <c r="C384">
        <v>0.5</v>
      </c>
      <c r="D384" s="2">
        <v>0.25369999999999998</v>
      </c>
      <c r="E384">
        <v>7</v>
      </c>
      <c r="F384">
        <v>50</v>
      </c>
      <c r="G384">
        <v>57</v>
      </c>
    </row>
    <row r="385" spans="1:7" x14ac:dyDescent="0.3">
      <c r="A385" s="2">
        <v>384</v>
      </c>
      <c r="B385">
        <v>0.1515</v>
      </c>
      <c r="C385">
        <v>0.55000000000000004</v>
      </c>
      <c r="D385" s="2">
        <v>0.19400000000000001</v>
      </c>
      <c r="E385">
        <v>9</v>
      </c>
      <c r="F385">
        <v>55</v>
      </c>
      <c r="G385">
        <v>64</v>
      </c>
    </row>
    <row r="386" spans="1:7" x14ac:dyDescent="0.3">
      <c r="A386" s="2">
        <v>385</v>
      </c>
      <c r="B386">
        <v>0.19700000000000001</v>
      </c>
      <c r="C386">
        <v>0.47</v>
      </c>
      <c r="D386" s="2">
        <v>0.1343</v>
      </c>
      <c r="E386">
        <v>10</v>
      </c>
      <c r="F386">
        <v>70</v>
      </c>
      <c r="G386">
        <v>80</v>
      </c>
    </row>
    <row r="387" spans="1:7" x14ac:dyDescent="0.3">
      <c r="A387" s="2">
        <v>386</v>
      </c>
      <c r="B387">
        <v>0.19700000000000001</v>
      </c>
      <c r="C387">
        <v>0.47</v>
      </c>
      <c r="D387" s="2">
        <v>0.1343</v>
      </c>
      <c r="E387">
        <v>13</v>
      </c>
      <c r="F387">
        <v>80</v>
      </c>
      <c r="G387">
        <v>93</v>
      </c>
    </row>
    <row r="388" spans="1:7" x14ac:dyDescent="0.3">
      <c r="A388" s="2">
        <v>387</v>
      </c>
      <c r="B388">
        <v>0.21210000000000001</v>
      </c>
      <c r="C388">
        <v>0.43</v>
      </c>
      <c r="D388" s="2">
        <v>0.1045</v>
      </c>
      <c r="E388">
        <v>12</v>
      </c>
      <c r="F388">
        <v>74</v>
      </c>
      <c r="G388">
        <v>86</v>
      </c>
    </row>
    <row r="389" spans="1:7" x14ac:dyDescent="0.3">
      <c r="A389" s="2">
        <v>388</v>
      </c>
      <c r="B389">
        <v>0.21210000000000001</v>
      </c>
      <c r="C389">
        <v>0.47</v>
      </c>
      <c r="D389" s="2">
        <v>0.16420000000000001</v>
      </c>
      <c r="E389">
        <v>21</v>
      </c>
      <c r="F389">
        <v>72</v>
      </c>
      <c r="G389">
        <v>93</v>
      </c>
    </row>
    <row r="390" spans="1:7" x14ac:dyDescent="0.3">
      <c r="A390" s="2">
        <v>389</v>
      </c>
      <c r="B390">
        <v>0.21210000000000001</v>
      </c>
      <c r="C390">
        <v>0.47</v>
      </c>
      <c r="D390" s="2">
        <v>0.16420000000000001</v>
      </c>
      <c r="E390">
        <v>6</v>
      </c>
      <c r="F390">
        <v>76</v>
      </c>
      <c r="G390">
        <v>82</v>
      </c>
    </row>
    <row r="391" spans="1:7" x14ac:dyDescent="0.3">
      <c r="A391" s="2">
        <v>390</v>
      </c>
      <c r="B391">
        <v>0.19700000000000001</v>
      </c>
      <c r="C391">
        <v>0.51</v>
      </c>
      <c r="D391" s="2">
        <v>0.19400000000000001</v>
      </c>
      <c r="E391">
        <v>4</v>
      </c>
      <c r="F391">
        <v>67</v>
      </c>
      <c r="G391">
        <v>71</v>
      </c>
    </row>
    <row r="392" spans="1:7" x14ac:dyDescent="0.3">
      <c r="A392" s="2">
        <v>391</v>
      </c>
      <c r="B392">
        <v>0.16669999999999999</v>
      </c>
      <c r="C392">
        <v>0.55000000000000004</v>
      </c>
      <c r="D392" s="2">
        <v>0.25369999999999998</v>
      </c>
      <c r="E392">
        <v>7</v>
      </c>
      <c r="F392">
        <v>85</v>
      </c>
      <c r="G392">
        <v>92</v>
      </c>
    </row>
    <row r="393" spans="1:7" x14ac:dyDescent="0.3">
      <c r="A393" s="2">
        <v>392</v>
      </c>
      <c r="B393">
        <v>0.18179999999999999</v>
      </c>
      <c r="C393">
        <v>0.59</v>
      </c>
      <c r="D393" s="2">
        <v>0.19400000000000001</v>
      </c>
      <c r="E393">
        <v>2</v>
      </c>
      <c r="F393">
        <v>58</v>
      </c>
      <c r="G393">
        <v>60</v>
      </c>
    </row>
    <row r="394" spans="1:7" x14ac:dyDescent="0.3">
      <c r="A394" s="2">
        <v>393</v>
      </c>
      <c r="B394">
        <v>0.1515</v>
      </c>
      <c r="C394">
        <v>0.8</v>
      </c>
      <c r="D394" s="2">
        <v>0.19400000000000001</v>
      </c>
      <c r="E394">
        <v>4</v>
      </c>
      <c r="F394">
        <v>29</v>
      </c>
      <c r="G394">
        <v>33</v>
      </c>
    </row>
    <row r="395" spans="1:7" x14ac:dyDescent="0.3">
      <c r="A395" s="2">
        <v>394</v>
      </c>
      <c r="B395">
        <v>0.1515</v>
      </c>
      <c r="C395">
        <v>0.8</v>
      </c>
      <c r="D395" s="2">
        <v>0.19400000000000001</v>
      </c>
      <c r="E395">
        <v>3</v>
      </c>
      <c r="F395">
        <v>24</v>
      </c>
      <c r="G395">
        <v>27</v>
      </c>
    </row>
    <row r="396" spans="1:7" x14ac:dyDescent="0.3">
      <c r="A396" s="2">
        <v>395</v>
      </c>
      <c r="B396">
        <v>0.1212</v>
      </c>
      <c r="C396">
        <v>0.93</v>
      </c>
      <c r="D396" s="2">
        <v>0.25369999999999998</v>
      </c>
      <c r="E396">
        <v>0</v>
      </c>
      <c r="F396">
        <v>13</v>
      </c>
      <c r="G396">
        <v>13</v>
      </c>
    </row>
    <row r="397" spans="1:7" x14ac:dyDescent="0.3">
      <c r="A397" s="2">
        <v>396</v>
      </c>
      <c r="B397">
        <v>0.13639999999999999</v>
      </c>
      <c r="C397">
        <v>0.86</v>
      </c>
      <c r="D397" s="2">
        <v>0.28360000000000002</v>
      </c>
      <c r="E397">
        <v>1</v>
      </c>
      <c r="F397">
        <v>3</v>
      </c>
      <c r="G397">
        <v>4</v>
      </c>
    </row>
    <row r="398" spans="1:7" x14ac:dyDescent="0.3">
      <c r="A398" s="2">
        <v>397</v>
      </c>
      <c r="B398">
        <v>0.18179999999999999</v>
      </c>
      <c r="C398">
        <v>0.86</v>
      </c>
      <c r="D398" s="2">
        <v>0.32840000000000003</v>
      </c>
      <c r="E398">
        <v>0</v>
      </c>
      <c r="F398">
        <v>3</v>
      </c>
      <c r="G398">
        <v>3</v>
      </c>
    </row>
    <row r="399" spans="1:7" x14ac:dyDescent="0.3">
      <c r="A399" s="2">
        <v>398</v>
      </c>
      <c r="B399">
        <v>0.19700000000000001</v>
      </c>
      <c r="C399">
        <v>0.86</v>
      </c>
      <c r="D399" s="2">
        <v>0.22389999999999999</v>
      </c>
      <c r="E399">
        <v>0</v>
      </c>
      <c r="F399">
        <v>22</v>
      </c>
      <c r="G399">
        <v>22</v>
      </c>
    </row>
    <row r="400" spans="1:7" x14ac:dyDescent="0.3">
      <c r="A400" s="2">
        <v>399</v>
      </c>
      <c r="B400">
        <v>0.2273</v>
      </c>
      <c r="C400">
        <v>0.8</v>
      </c>
      <c r="D400" s="2">
        <v>0.16420000000000001</v>
      </c>
      <c r="E400">
        <v>2</v>
      </c>
      <c r="F400">
        <v>26</v>
      </c>
      <c r="G400">
        <v>28</v>
      </c>
    </row>
    <row r="401" spans="1:7" x14ac:dyDescent="0.3">
      <c r="A401" s="2">
        <v>400</v>
      </c>
      <c r="B401">
        <v>0.2273</v>
      </c>
      <c r="C401">
        <v>0.87</v>
      </c>
      <c r="D401" s="2">
        <v>0.16420000000000001</v>
      </c>
      <c r="E401">
        <v>3</v>
      </c>
      <c r="F401">
        <v>32</v>
      </c>
      <c r="G401">
        <v>35</v>
      </c>
    </row>
    <row r="402" spans="1:7" x14ac:dyDescent="0.3">
      <c r="A402" s="2">
        <v>401</v>
      </c>
      <c r="B402">
        <v>0.2273</v>
      </c>
      <c r="C402">
        <v>0.87</v>
      </c>
      <c r="D402" s="2">
        <v>0.19400000000000001</v>
      </c>
      <c r="E402">
        <v>0</v>
      </c>
      <c r="F402">
        <v>61</v>
      </c>
      <c r="G402">
        <v>61</v>
      </c>
    </row>
    <row r="403" spans="1:7" x14ac:dyDescent="0.3">
      <c r="A403" s="2">
        <v>402</v>
      </c>
      <c r="B403">
        <v>0.2273</v>
      </c>
      <c r="C403">
        <v>0.82</v>
      </c>
      <c r="D403" s="2">
        <v>0.19400000000000001</v>
      </c>
      <c r="E403">
        <v>1</v>
      </c>
      <c r="F403">
        <v>124</v>
      </c>
      <c r="G403">
        <v>125</v>
      </c>
    </row>
    <row r="404" spans="1:7" x14ac:dyDescent="0.3">
      <c r="A404" s="2">
        <v>403</v>
      </c>
      <c r="B404">
        <v>0.2273</v>
      </c>
      <c r="C404">
        <v>0.8</v>
      </c>
      <c r="D404" s="2">
        <v>0.16420000000000001</v>
      </c>
      <c r="E404">
        <v>1</v>
      </c>
      <c r="F404">
        <v>132</v>
      </c>
      <c r="G404">
        <v>133</v>
      </c>
    </row>
    <row r="405" spans="1:7" x14ac:dyDescent="0.3">
      <c r="A405" s="2">
        <v>404</v>
      </c>
      <c r="B405">
        <v>0.2273</v>
      </c>
      <c r="C405">
        <v>0.8</v>
      </c>
      <c r="D405" s="2">
        <v>0.1343</v>
      </c>
      <c r="E405">
        <v>1</v>
      </c>
      <c r="F405">
        <v>98</v>
      </c>
      <c r="G405">
        <v>99</v>
      </c>
    </row>
    <row r="406" spans="1:7" x14ac:dyDescent="0.3">
      <c r="A406" s="2">
        <v>405</v>
      </c>
      <c r="B406">
        <v>0.2727</v>
      </c>
      <c r="C406">
        <v>0.87</v>
      </c>
      <c r="D406" s="2">
        <v>0</v>
      </c>
      <c r="E406">
        <v>0</v>
      </c>
      <c r="F406">
        <v>83</v>
      </c>
      <c r="G406">
        <v>83</v>
      </c>
    </row>
    <row r="407" spans="1:7" x14ac:dyDescent="0.3">
      <c r="A407" s="2">
        <v>406</v>
      </c>
      <c r="B407">
        <v>0.2424</v>
      </c>
      <c r="C407">
        <v>0.93</v>
      </c>
      <c r="D407" s="2">
        <v>0.1045</v>
      </c>
      <c r="E407">
        <v>0</v>
      </c>
      <c r="F407">
        <v>41</v>
      </c>
      <c r="G407">
        <v>41</v>
      </c>
    </row>
    <row r="408" spans="1:7" x14ac:dyDescent="0.3">
      <c r="A408" s="2">
        <v>407</v>
      </c>
      <c r="B408">
        <v>0.2576</v>
      </c>
      <c r="C408">
        <v>0.93</v>
      </c>
      <c r="D408" s="2">
        <v>8.9599999999999999E-2</v>
      </c>
      <c r="E408">
        <v>0</v>
      </c>
      <c r="F408">
        <v>33</v>
      </c>
      <c r="G408">
        <v>33</v>
      </c>
    </row>
    <row r="409" spans="1:7" x14ac:dyDescent="0.3">
      <c r="A409" s="2">
        <v>408</v>
      </c>
      <c r="B409">
        <v>0.2727</v>
      </c>
      <c r="C409">
        <v>0.93</v>
      </c>
      <c r="D409" s="2">
        <v>0</v>
      </c>
      <c r="E409">
        <v>1</v>
      </c>
      <c r="F409">
        <v>19</v>
      </c>
      <c r="G409">
        <v>20</v>
      </c>
    </row>
    <row r="410" spans="1:7" x14ac:dyDescent="0.3">
      <c r="A410" s="2">
        <v>409</v>
      </c>
      <c r="B410">
        <v>0.2727</v>
      </c>
      <c r="C410">
        <v>0.93</v>
      </c>
      <c r="D410" s="2">
        <v>0</v>
      </c>
      <c r="E410">
        <v>0</v>
      </c>
      <c r="F410">
        <v>3</v>
      </c>
      <c r="G410">
        <v>3</v>
      </c>
    </row>
    <row r="411" spans="1:7" x14ac:dyDescent="0.3">
      <c r="A411" s="2">
        <v>410</v>
      </c>
      <c r="B411">
        <v>0.2273</v>
      </c>
      <c r="C411">
        <v>0.93</v>
      </c>
      <c r="D411" s="2">
        <v>0.1343</v>
      </c>
      <c r="E411">
        <v>1</v>
      </c>
      <c r="F411">
        <v>6</v>
      </c>
      <c r="G411">
        <v>7</v>
      </c>
    </row>
    <row r="412" spans="1:7" x14ac:dyDescent="0.3">
      <c r="A412" s="2">
        <v>411</v>
      </c>
      <c r="B412">
        <v>0.2273</v>
      </c>
      <c r="C412">
        <v>0.93</v>
      </c>
      <c r="D412" s="2">
        <v>0.1343</v>
      </c>
      <c r="E412">
        <v>0</v>
      </c>
      <c r="F412">
        <v>3</v>
      </c>
      <c r="G412">
        <v>3</v>
      </c>
    </row>
    <row r="413" spans="1:7" x14ac:dyDescent="0.3">
      <c r="A413" s="2">
        <v>412</v>
      </c>
      <c r="B413">
        <v>0.2273</v>
      </c>
      <c r="C413">
        <v>0.93</v>
      </c>
      <c r="D413" s="2">
        <v>0.1343</v>
      </c>
      <c r="E413">
        <v>1</v>
      </c>
      <c r="F413">
        <v>1</v>
      </c>
      <c r="G413">
        <v>2</v>
      </c>
    </row>
    <row r="414" spans="1:7" x14ac:dyDescent="0.3">
      <c r="A414" s="2">
        <v>413</v>
      </c>
      <c r="B414">
        <v>0.2576</v>
      </c>
      <c r="C414">
        <v>0.93</v>
      </c>
      <c r="D414" s="2">
        <v>8.9599999999999999E-2</v>
      </c>
      <c r="E414">
        <v>0</v>
      </c>
      <c r="F414">
        <v>7</v>
      </c>
      <c r="G414">
        <v>7</v>
      </c>
    </row>
    <row r="415" spans="1:7" x14ac:dyDescent="0.3">
      <c r="A415" s="2">
        <v>414</v>
      </c>
      <c r="B415">
        <v>0.2576</v>
      </c>
      <c r="C415">
        <v>0.93</v>
      </c>
      <c r="D415" s="2">
        <v>8.9599999999999999E-2</v>
      </c>
      <c r="E415">
        <v>0</v>
      </c>
      <c r="F415">
        <v>32</v>
      </c>
      <c r="G415">
        <v>32</v>
      </c>
    </row>
    <row r="416" spans="1:7" x14ac:dyDescent="0.3">
      <c r="A416" s="2">
        <v>415</v>
      </c>
      <c r="B416">
        <v>0.2576</v>
      </c>
      <c r="C416">
        <v>0.92</v>
      </c>
      <c r="D416" s="2">
        <v>0.1045</v>
      </c>
      <c r="E416">
        <v>1</v>
      </c>
      <c r="F416">
        <v>89</v>
      </c>
      <c r="G416">
        <v>90</v>
      </c>
    </row>
    <row r="417" spans="1:7" x14ac:dyDescent="0.3">
      <c r="A417" s="2">
        <v>416</v>
      </c>
      <c r="B417">
        <v>0.2576</v>
      </c>
      <c r="C417">
        <v>0.93</v>
      </c>
      <c r="D417" s="2">
        <v>0.1045</v>
      </c>
      <c r="E417">
        <v>1</v>
      </c>
      <c r="F417">
        <v>196</v>
      </c>
      <c r="G417">
        <v>197</v>
      </c>
    </row>
    <row r="418" spans="1:7" x14ac:dyDescent="0.3">
      <c r="A418" s="2">
        <v>417</v>
      </c>
      <c r="B418">
        <v>0.2576</v>
      </c>
      <c r="C418">
        <v>0.93</v>
      </c>
      <c r="D418" s="2">
        <v>0.1045</v>
      </c>
      <c r="E418">
        <v>2</v>
      </c>
      <c r="F418">
        <v>107</v>
      </c>
      <c r="G418">
        <v>109</v>
      </c>
    </row>
    <row r="419" spans="1:7" x14ac:dyDescent="0.3">
      <c r="A419" s="2">
        <v>418</v>
      </c>
      <c r="B419">
        <v>0.2727</v>
      </c>
      <c r="C419">
        <v>0.93</v>
      </c>
      <c r="D419" s="2">
        <v>0.1343</v>
      </c>
      <c r="E419">
        <v>1</v>
      </c>
      <c r="F419">
        <v>46</v>
      </c>
      <c r="G419">
        <v>47</v>
      </c>
    </row>
    <row r="420" spans="1:7" x14ac:dyDescent="0.3">
      <c r="A420" s="2">
        <v>419</v>
      </c>
      <c r="B420">
        <v>0.30299999999999999</v>
      </c>
      <c r="C420">
        <v>0.87</v>
      </c>
      <c r="D420" s="2">
        <v>8.9599999999999999E-2</v>
      </c>
      <c r="E420">
        <v>5</v>
      </c>
      <c r="F420">
        <v>47</v>
      </c>
      <c r="G420">
        <v>52</v>
      </c>
    </row>
    <row r="421" spans="1:7" x14ac:dyDescent="0.3">
      <c r="A421" s="2">
        <v>420</v>
      </c>
      <c r="B421">
        <v>0.31819999999999998</v>
      </c>
      <c r="C421">
        <v>0.81</v>
      </c>
      <c r="D421" s="2">
        <v>8.9599999999999999E-2</v>
      </c>
      <c r="E421">
        <v>5</v>
      </c>
      <c r="F421">
        <v>65</v>
      </c>
      <c r="G421">
        <v>70</v>
      </c>
    </row>
    <row r="422" spans="1:7" x14ac:dyDescent="0.3">
      <c r="A422" s="2">
        <v>421</v>
      </c>
      <c r="B422">
        <v>0.40910000000000002</v>
      </c>
      <c r="C422">
        <v>0.62</v>
      </c>
      <c r="D422" s="2">
        <v>0.28360000000000002</v>
      </c>
      <c r="E422">
        <v>11</v>
      </c>
      <c r="F422">
        <v>67</v>
      </c>
      <c r="G422">
        <v>78</v>
      </c>
    </row>
    <row r="423" spans="1:7" x14ac:dyDescent="0.3">
      <c r="A423" s="2">
        <v>422</v>
      </c>
      <c r="B423">
        <v>0.40910000000000002</v>
      </c>
      <c r="C423">
        <v>0.57999999999999996</v>
      </c>
      <c r="D423" s="2">
        <v>0.25369999999999998</v>
      </c>
      <c r="E423">
        <v>7</v>
      </c>
      <c r="F423">
        <v>68</v>
      </c>
      <c r="G423">
        <v>75</v>
      </c>
    </row>
    <row r="424" spans="1:7" x14ac:dyDescent="0.3">
      <c r="A424" s="2">
        <v>423</v>
      </c>
      <c r="B424">
        <v>0.40910000000000002</v>
      </c>
      <c r="C424">
        <v>0.54</v>
      </c>
      <c r="D424" s="2">
        <v>0.28360000000000002</v>
      </c>
      <c r="E424">
        <v>4</v>
      </c>
      <c r="F424">
        <v>78</v>
      </c>
      <c r="G424">
        <v>82</v>
      </c>
    </row>
    <row r="425" spans="1:7" x14ac:dyDescent="0.3">
      <c r="A425" s="2">
        <v>424</v>
      </c>
      <c r="B425">
        <v>0.39389999999999997</v>
      </c>
      <c r="C425">
        <v>0.57999999999999996</v>
      </c>
      <c r="D425" s="2">
        <v>0.3881</v>
      </c>
      <c r="E425">
        <v>10</v>
      </c>
      <c r="F425">
        <v>94</v>
      </c>
      <c r="G425">
        <v>104</v>
      </c>
    </row>
    <row r="426" spans="1:7" x14ac:dyDescent="0.3">
      <c r="A426" s="2">
        <v>425</v>
      </c>
      <c r="B426">
        <v>0.33329999999999999</v>
      </c>
      <c r="C426">
        <v>0.56999999999999995</v>
      </c>
      <c r="D426" s="2">
        <v>0.32840000000000003</v>
      </c>
      <c r="E426">
        <v>7</v>
      </c>
      <c r="F426">
        <v>190</v>
      </c>
      <c r="G426">
        <v>197</v>
      </c>
    </row>
    <row r="427" spans="1:7" x14ac:dyDescent="0.3">
      <c r="A427" s="2">
        <v>426</v>
      </c>
      <c r="B427">
        <v>0.31819999999999998</v>
      </c>
      <c r="C427">
        <v>0.61</v>
      </c>
      <c r="D427" s="2">
        <v>0.28360000000000002</v>
      </c>
      <c r="E427">
        <v>5</v>
      </c>
      <c r="F427">
        <v>156</v>
      </c>
      <c r="G427">
        <v>161</v>
      </c>
    </row>
    <row r="428" spans="1:7" x14ac:dyDescent="0.3">
      <c r="A428" s="2">
        <v>427</v>
      </c>
      <c r="B428">
        <v>0.28789999999999999</v>
      </c>
      <c r="C428">
        <v>0.56999999999999995</v>
      </c>
      <c r="D428" s="2">
        <v>0.41789999999999999</v>
      </c>
      <c r="E428">
        <v>4</v>
      </c>
      <c r="F428">
        <v>108</v>
      </c>
      <c r="G428">
        <v>112</v>
      </c>
    </row>
    <row r="429" spans="1:7" x14ac:dyDescent="0.3">
      <c r="A429" s="2">
        <v>428</v>
      </c>
      <c r="B429">
        <v>0.30299999999999999</v>
      </c>
      <c r="C429">
        <v>0.49</v>
      </c>
      <c r="D429" s="2">
        <v>0.29849999999999999</v>
      </c>
      <c r="E429">
        <v>2</v>
      </c>
      <c r="F429">
        <v>74</v>
      </c>
      <c r="G429">
        <v>76</v>
      </c>
    </row>
    <row r="430" spans="1:7" x14ac:dyDescent="0.3">
      <c r="A430" s="2">
        <v>429</v>
      </c>
      <c r="B430">
        <v>0.28789999999999999</v>
      </c>
      <c r="C430">
        <v>0.49</v>
      </c>
      <c r="D430" s="2">
        <v>0.41789999999999999</v>
      </c>
      <c r="E430">
        <v>4</v>
      </c>
      <c r="F430">
        <v>55</v>
      </c>
      <c r="G430">
        <v>59</v>
      </c>
    </row>
    <row r="431" spans="1:7" x14ac:dyDescent="0.3">
      <c r="A431" s="2">
        <v>430</v>
      </c>
      <c r="B431">
        <v>0.30299999999999999</v>
      </c>
      <c r="C431">
        <v>0.52</v>
      </c>
      <c r="D431" s="2">
        <v>0.16420000000000001</v>
      </c>
      <c r="E431">
        <v>6</v>
      </c>
      <c r="F431">
        <v>53</v>
      </c>
      <c r="G431">
        <v>59</v>
      </c>
    </row>
    <row r="432" spans="1:7" x14ac:dyDescent="0.3">
      <c r="A432" s="2">
        <v>431</v>
      </c>
      <c r="B432">
        <v>0.2727</v>
      </c>
      <c r="C432">
        <v>0.52</v>
      </c>
      <c r="D432" s="2">
        <v>0.4627</v>
      </c>
      <c r="E432">
        <v>1</v>
      </c>
      <c r="F432">
        <v>27</v>
      </c>
      <c r="G432">
        <v>28</v>
      </c>
    </row>
    <row r="433" spans="1:7" x14ac:dyDescent="0.3">
      <c r="A433" s="2">
        <v>432</v>
      </c>
      <c r="B433">
        <v>0.2273</v>
      </c>
      <c r="C433">
        <v>0.56000000000000005</v>
      </c>
      <c r="D433" s="2">
        <v>0.3881</v>
      </c>
      <c r="E433">
        <v>5</v>
      </c>
      <c r="F433">
        <v>8</v>
      </c>
      <c r="G433">
        <v>13</v>
      </c>
    </row>
    <row r="434" spans="1:7" x14ac:dyDescent="0.3">
      <c r="A434" s="2">
        <v>433</v>
      </c>
      <c r="B434">
        <v>0.2727</v>
      </c>
      <c r="C434">
        <v>0.56000000000000005</v>
      </c>
      <c r="D434" s="2">
        <v>0</v>
      </c>
      <c r="E434">
        <v>2</v>
      </c>
      <c r="F434">
        <v>3</v>
      </c>
      <c r="G434">
        <v>5</v>
      </c>
    </row>
    <row r="435" spans="1:7" x14ac:dyDescent="0.3">
      <c r="A435" s="2">
        <v>434</v>
      </c>
      <c r="B435">
        <v>0.2727</v>
      </c>
      <c r="C435">
        <v>0.56000000000000005</v>
      </c>
      <c r="D435" s="2">
        <v>0</v>
      </c>
      <c r="E435">
        <v>0</v>
      </c>
      <c r="F435">
        <v>2</v>
      </c>
      <c r="G435">
        <v>2</v>
      </c>
    </row>
    <row r="436" spans="1:7" x14ac:dyDescent="0.3">
      <c r="A436" s="2">
        <v>435</v>
      </c>
      <c r="B436">
        <v>0.2576</v>
      </c>
      <c r="C436">
        <v>0.56000000000000005</v>
      </c>
      <c r="D436" s="2">
        <v>0.16420000000000001</v>
      </c>
      <c r="E436">
        <v>0</v>
      </c>
      <c r="F436">
        <v>1</v>
      </c>
      <c r="G436">
        <v>1</v>
      </c>
    </row>
    <row r="437" spans="1:7" x14ac:dyDescent="0.3">
      <c r="A437" s="2">
        <v>436</v>
      </c>
      <c r="B437">
        <v>0.2576</v>
      </c>
      <c r="C437">
        <v>0.56000000000000005</v>
      </c>
      <c r="D437" s="2">
        <v>0.16420000000000001</v>
      </c>
      <c r="E437">
        <v>0</v>
      </c>
      <c r="F437">
        <v>1</v>
      </c>
      <c r="G437">
        <v>1</v>
      </c>
    </row>
    <row r="438" spans="1:7" x14ac:dyDescent="0.3">
      <c r="A438" s="2">
        <v>437</v>
      </c>
      <c r="B438">
        <v>0.2273</v>
      </c>
      <c r="C438">
        <v>0.6</v>
      </c>
      <c r="D438" s="2">
        <v>0.22389999999999999</v>
      </c>
      <c r="E438">
        <v>0</v>
      </c>
      <c r="F438">
        <v>6</v>
      </c>
      <c r="G438">
        <v>6</v>
      </c>
    </row>
    <row r="439" spans="1:7" x14ac:dyDescent="0.3">
      <c r="A439" s="2">
        <v>438</v>
      </c>
      <c r="B439">
        <v>0.21210000000000001</v>
      </c>
      <c r="C439">
        <v>0.6</v>
      </c>
      <c r="D439" s="2">
        <v>0.22389999999999999</v>
      </c>
      <c r="E439">
        <v>0</v>
      </c>
      <c r="F439">
        <v>35</v>
      </c>
      <c r="G439">
        <v>35</v>
      </c>
    </row>
    <row r="440" spans="1:7" x14ac:dyDescent="0.3">
      <c r="A440" s="2">
        <v>439</v>
      </c>
      <c r="B440">
        <v>0.21210000000000001</v>
      </c>
      <c r="C440">
        <v>0.55000000000000004</v>
      </c>
      <c r="D440" s="2">
        <v>0.22389999999999999</v>
      </c>
      <c r="E440">
        <v>1</v>
      </c>
      <c r="F440">
        <v>100</v>
      </c>
      <c r="G440">
        <v>101</v>
      </c>
    </row>
    <row r="441" spans="1:7" x14ac:dyDescent="0.3">
      <c r="A441" s="2">
        <v>440</v>
      </c>
      <c r="B441">
        <v>0.21210000000000001</v>
      </c>
      <c r="C441">
        <v>0.55000000000000004</v>
      </c>
      <c r="D441" s="2">
        <v>0.28360000000000002</v>
      </c>
      <c r="E441">
        <v>2</v>
      </c>
      <c r="F441">
        <v>247</v>
      </c>
      <c r="G441">
        <v>249</v>
      </c>
    </row>
    <row r="442" spans="1:7" x14ac:dyDescent="0.3">
      <c r="A442" s="2">
        <v>441</v>
      </c>
      <c r="B442">
        <v>0.2273</v>
      </c>
      <c r="C442">
        <v>0.52</v>
      </c>
      <c r="D442" s="2">
        <v>0.22389999999999999</v>
      </c>
      <c r="E442">
        <v>3</v>
      </c>
      <c r="F442">
        <v>140</v>
      </c>
      <c r="G442">
        <v>143</v>
      </c>
    </row>
    <row r="443" spans="1:7" x14ac:dyDescent="0.3">
      <c r="A443" s="2">
        <v>442</v>
      </c>
      <c r="B443">
        <v>0.2273</v>
      </c>
      <c r="C443">
        <v>0.48</v>
      </c>
      <c r="D443" s="2">
        <v>0.29849999999999999</v>
      </c>
      <c r="E443">
        <v>1</v>
      </c>
      <c r="F443">
        <v>56</v>
      </c>
      <c r="G443">
        <v>57</v>
      </c>
    </row>
    <row r="444" spans="1:7" x14ac:dyDescent="0.3">
      <c r="A444" s="2">
        <v>443</v>
      </c>
      <c r="B444">
        <v>0.2727</v>
      </c>
      <c r="C444">
        <v>0.45</v>
      </c>
      <c r="D444" s="2">
        <v>0.16420000000000001</v>
      </c>
      <c r="E444">
        <v>5</v>
      </c>
      <c r="F444">
        <v>63</v>
      </c>
      <c r="G444">
        <v>68</v>
      </c>
    </row>
    <row r="445" spans="1:7" x14ac:dyDescent="0.3">
      <c r="A445" s="2">
        <v>444</v>
      </c>
      <c r="B445">
        <v>0.33329999999999999</v>
      </c>
      <c r="C445">
        <v>0.42</v>
      </c>
      <c r="D445" s="2">
        <v>0</v>
      </c>
      <c r="E445">
        <v>7</v>
      </c>
      <c r="F445">
        <v>77</v>
      </c>
      <c r="G445">
        <v>84</v>
      </c>
    </row>
    <row r="446" spans="1:7" x14ac:dyDescent="0.3">
      <c r="A446" s="2">
        <v>445</v>
      </c>
      <c r="B446">
        <v>0.28789999999999999</v>
      </c>
      <c r="C446">
        <v>0.45</v>
      </c>
      <c r="D446" s="2">
        <v>0.1045</v>
      </c>
      <c r="E446">
        <v>12</v>
      </c>
      <c r="F446">
        <v>86</v>
      </c>
      <c r="G446">
        <v>98</v>
      </c>
    </row>
    <row r="447" spans="1:7" x14ac:dyDescent="0.3">
      <c r="A447" s="2">
        <v>446</v>
      </c>
      <c r="B447">
        <v>0.30299999999999999</v>
      </c>
      <c r="C447">
        <v>0.45</v>
      </c>
      <c r="D447" s="2">
        <v>0.1343</v>
      </c>
      <c r="E447">
        <v>6</v>
      </c>
      <c r="F447">
        <v>75</v>
      </c>
      <c r="G447">
        <v>81</v>
      </c>
    </row>
    <row r="448" spans="1:7" x14ac:dyDescent="0.3">
      <c r="A448" s="2">
        <v>447</v>
      </c>
      <c r="B448">
        <v>0.31819999999999998</v>
      </c>
      <c r="C448">
        <v>0.45</v>
      </c>
      <c r="D448" s="2">
        <v>0.19400000000000001</v>
      </c>
      <c r="E448">
        <v>8</v>
      </c>
      <c r="F448">
        <v>62</v>
      </c>
      <c r="G448">
        <v>70</v>
      </c>
    </row>
    <row r="449" spans="1:7" x14ac:dyDescent="0.3">
      <c r="A449" s="2">
        <v>448</v>
      </c>
      <c r="B449">
        <v>0.30299999999999999</v>
      </c>
      <c r="C449">
        <v>0.49</v>
      </c>
      <c r="D449" s="2">
        <v>0.1343</v>
      </c>
      <c r="E449">
        <v>8</v>
      </c>
      <c r="F449">
        <v>83</v>
      </c>
      <c r="G449">
        <v>91</v>
      </c>
    </row>
    <row r="450" spans="1:7" x14ac:dyDescent="0.3">
      <c r="A450" s="2">
        <v>449</v>
      </c>
      <c r="B450">
        <v>0.31819999999999998</v>
      </c>
      <c r="C450">
        <v>0.49</v>
      </c>
      <c r="D450" s="2">
        <v>0.1045</v>
      </c>
      <c r="E450">
        <v>8</v>
      </c>
      <c r="F450">
        <v>207</v>
      </c>
      <c r="G450">
        <v>215</v>
      </c>
    </row>
    <row r="451" spans="1:7" x14ac:dyDescent="0.3">
      <c r="A451" s="2">
        <v>450</v>
      </c>
      <c r="B451">
        <v>0.2576</v>
      </c>
      <c r="C451">
        <v>0.56000000000000005</v>
      </c>
      <c r="D451" s="2">
        <v>0.19400000000000001</v>
      </c>
      <c r="E451">
        <v>1</v>
      </c>
      <c r="F451">
        <v>184</v>
      </c>
      <c r="G451">
        <v>185</v>
      </c>
    </row>
    <row r="452" spans="1:7" x14ac:dyDescent="0.3">
      <c r="A452" s="2">
        <v>451</v>
      </c>
      <c r="B452">
        <v>0.2273</v>
      </c>
      <c r="C452">
        <v>0.56000000000000005</v>
      </c>
      <c r="D452" s="2">
        <v>0.32840000000000003</v>
      </c>
      <c r="E452">
        <v>6</v>
      </c>
      <c r="F452">
        <v>146</v>
      </c>
      <c r="G452">
        <v>152</v>
      </c>
    </row>
    <row r="453" spans="1:7" x14ac:dyDescent="0.3">
      <c r="A453" s="2">
        <v>452</v>
      </c>
      <c r="B453">
        <v>0.2424</v>
      </c>
      <c r="C453">
        <v>0.6</v>
      </c>
      <c r="D453" s="2">
        <v>0.28360000000000002</v>
      </c>
      <c r="E453">
        <v>2</v>
      </c>
      <c r="F453">
        <v>124</v>
      </c>
      <c r="G453">
        <v>126</v>
      </c>
    </row>
    <row r="454" spans="1:7" x14ac:dyDescent="0.3">
      <c r="A454" s="2">
        <v>453</v>
      </c>
      <c r="B454">
        <v>0.2273</v>
      </c>
      <c r="C454">
        <v>0.6</v>
      </c>
      <c r="D454" s="2">
        <v>0.25369999999999998</v>
      </c>
      <c r="E454">
        <v>3</v>
      </c>
      <c r="F454">
        <v>54</v>
      </c>
      <c r="G454">
        <v>57</v>
      </c>
    </row>
    <row r="455" spans="1:7" x14ac:dyDescent="0.3">
      <c r="A455" s="2">
        <v>454</v>
      </c>
      <c r="B455">
        <v>0.21210000000000001</v>
      </c>
      <c r="C455">
        <v>0.65</v>
      </c>
      <c r="D455" s="2">
        <v>0.28360000000000002</v>
      </c>
      <c r="E455">
        <v>0</v>
      </c>
      <c r="F455">
        <v>56</v>
      </c>
      <c r="G455">
        <v>56</v>
      </c>
    </row>
    <row r="456" spans="1:7" x14ac:dyDescent="0.3">
      <c r="A456" s="2">
        <v>455</v>
      </c>
      <c r="B456">
        <v>0.21210000000000001</v>
      </c>
      <c r="C456">
        <v>0.65</v>
      </c>
      <c r="D456" s="2">
        <v>0.32840000000000003</v>
      </c>
      <c r="E456">
        <v>3</v>
      </c>
      <c r="F456">
        <v>28</v>
      </c>
      <c r="G456">
        <v>31</v>
      </c>
    </row>
    <row r="457" spans="1:7" x14ac:dyDescent="0.3">
      <c r="A457" s="2">
        <v>456</v>
      </c>
      <c r="B457">
        <v>0.2273</v>
      </c>
      <c r="C457">
        <v>0.7</v>
      </c>
      <c r="D457" s="2">
        <v>0.25369999999999998</v>
      </c>
      <c r="E457">
        <v>1</v>
      </c>
      <c r="F457">
        <v>20</v>
      </c>
      <c r="G457">
        <v>21</v>
      </c>
    </row>
    <row r="458" spans="1:7" x14ac:dyDescent="0.3">
      <c r="A458" s="2">
        <v>457</v>
      </c>
      <c r="B458">
        <v>0.2273</v>
      </c>
      <c r="C458">
        <v>0.7</v>
      </c>
      <c r="D458" s="2">
        <v>0.25369999999999998</v>
      </c>
      <c r="E458">
        <v>0</v>
      </c>
      <c r="F458">
        <v>6</v>
      </c>
      <c r="G458">
        <v>6</v>
      </c>
    </row>
    <row r="459" spans="1:7" x14ac:dyDescent="0.3">
      <c r="A459" s="2">
        <v>458</v>
      </c>
      <c r="B459">
        <v>0.2424</v>
      </c>
      <c r="C459">
        <v>0.75</v>
      </c>
      <c r="D459" s="2">
        <v>0.16420000000000001</v>
      </c>
      <c r="E459">
        <v>0</v>
      </c>
      <c r="F459">
        <v>2</v>
      </c>
      <c r="G459">
        <v>2</v>
      </c>
    </row>
    <row r="460" spans="1:7" x14ac:dyDescent="0.3">
      <c r="A460" s="2">
        <v>459</v>
      </c>
      <c r="B460">
        <v>0.21210000000000001</v>
      </c>
      <c r="C460">
        <v>0.8</v>
      </c>
      <c r="D460" s="2">
        <v>0.29849999999999999</v>
      </c>
      <c r="E460">
        <v>0</v>
      </c>
      <c r="F460">
        <v>1</v>
      </c>
      <c r="G460">
        <v>1</v>
      </c>
    </row>
    <row r="461" spans="1:7" x14ac:dyDescent="0.3">
      <c r="A461" s="2">
        <v>460</v>
      </c>
      <c r="B461">
        <v>0.2576</v>
      </c>
      <c r="C461">
        <v>0.87</v>
      </c>
      <c r="D461" s="2">
        <v>8.9599999999999999E-2</v>
      </c>
      <c r="E461">
        <v>0</v>
      </c>
      <c r="F461">
        <v>1</v>
      </c>
      <c r="G461">
        <v>1</v>
      </c>
    </row>
    <row r="462" spans="1:7" x14ac:dyDescent="0.3">
      <c r="A462" s="2">
        <v>461</v>
      </c>
      <c r="B462">
        <v>0.19700000000000001</v>
      </c>
      <c r="C462">
        <v>0.6</v>
      </c>
      <c r="D462" s="2">
        <v>0.41789999999999999</v>
      </c>
      <c r="E462">
        <v>1</v>
      </c>
      <c r="F462">
        <v>4</v>
      </c>
      <c r="G462">
        <v>5</v>
      </c>
    </row>
    <row r="463" spans="1:7" x14ac:dyDescent="0.3">
      <c r="A463" s="2">
        <v>462</v>
      </c>
      <c r="B463">
        <v>0.21210000000000001</v>
      </c>
      <c r="C463">
        <v>0.55000000000000004</v>
      </c>
      <c r="D463" s="2">
        <v>0.25369999999999998</v>
      </c>
      <c r="E463">
        <v>0</v>
      </c>
      <c r="F463">
        <v>27</v>
      </c>
      <c r="G463">
        <v>27</v>
      </c>
    </row>
    <row r="464" spans="1:7" x14ac:dyDescent="0.3">
      <c r="A464" s="2">
        <v>463</v>
      </c>
      <c r="B464">
        <v>0.18179999999999999</v>
      </c>
      <c r="C464">
        <v>0.51</v>
      </c>
      <c r="D464" s="2">
        <v>0.28360000000000002</v>
      </c>
      <c r="E464">
        <v>2</v>
      </c>
      <c r="F464">
        <v>66</v>
      </c>
      <c r="G464">
        <v>68</v>
      </c>
    </row>
    <row r="465" spans="1:7" x14ac:dyDescent="0.3">
      <c r="A465" s="2">
        <v>464</v>
      </c>
      <c r="B465">
        <v>0.18179999999999999</v>
      </c>
      <c r="C465">
        <v>0.47</v>
      </c>
      <c r="D465" s="2">
        <v>0.32840000000000003</v>
      </c>
      <c r="E465">
        <v>7</v>
      </c>
      <c r="F465">
        <v>210</v>
      </c>
      <c r="G465">
        <v>217</v>
      </c>
    </row>
    <row r="466" spans="1:7" x14ac:dyDescent="0.3">
      <c r="A466" s="2">
        <v>465</v>
      </c>
      <c r="B466">
        <v>0.18179999999999999</v>
      </c>
      <c r="C466">
        <v>0.51</v>
      </c>
      <c r="D466" s="2">
        <v>0.35820000000000002</v>
      </c>
      <c r="E466">
        <v>7</v>
      </c>
      <c r="F466">
        <v>159</v>
      </c>
      <c r="G466">
        <v>166</v>
      </c>
    </row>
    <row r="467" spans="1:7" x14ac:dyDescent="0.3">
      <c r="A467" s="2">
        <v>466</v>
      </c>
      <c r="B467">
        <v>0.16669999999999999</v>
      </c>
      <c r="C467">
        <v>0.47</v>
      </c>
      <c r="D467" s="2">
        <v>0.4627</v>
      </c>
      <c r="E467">
        <v>6</v>
      </c>
      <c r="F467">
        <v>57</v>
      </c>
      <c r="G467">
        <v>63</v>
      </c>
    </row>
    <row r="468" spans="1:7" x14ac:dyDescent="0.3">
      <c r="A468" s="2">
        <v>467</v>
      </c>
      <c r="B468">
        <v>0.18179999999999999</v>
      </c>
      <c r="C468">
        <v>0.41</v>
      </c>
      <c r="D468" s="2">
        <v>0.4627</v>
      </c>
      <c r="E468">
        <v>6</v>
      </c>
      <c r="F468">
        <v>53</v>
      </c>
      <c r="G468">
        <v>59</v>
      </c>
    </row>
    <row r="469" spans="1:7" x14ac:dyDescent="0.3">
      <c r="A469" s="2">
        <v>468</v>
      </c>
      <c r="B469">
        <v>0.18179999999999999</v>
      </c>
      <c r="C469">
        <v>0.27</v>
      </c>
      <c r="D469" s="2">
        <v>0.58209999999999995</v>
      </c>
      <c r="E469">
        <v>11</v>
      </c>
      <c r="F469">
        <v>67</v>
      </c>
      <c r="G469">
        <v>78</v>
      </c>
    </row>
    <row r="470" spans="1:7" x14ac:dyDescent="0.3">
      <c r="A470" s="2">
        <v>469</v>
      </c>
      <c r="B470">
        <v>0.1515</v>
      </c>
      <c r="C470">
        <v>0.21</v>
      </c>
      <c r="D470" s="2">
        <v>0.58209999999999995</v>
      </c>
      <c r="E470">
        <v>8</v>
      </c>
      <c r="F470">
        <v>65</v>
      </c>
      <c r="G470">
        <v>73</v>
      </c>
    </row>
    <row r="471" spans="1:7" x14ac:dyDescent="0.3">
      <c r="A471" s="2">
        <v>470</v>
      </c>
      <c r="B471">
        <v>0.1515</v>
      </c>
      <c r="C471">
        <v>0.25</v>
      </c>
      <c r="D471" s="2">
        <v>0.52239999999999998</v>
      </c>
      <c r="E471">
        <v>6</v>
      </c>
      <c r="F471">
        <v>56</v>
      </c>
      <c r="G471">
        <v>62</v>
      </c>
    </row>
    <row r="472" spans="1:7" x14ac:dyDescent="0.3">
      <c r="A472" s="2">
        <v>471</v>
      </c>
      <c r="B472">
        <v>0.1212</v>
      </c>
      <c r="C472">
        <v>0.26</v>
      </c>
      <c r="D472" s="2">
        <v>0.44779999999999998</v>
      </c>
      <c r="E472">
        <v>4</v>
      </c>
      <c r="F472">
        <v>61</v>
      </c>
      <c r="G472">
        <v>65</v>
      </c>
    </row>
    <row r="473" spans="1:7" x14ac:dyDescent="0.3">
      <c r="A473" s="2">
        <v>472</v>
      </c>
      <c r="B473">
        <v>0.13639999999999999</v>
      </c>
      <c r="C473">
        <v>0.26</v>
      </c>
      <c r="D473" s="2">
        <v>0.35820000000000002</v>
      </c>
      <c r="E473">
        <v>0</v>
      </c>
      <c r="F473">
        <v>97</v>
      </c>
      <c r="G473">
        <v>97</v>
      </c>
    </row>
    <row r="474" spans="1:7" x14ac:dyDescent="0.3">
      <c r="A474" s="2">
        <v>473</v>
      </c>
      <c r="B474">
        <v>0.1212</v>
      </c>
      <c r="C474">
        <v>0.28000000000000003</v>
      </c>
      <c r="D474" s="2">
        <v>0.35820000000000002</v>
      </c>
      <c r="E474">
        <v>10</v>
      </c>
      <c r="F474">
        <v>151</v>
      </c>
      <c r="G474">
        <v>161</v>
      </c>
    </row>
    <row r="475" spans="1:7" x14ac:dyDescent="0.3">
      <c r="A475" s="2">
        <v>474</v>
      </c>
      <c r="B475">
        <v>0.1212</v>
      </c>
      <c r="C475">
        <v>0.3</v>
      </c>
      <c r="D475" s="2">
        <v>0.25369999999999998</v>
      </c>
      <c r="E475">
        <v>1</v>
      </c>
      <c r="F475">
        <v>119</v>
      </c>
      <c r="G475">
        <v>120</v>
      </c>
    </row>
    <row r="476" spans="1:7" x14ac:dyDescent="0.3">
      <c r="A476" s="2">
        <v>475</v>
      </c>
      <c r="B476">
        <v>0.1061</v>
      </c>
      <c r="C476">
        <v>0.3</v>
      </c>
      <c r="D476" s="2">
        <v>0.32840000000000003</v>
      </c>
      <c r="E476">
        <v>3</v>
      </c>
      <c r="F476">
        <v>93</v>
      </c>
      <c r="G476">
        <v>96</v>
      </c>
    </row>
    <row r="477" spans="1:7" x14ac:dyDescent="0.3">
      <c r="A477" s="2">
        <v>476</v>
      </c>
      <c r="B477">
        <v>7.5800000000000006E-2</v>
      </c>
      <c r="C477">
        <v>0.33</v>
      </c>
      <c r="D477" s="2">
        <v>0.41789999999999999</v>
      </c>
      <c r="E477">
        <v>1</v>
      </c>
      <c r="F477">
        <v>52</v>
      </c>
      <c r="G477">
        <v>53</v>
      </c>
    </row>
    <row r="478" spans="1:7" x14ac:dyDescent="0.3">
      <c r="A478" s="2">
        <v>477</v>
      </c>
      <c r="B478">
        <v>7.5800000000000006E-2</v>
      </c>
      <c r="C478">
        <v>0.38</v>
      </c>
      <c r="D478" s="2">
        <v>0.28360000000000002</v>
      </c>
      <c r="E478">
        <v>0</v>
      </c>
      <c r="F478">
        <v>41</v>
      </c>
      <c r="G478">
        <v>41</v>
      </c>
    </row>
    <row r="479" spans="1:7" x14ac:dyDescent="0.3">
      <c r="A479" s="2">
        <v>478</v>
      </c>
      <c r="B479">
        <v>3.0300000000000001E-2</v>
      </c>
      <c r="C479">
        <v>0.41</v>
      </c>
      <c r="D479" s="2">
        <v>0.3881</v>
      </c>
      <c r="E479">
        <v>1</v>
      </c>
      <c r="F479">
        <v>33</v>
      </c>
      <c r="G479">
        <v>34</v>
      </c>
    </row>
    <row r="480" spans="1:7" x14ac:dyDescent="0.3">
      <c r="A480" s="2">
        <v>479</v>
      </c>
      <c r="B480">
        <v>4.5499999999999999E-2</v>
      </c>
      <c r="C480">
        <v>0.38</v>
      </c>
      <c r="D480" s="2">
        <v>0.32840000000000003</v>
      </c>
      <c r="E480">
        <v>0</v>
      </c>
      <c r="F480">
        <v>27</v>
      </c>
      <c r="G480">
        <v>27</v>
      </c>
    </row>
    <row r="481" spans="1:7" x14ac:dyDescent="0.3">
      <c r="A481" s="2">
        <v>480</v>
      </c>
      <c r="B481">
        <v>3.0300000000000001E-2</v>
      </c>
      <c r="C481">
        <v>0.45</v>
      </c>
      <c r="D481" s="2">
        <v>0.25369999999999998</v>
      </c>
      <c r="E481">
        <v>0</v>
      </c>
      <c r="F481">
        <v>13</v>
      </c>
      <c r="G481">
        <v>13</v>
      </c>
    </row>
    <row r="482" spans="1:7" x14ac:dyDescent="0.3">
      <c r="A482" s="2">
        <v>481</v>
      </c>
      <c r="B482">
        <v>0</v>
      </c>
      <c r="C482">
        <v>0.41</v>
      </c>
      <c r="D482" s="2">
        <v>0.3881</v>
      </c>
      <c r="E482">
        <v>3</v>
      </c>
      <c r="F482">
        <v>9</v>
      </c>
      <c r="G482">
        <v>12</v>
      </c>
    </row>
    <row r="483" spans="1:7" x14ac:dyDescent="0.3">
      <c r="A483" s="2">
        <v>482</v>
      </c>
      <c r="B483">
        <v>3.0300000000000001E-2</v>
      </c>
      <c r="C483">
        <v>0.41</v>
      </c>
      <c r="D483" s="2">
        <v>0.25369999999999998</v>
      </c>
      <c r="E483">
        <v>0</v>
      </c>
      <c r="F483">
        <v>11</v>
      </c>
      <c r="G483">
        <v>11</v>
      </c>
    </row>
    <row r="484" spans="1:7" x14ac:dyDescent="0.3">
      <c r="A484" s="2">
        <v>483</v>
      </c>
      <c r="B484">
        <v>3.0300000000000001E-2</v>
      </c>
      <c r="C484">
        <v>0.41</v>
      </c>
      <c r="D484" s="2">
        <v>0.28360000000000002</v>
      </c>
      <c r="E484">
        <v>1</v>
      </c>
      <c r="F484">
        <v>6</v>
      </c>
      <c r="G484">
        <v>7</v>
      </c>
    </row>
    <row r="485" spans="1:7" x14ac:dyDescent="0.3">
      <c r="A485" s="2">
        <v>484</v>
      </c>
      <c r="B485">
        <v>1.52E-2</v>
      </c>
      <c r="C485">
        <v>0.48</v>
      </c>
      <c r="D485" s="2">
        <v>0.29849999999999999</v>
      </c>
      <c r="E485">
        <v>0</v>
      </c>
      <c r="F485">
        <v>3</v>
      </c>
      <c r="G485">
        <v>3</v>
      </c>
    </row>
    <row r="486" spans="1:7" x14ac:dyDescent="0.3">
      <c r="A486" s="2">
        <v>485</v>
      </c>
      <c r="B486">
        <v>3.0300000000000001E-2</v>
      </c>
      <c r="C486">
        <v>0.44</v>
      </c>
      <c r="D486" s="2">
        <v>0.22389999999999999</v>
      </c>
      <c r="E486">
        <v>0</v>
      </c>
      <c r="F486">
        <v>2</v>
      </c>
      <c r="G486">
        <v>2</v>
      </c>
    </row>
    <row r="487" spans="1:7" x14ac:dyDescent="0.3">
      <c r="A487" s="2">
        <v>486</v>
      </c>
      <c r="B487">
        <v>1.52E-2</v>
      </c>
      <c r="C487">
        <v>0.44</v>
      </c>
      <c r="D487" s="2">
        <v>0.28360000000000002</v>
      </c>
      <c r="E487">
        <v>0</v>
      </c>
      <c r="F487">
        <v>8</v>
      </c>
      <c r="G487">
        <v>8</v>
      </c>
    </row>
    <row r="488" spans="1:7" x14ac:dyDescent="0.3">
      <c r="A488" s="2">
        <v>487</v>
      </c>
      <c r="B488">
        <v>0</v>
      </c>
      <c r="C488">
        <v>0.44</v>
      </c>
      <c r="D488" s="2">
        <v>0.32840000000000003</v>
      </c>
      <c r="E488">
        <v>1</v>
      </c>
      <c r="F488">
        <v>26</v>
      </c>
      <c r="G488">
        <v>27</v>
      </c>
    </row>
    <row r="489" spans="1:7" x14ac:dyDescent="0.3">
      <c r="A489" s="2">
        <v>488</v>
      </c>
      <c r="B489">
        <v>3.0300000000000001E-2</v>
      </c>
      <c r="C489">
        <v>0.41</v>
      </c>
      <c r="D489" s="2">
        <v>0.25369999999999998</v>
      </c>
      <c r="E489">
        <v>3</v>
      </c>
      <c r="F489">
        <v>37</v>
      </c>
      <c r="G489">
        <v>40</v>
      </c>
    </row>
    <row r="490" spans="1:7" x14ac:dyDescent="0.3">
      <c r="A490" s="2">
        <v>489</v>
      </c>
      <c r="B490">
        <v>6.0600000000000001E-2</v>
      </c>
      <c r="C490">
        <v>0.41</v>
      </c>
      <c r="D490" s="2">
        <v>0.16420000000000001</v>
      </c>
      <c r="E490">
        <v>3</v>
      </c>
      <c r="F490">
        <v>50</v>
      </c>
      <c r="G490">
        <v>53</v>
      </c>
    </row>
    <row r="491" spans="1:7" x14ac:dyDescent="0.3">
      <c r="A491" s="2">
        <v>490</v>
      </c>
      <c r="B491">
        <v>7.5800000000000006E-2</v>
      </c>
      <c r="C491">
        <v>0.38</v>
      </c>
      <c r="D491" s="2">
        <v>0.1343</v>
      </c>
      <c r="E491">
        <v>4</v>
      </c>
      <c r="F491">
        <v>59</v>
      </c>
      <c r="G491">
        <v>63</v>
      </c>
    </row>
    <row r="492" spans="1:7" x14ac:dyDescent="0.3">
      <c r="A492" s="2">
        <v>491</v>
      </c>
      <c r="B492">
        <v>0.1061</v>
      </c>
      <c r="C492">
        <v>0.38</v>
      </c>
      <c r="D492" s="2">
        <v>0.1045</v>
      </c>
      <c r="E492">
        <v>10</v>
      </c>
      <c r="F492">
        <v>60</v>
      </c>
      <c r="G492">
        <v>70</v>
      </c>
    </row>
    <row r="493" spans="1:7" x14ac:dyDescent="0.3">
      <c r="A493" s="2">
        <v>492</v>
      </c>
      <c r="B493">
        <v>0.16669999999999999</v>
      </c>
      <c r="C493">
        <v>0.35</v>
      </c>
      <c r="D493" s="2">
        <v>0</v>
      </c>
      <c r="E493">
        <v>12</v>
      </c>
      <c r="F493">
        <v>72</v>
      </c>
      <c r="G493">
        <v>84</v>
      </c>
    </row>
    <row r="494" spans="1:7" x14ac:dyDescent="0.3">
      <c r="A494" s="2">
        <v>493</v>
      </c>
      <c r="B494">
        <v>0.13639999999999999</v>
      </c>
      <c r="C494">
        <v>0.33</v>
      </c>
      <c r="D494" s="2">
        <v>0.1045</v>
      </c>
      <c r="E494">
        <v>11</v>
      </c>
      <c r="F494">
        <v>64</v>
      </c>
      <c r="G494">
        <v>75</v>
      </c>
    </row>
    <row r="495" spans="1:7" x14ac:dyDescent="0.3">
      <c r="A495" s="2">
        <v>494</v>
      </c>
      <c r="B495">
        <v>0.1515</v>
      </c>
      <c r="C495">
        <v>0.28000000000000003</v>
      </c>
      <c r="D495" s="2">
        <v>0</v>
      </c>
      <c r="E495">
        <v>10</v>
      </c>
      <c r="F495">
        <v>93</v>
      </c>
      <c r="G495">
        <v>103</v>
      </c>
    </row>
    <row r="496" spans="1:7" x14ac:dyDescent="0.3">
      <c r="A496" s="2">
        <v>495</v>
      </c>
      <c r="B496">
        <v>0.13639999999999999</v>
      </c>
      <c r="C496">
        <v>0.28000000000000003</v>
      </c>
      <c r="D496" s="2">
        <v>0.19400000000000001</v>
      </c>
      <c r="E496">
        <v>11</v>
      </c>
      <c r="F496">
        <v>72</v>
      </c>
      <c r="G496">
        <v>83</v>
      </c>
    </row>
    <row r="497" spans="1:7" x14ac:dyDescent="0.3">
      <c r="A497" s="2">
        <v>496</v>
      </c>
      <c r="B497">
        <v>0.19700000000000001</v>
      </c>
      <c r="C497">
        <v>0.28000000000000003</v>
      </c>
      <c r="D497" s="2">
        <v>0</v>
      </c>
      <c r="E497">
        <v>8</v>
      </c>
      <c r="F497">
        <v>59</v>
      </c>
      <c r="G497">
        <v>67</v>
      </c>
    </row>
    <row r="498" spans="1:7" x14ac:dyDescent="0.3">
      <c r="A498" s="2">
        <v>497</v>
      </c>
      <c r="B498">
        <v>9.0899999999999995E-2</v>
      </c>
      <c r="C498">
        <v>0.35</v>
      </c>
      <c r="D498" s="2">
        <v>0.19400000000000001</v>
      </c>
      <c r="E498">
        <v>0</v>
      </c>
      <c r="F498">
        <v>54</v>
      </c>
      <c r="G498">
        <v>54</v>
      </c>
    </row>
    <row r="499" spans="1:7" x14ac:dyDescent="0.3">
      <c r="A499" s="2">
        <v>498</v>
      </c>
      <c r="B499">
        <v>0.1061</v>
      </c>
      <c r="C499">
        <v>0.35</v>
      </c>
      <c r="D499" s="2">
        <v>0.1343</v>
      </c>
      <c r="E499">
        <v>6</v>
      </c>
      <c r="F499">
        <v>53</v>
      </c>
      <c r="G499">
        <v>59</v>
      </c>
    </row>
    <row r="500" spans="1:7" x14ac:dyDescent="0.3">
      <c r="A500" s="2">
        <v>499</v>
      </c>
      <c r="B500">
        <v>7.5800000000000006E-2</v>
      </c>
      <c r="C500">
        <v>0.45</v>
      </c>
      <c r="D500" s="2">
        <v>0.16420000000000001</v>
      </c>
      <c r="E500">
        <v>1</v>
      </c>
      <c r="F500">
        <v>44</v>
      </c>
      <c r="G500">
        <v>45</v>
      </c>
    </row>
    <row r="501" spans="1:7" x14ac:dyDescent="0.3">
      <c r="A501" s="2">
        <v>500</v>
      </c>
      <c r="B501">
        <v>0.1061</v>
      </c>
      <c r="C501">
        <v>0.41</v>
      </c>
      <c r="D501" s="2">
        <v>8.9599999999999999E-2</v>
      </c>
      <c r="E501">
        <v>0</v>
      </c>
      <c r="F501">
        <v>39</v>
      </c>
      <c r="G501">
        <v>39</v>
      </c>
    </row>
    <row r="502" spans="1:7" x14ac:dyDescent="0.3">
      <c r="A502" s="2">
        <v>501</v>
      </c>
      <c r="B502">
        <v>0.1515</v>
      </c>
      <c r="C502">
        <v>0.49</v>
      </c>
      <c r="D502" s="2">
        <v>0</v>
      </c>
      <c r="E502">
        <v>7</v>
      </c>
      <c r="F502">
        <v>23</v>
      </c>
      <c r="G502">
        <v>30</v>
      </c>
    </row>
    <row r="503" spans="1:7" x14ac:dyDescent="0.3">
      <c r="A503" s="2">
        <v>502</v>
      </c>
      <c r="B503">
        <v>7.5800000000000006E-2</v>
      </c>
      <c r="C503">
        <v>0.56999999999999995</v>
      </c>
      <c r="D503" s="2">
        <v>0.1045</v>
      </c>
      <c r="E503">
        <v>2</v>
      </c>
      <c r="F503">
        <v>31</v>
      </c>
      <c r="G503">
        <v>33</v>
      </c>
    </row>
    <row r="504" spans="1:7" x14ac:dyDescent="0.3">
      <c r="A504" s="2">
        <v>503</v>
      </c>
      <c r="B504">
        <v>7.5800000000000006E-2</v>
      </c>
      <c r="C504">
        <v>0.56999999999999995</v>
      </c>
      <c r="D504" s="2">
        <v>0.1045</v>
      </c>
      <c r="E504">
        <v>2</v>
      </c>
      <c r="F504">
        <v>20</v>
      </c>
      <c r="G504">
        <v>22</v>
      </c>
    </row>
    <row r="505" spans="1:7" x14ac:dyDescent="0.3">
      <c r="A505" s="2">
        <v>504</v>
      </c>
      <c r="B505">
        <v>7.5800000000000006E-2</v>
      </c>
      <c r="C505">
        <v>0.56999999999999995</v>
      </c>
      <c r="D505" s="2">
        <v>0.1045</v>
      </c>
      <c r="E505">
        <v>1</v>
      </c>
      <c r="F505">
        <v>12</v>
      </c>
      <c r="G505">
        <v>13</v>
      </c>
    </row>
    <row r="506" spans="1:7" x14ac:dyDescent="0.3">
      <c r="A506" s="2">
        <v>505</v>
      </c>
      <c r="B506">
        <v>6.0600000000000001E-2</v>
      </c>
      <c r="C506">
        <v>0.62</v>
      </c>
      <c r="D506" s="2">
        <v>0.1343</v>
      </c>
      <c r="E506">
        <v>3</v>
      </c>
      <c r="F506">
        <v>15</v>
      </c>
      <c r="G506">
        <v>18</v>
      </c>
    </row>
    <row r="507" spans="1:7" x14ac:dyDescent="0.3">
      <c r="A507" s="2">
        <v>506</v>
      </c>
      <c r="B507">
        <v>6.0600000000000001E-2</v>
      </c>
      <c r="C507">
        <v>0.62</v>
      </c>
      <c r="D507" s="2">
        <v>0.1343</v>
      </c>
      <c r="E507">
        <v>1</v>
      </c>
      <c r="F507">
        <v>4</v>
      </c>
      <c r="G507">
        <v>5</v>
      </c>
    </row>
    <row r="508" spans="1:7" x14ac:dyDescent="0.3">
      <c r="A508" s="2">
        <v>507</v>
      </c>
      <c r="B508">
        <v>7.5800000000000006E-2</v>
      </c>
      <c r="C508">
        <v>0.56999999999999995</v>
      </c>
      <c r="D508" s="2">
        <v>0.1045</v>
      </c>
      <c r="E508">
        <v>0</v>
      </c>
      <c r="F508">
        <v>3</v>
      </c>
      <c r="G508">
        <v>3</v>
      </c>
    </row>
    <row r="509" spans="1:7" x14ac:dyDescent="0.3">
      <c r="A509" s="2">
        <v>508</v>
      </c>
      <c r="B509">
        <v>7.5800000000000006E-2</v>
      </c>
      <c r="C509">
        <v>0.56999999999999995</v>
      </c>
      <c r="D509" s="2">
        <v>0.1045</v>
      </c>
      <c r="E509">
        <v>0</v>
      </c>
      <c r="F509">
        <v>1</v>
      </c>
      <c r="G509">
        <v>1</v>
      </c>
    </row>
    <row r="510" spans="1:7" x14ac:dyDescent="0.3">
      <c r="A510" s="2">
        <v>509</v>
      </c>
      <c r="B510">
        <v>0.1061</v>
      </c>
      <c r="C510">
        <v>0.57999999999999996</v>
      </c>
      <c r="D510" s="2">
        <v>0.16420000000000001</v>
      </c>
      <c r="E510">
        <v>1</v>
      </c>
      <c r="F510">
        <v>1</v>
      </c>
      <c r="G510">
        <v>2</v>
      </c>
    </row>
    <row r="511" spans="1:7" x14ac:dyDescent="0.3">
      <c r="A511" s="2">
        <v>510</v>
      </c>
      <c r="B511">
        <v>7.5800000000000006E-2</v>
      </c>
      <c r="C511">
        <v>0.62</v>
      </c>
      <c r="D511" s="2">
        <v>0.16420000000000001</v>
      </c>
      <c r="E511">
        <v>2</v>
      </c>
      <c r="F511">
        <v>17</v>
      </c>
      <c r="G511">
        <v>19</v>
      </c>
    </row>
    <row r="512" spans="1:7" x14ac:dyDescent="0.3">
      <c r="A512" s="2">
        <v>511</v>
      </c>
      <c r="B512">
        <v>7.5800000000000006E-2</v>
      </c>
      <c r="C512">
        <v>0.54</v>
      </c>
      <c r="D512" s="2">
        <v>0.35820000000000002</v>
      </c>
      <c r="E512">
        <v>3</v>
      </c>
      <c r="F512">
        <v>25</v>
      </c>
      <c r="G512">
        <v>28</v>
      </c>
    </row>
    <row r="513" spans="1:7" x14ac:dyDescent="0.3">
      <c r="A513" s="2">
        <v>512</v>
      </c>
      <c r="B513">
        <v>0.1061</v>
      </c>
      <c r="C513">
        <v>0.46</v>
      </c>
      <c r="D513" s="2">
        <v>0.3881</v>
      </c>
      <c r="E513">
        <v>7</v>
      </c>
      <c r="F513">
        <v>51</v>
      </c>
      <c r="G513">
        <v>58</v>
      </c>
    </row>
    <row r="514" spans="1:7" x14ac:dyDescent="0.3">
      <c r="A514" s="2">
        <v>513</v>
      </c>
      <c r="B514">
        <v>0.13639999999999999</v>
      </c>
      <c r="C514">
        <v>0.43</v>
      </c>
      <c r="D514" s="2">
        <v>0.22389999999999999</v>
      </c>
      <c r="E514">
        <v>22</v>
      </c>
      <c r="F514">
        <v>77</v>
      </c>
      <c r="G514">
        <v>99</v>
      </c>
    </row>
    <row r="515" spans="1:7" x14ac:dyDescent="0.3">
      <c r="A515" s="2">
        <v>514</v>
      </c>
      <c r="B515">
        <v>0.1212</v>
      </c>
      <c r="C515">
        <v>0.37</v>
      </c>
      <c r="D515" s="2">
        <v>0.4627</v>
      </c>
      <c r="E515">
        <v>24</v>
      </c>
      <c r="F515">
        <v>92</v>
      </c>
      <c r="G515">
        <v>116</v>
      </c>
    </row>
    <row r="516" spans="1:7" x14ac:dyDescent="0.3">
      <c r="A516" s="2">
        <v>515</v>
      </c>
      <c r="B516">
        <v>0.1061</v>
      </c>
      <c r="C516">
        <v>0.33</v>
      </c>
      <c r="D516" s="2">
        <v>0.3881</v>
      </c>
      <c r="E516">
        <v>12</v>
      </c>
      <c r="F516">
        <v>75</v>
      </c>
      <c r="G516">
        <v>87</v>
      </c>
    </row>
    <row r="517" spans="1:7" x14ac:dyDescent="0.3">
      <c r="A517" s="2">
        <v>516</v>
      </c>
      <c r="B517">
        <v>0.13639999999999999</v>
      </c>
      <c r="C517">
        <v>0.28000000000000003</v>
      </c>
      <c r="D517" s="2">
        <v>0.35820000000000002</v>
      </c>
      <c r="E517">
        <v>17</v>
      </c>
      <c r="F517">
        <v>93</v>
      </c>
      <c r="G517">
        <v>110</v>
      </c>
    </row>
    <row r="518" spans="1:7" x14ac:dyDescent="0.3">
      <c r="A518" s="2">
        <v>517</v>
      </c>
      <c r="B518">
        <v>0.13639999999999999</v>
      </c>
      <c r="C518">
        <v>0.28000000000000003</v>
      </c>
      <c r="D518" s="2">
        <v>0.35820000000000002</v>
      </c>
      <c r="E518">
        <v>13</v>
      </c>
      <c r="F518">
        <v>64</v>
      </c>
      <c r="G518">
        <v>77</v>
      </c>
    </row>
    <row r="519" spans="1:7" x14ac:dyDescent="0.3">
      <c r="A519" s="2">
        <v>518</v>
      </c>
      <c r="B519">
        <v>0.13639999999999999</v>
      </c>
      <c r="C519">
        <v>0.26</v>
      </c>
      <c r="D519" s="2">
        <v>0.32840000000000003</v>
      </c>
      <c r="E519">
        <v>9</v>
      </c>
      <c r="F519">
        <v>56</v>
      </c>
      <c r="G519">
        <v>65</v>
      </c>
    </row>
    <row r="520" spans="1:7" x14ac:dyDescent="0.3">
      <c r="A520" s="2">
        <v>519</v>
      </c>
      <c r="B520">
        <v>0.1061</v>
      </c>
      <c r="C520">
        <v>0.26</v>
      </c>
      <c r="D520" s="2">
        <v>0.3881</v>
      </c>
      <c r="E520">
        <v>5</v>
      </c>
      <c r="F520">
        <v>50</v>
      </c>
      <c r="G520">
        <v>55</v>
      </c>
    </row>
    <row r="521" spans="1:7" x14ac:dyDescent="0.3">
      <c r="A521" s="2">
        <v>520</v>
      </c>
      <c r="B521">
        <v>0.1212</v>
      </c>
      <c r="C521">
        <v>0.3</v>
      </c>
      <c r="D521" s="2">
        <v>0.25369999999999998</v>
      </c>
      <c r="E521">
        <v>5</v>
      </c>
      <c r="F521">
        <v>44</v>
      </c>
      <c r="G521">
        <v>49</v>
      </c>
    </row>
    <row r="522" spans="1:7" x14ac:dyDescent="0.3">
      <c r="A522" s="2">
        <v>521</v>
      </c>
      <c r="B522">
        <v>0.1212</v>
      </c>
      <c r="C522">
        <v>0.3</v>
      </c>
      <c r="D522" s="2">
        <v>0.28360000000000002</v>
      </c>
      <c r="E522">
        <v>5</v>
      </c>
      <c r="F522">
        <v>45</v>
      </c>
      <c r="G522">
        <v>50</v>
      </c>
    </row>
    <row r="523" spans="1:7" x14ac:dyDescent="0.3">
      <c r="A523" s="2">
        <v>522</v>
      </c>
      <c r="B523">
        <v>0.1061</v>
      </c>
      <c r="C523">
        <v>0.36</v>
      </c>
      <c r="D523" s="2">
        <v>0.25369999999999998</v>
      </c>
      <c r="E523">
        <v>4</v>
      </c>
      <c r="F523">
        <v>31</v>
      </c>
      <c r="G523">
        <v>35</v>
      </c>
    </row>
    <row r="524" spans="1:7" x14ac:dyDescent="0.3">
      <c r="A524" s="2">
        <v>523</v>
      </c>
      <c r="B524">
        <v>0.1061</v>
      </c>
      <c r="C524">
        <v>0.36</v>
      </c>
      <c r="D524" s="2">
        <v>0.19400000000000001</v>
      </c>
      <c r="E524">
        <v>5</v>
      </c>
      <c r="F524">
        <v>20</v>
      </c>
      <c r="G524">
        <v>25</v>
      </c>
    </row>
    <row r="525" spans="1:7" x14ac:dyDescent="0.3">
      <c r="A525" s="2">
        <v>524</v>
      </c>
      <c r="B525">
        <v>9.0899999999999995E-2</v>
      </c>
      <c r="C525">
        <v>0.38</v>
      </c>
      <c r="D525" s="2">
        <v>0.19400000000000001</v>
      </c>
      <c r="E525">
        <v>5</v>
      </c>
      <c r="F525">
        <v>23</v>
      </c>
      <c r="G525">
        <v>28</v>
      </c>
    </row>
    <row r="526" spans="1:7" x14ac:dyDescent="0.3">
      <c r="A526" s="2">
        <v>525</v>
      </c>
      <c r="B526">
        <v>6.0600000000000001E-2</v>
      </c>
      <c r="C526">
        <v>0.41</v>
      </c>
      <c r="D526" s="2">
        <v>0.22389999999999999</v>
      </c>
      <c r="E526">
        <v>4</v>
      </c>
      <c r="F526">
        <v>17</v>
      </c>
      <c r="G526">
        <v>21</v>
      </c>
    </row>
    <row r="527" spans="1:7" x14ac:dyDescent="0.3">
      <c r="A527" s="2">
        <v>526</v>
      </c>
      <c r="B527">
        <v>6.0600000000000001E-2</v>
      </c>
      <c r="C527">
        <v>0.41</v>
      </c>
      <c r="D527" s="2">
        <v>0.19400000000000001</v>
      </c>
      <c r="E527">
        <v>0</v>
      </c>
      <c r="F527">
        <v>7</v>
      </c>
      <c r="G527">
        <v>7</v>
      </c>
    </row>
    <row r="528" spans="1:7" x14ac:dyDescent="0.3">
      <c r="A528" s="2">
        <v>527</v>
      </c>
      <c r="B528">
        <v>4.5499999999999999E-2</v>
      </c>
      <c r="C528">
        <v>0.45</v>
      </c>
      <c r="D528" s="2">
        <v>0.19400000000000001</v>
      </c>
      <c r="E528">
        <v>0</v>
      </c>
      <c r="F528">
        <v>1</v>
      </c>
      <c r="G528">
        <v>1</v>
      </c>
    </row>
    <row r="529" spans="1:7" x14ac:dyDescent="0.3">
      <c r="A529" s="2">
        <v>528</v>
      </c>
      <c r="B529">
        <v>3.0300000000000001E-2</v>
      </c>
      <c r="C529">
        <v>0.45</v>
      </c>
      <c r="D529" s="2">
        <v>0.25369999999999998</v>
      </c>
      <c r="E529">
        <v>0</v>
      </c>
      <c r="F529">
        <v>1</v>
      </c>
      <c r="G529">
        <v>1</v>
      </c>
    </row>
    <row r="530" spans="1:7" x14ac:dyDescent="0.3">
      <c r="A530" s="2">
        <v>529</v>
      </c>
      <c r="B530">
        <v>6.0600000000000001E-2</v>
      </c>
      <c r="C530">
        <v>0.48</v>
      </c>
      <c r="D530" s="2">
        <v>0.1343</v>
      </c>
      <c r="E530">
        <v>0</v>
      </c>
      <c r="F530">
        <v>1</v>
      </c>
      <c r="G530">
        <v>1</v>
      </c>
    </row>
    <row r="531" spans="1:7" x14ac:dyDescent="0.3">
      <c r="A531" s="2">
        <v>530</v>
      </c>
      <c r="B531">
        <v>6.0600000000000001E-2</v>
      </c>
      <c r="C531">
        <v>0.48</v>
      </c>
      <c r="D531" s="2">
        <v>0.1343</v>
      </c>
      <c r="E531">
        <v>0</v>
      </c>
      <c r="F531">
        <v>5</v>
      </c>
      <c r="G531">
        <v>5</v>
      </c>
    </row>
    <row r="532" spans="1:7" x14ac:dyDescent="0.3">
      <c r="A532" s="2">
        <v>531</v>
      </c>
      <c r="B532">
        <v>7.5800000000000006E-2</v>
      </c>
      <c r="C532">
        <v>0.48</v>
      </c>
      <c r="D532" s="2">
        <v>8.9599999999999999E-2</v>
      </c>
      <c r="E532">
        <v>0</v>
      </c>
      <c r="F532">
        <v>15</v>
      </c>
      <c r="G532">
        <v>15</v>
      </c>
    </row>
    <row r="533" spans="1:7" x14ac:dyDescent="0.3">
      <c r="A533" s="2">
        <v>532</v>
      </c>
      <c r="B533">
        <v>0.1212</v>
      </c>
      <c r="C533">
        <v>0.48</v>
      </c>
      <c r="D533" s="2">
        <v>0</v>
      </c>
      <c r="E533">
        <v>5</v>
      </c>
      <c r="F533">
        <v>79</v>
      </c>
      <c r="G533">
        <v>84</v>
      </c>
    </row>
    <row r="534" spans="1:7" x14ac:dyDescent="0.3">
      <c r="A534" s="2">
        <v>533</v>
      </c>
      <c r="B534">
        <v>0.13639999999999999</v>
      </c>
      <c r="C534">
        <v>0.49</v>
      </c>
      <c r="D534" s="2">
        <v>0</v>
      </c>
      <c r="E534">
        <v>6</v>
      </c>
      <c r="F534">
        <v>171</v>
      </c>
      <c r="G534">
        <v>177</v>
      </c>
    </row>
    <row r="535" spans="1:7" x14ac:dyDescent="0.3">
      <c r="A535" s="2">
        <v>534</v>
      </c>
      <c r="B535">
        <v>0.1515</v>
      </c>
      <c r="C535">
        <v>0.41</v>
      </c>
      <c r="D535" s="2">
        <v>0</v>
      </c>
      <c r="E535">
        <v>4</v>
      </c>
      <c r="F535">
        <v>98</v>
      </c>
      <c r="G535">
        <v>102</v>
      </c>
    </row>
    <row r="536" spans="1:7" x14ac:dyDescent="0.3">
      <c r="A536" s="2">
        <v>535</v>
      </c>
      <c r="B536">
        <v>0.13639999999999999</v>
      </c>
      <c r="C536">
        <v>0.42</v>
      </c>
      <c r="D536" s="2">
        <v>0</v>
      </c>
      <c r="E536">
        <v>6</v>
      </c>
      <c r="F536">
        <v>34</v>
      </c>
      <c r="G536">
        <v>40</v>
      </c>
    </row>
    <row r="537" spans="1:7" x14ac:dyDescent="0.3">
      <c r="A537" s="2">
        <v>536</v>
      </c>
      <c r="B537">
        <v>0.1212</v>
      </c>
      <c r="C537">
        <v>0.46</v>
      </c>
      <c r="D537" s="2">
        <v>0.1343</v>
      </c>
      <c r="E537">
        <v>3</v>
      </c>
      <c r="F537">
        <v>43</v>
      </c>
      <c r="G537">
        <v>46</v>
      </c>
    </row>
    <row r="538" spans="1:7" x14ac:dyDescent="0.3">
      <c r="A538" s="2">
        <v>537</v>
      </c>
      <c r="B538">
        <v>0.13639999999999999</v>
      </c>
      <c r="C538">
        <v>0.42</v>
      </c>
      <c r="D538" s="2">
        <v>0.19400000000000001</v>
      </c>
      <c r="E538">
        <v>11</v>
      </c>
      <c r="F538">
        <v>52</v>
      </c>
      <c r="G538">
        <v>63</v>
      </c>
    </row>
    <row r="539" spans="1:7" x14ac:dyDescent="0.3">
      <c r="A539" s="2">
        <v>538</v>
      </c>
      <c r="B539">
        <v>0.13639999999999999</v>
      </c>
      <c r="C539">
        <v>0.43</v>
      </c>
      <c r="D539" s="2">
        <v>0.22389999999999999</v>
      </c>
      <c r="E539">
        <v>6</v>
      </c>
      <c r="F539">
        <v>54</v>
      </c>
      <c r="G539">
        <v>60</v>
      </c>
    </row>
    <row r="540" spans="1:7" x14ac:dyDescent="0.3">
      <c r="A540" s="2">
        <v>539</v>
      </c>
      <c r="B540">
        <v>0.13639999999999999</v>
      </c>
      <c r="C540">
        <v>0.46</v>
      </c>
      <c r="D540" s="2">
        <v>0.22389999999999999</v>
      </c>
      <c r="E540">
        <v>2</v>
      </c>
      <c r="F540">
        <v>43</v>
      </c>
      <c r="G540">
        <v>45</v>
      </c>
    </row>
    <row r="541" spans="1:7" x14ac:dyDescent="0.3">
      <c r="A541" s="2">
        <v>540</v>
      </c>
      <c r="B541">
        <v>0.16669999999999999</v>
      </c>
      <c r="C541">
        <v>0.4</v>
      </c>
      <c r="D541" s="2">
        <v>0.16420000000000001</v>
      </c>
      <c r="E541">
        <v>7</v>
      </c>
      <c r="F541">
        <v>50</v>
      </c>
      <c r="G541">
        <v>57</v>
      </c>
    </row>
    <row r="542" spans="1:7" x14ac:dyDescent="0.3">
      <c r="A542" s="2">
        <v>541</v>
      </c>
      <c r="B542">
        <v>0.1515</v>
      </c>
      <c r="C542">
        <v>0.47</v>
      </c>
      <c r="D542" s="2">
        <v>0.25369999999999998</v>
      </c>
      <c r="E542">
        <v>4</v>
      </c>
      <c r="F542">
        <v>66</v>
      </c>
      <c r="G542">
        <v>70</v>
      </c>
    </row>
    <row r="543" spans="1:7" x14ac:dyDescent="0.3">
      <c r="A543" s="2">
        <v>542</v>
      </c>
      <c r="B543">
        <v>0.1212</v>
      </c>
      <c r="C543">
        <v>0.5</v>
      </c>
      <c r="D543" s="2">
        <v>0.25369999999999998</v>
      </c>
      <c r="E543">
        <v>6</v>
      </c>
      <c r="F543">
        <v>178</v>
      </c>
      <c r="G543">
        <v>184</v>
      </c>
    </row>
    <row r="544" spans="1:7" x14ac:dyDescent="0.3">
      <c r="A544" s="2">
        <v>543</v>
      </c>
      <c r="B544">
        <v>0.13639999999999999</v>
      </c>
      <c r="C544">
        <v>0.59</v>
      </c>
      <c r="D544" s="2">
        <v>0.19400000000000001</v>
      </c>
      <c r="E544">
        <v>8</v>
      </c>
      <c r="F544">
        <v>145</v>
      </c>
      <c r="G544">
        <v>153</v>
      </c>
    </row>
    <row r="545" spans="1:7" x14ac:dyDescent="0.3">
      <c r="A545" s="2">
        <v>544</v>
      </c>
      <c r="B545">
        <v>0.1515</v>
      </c>
      <c r="C545">
        <v>0.54</v>
      </c>
      <c r="D545" s="2">
        <v>0.16420000000000001</v>
      </c>
      <c r="E545">
        <v>5</v>
      </c>
      <c r="F545">
        <v>101</v>
      </c>
      <c r="G545">
        <v>106</v>
      </c>
    </row>
    <row r="546" spans="1:7" x14ac:dyDescent="0.3">
      <c r="A546" s="2">
        <v>545</v>
      </c>
      <c r="B546">
        <v>0.13639999999999999</v>
      </c>
      <c r="C546">
        <v>0.59</v>
      </c>
      <c r="D546" s="2">
        <v>0.19400000000000001</v>
      </c>
      <c r="E546">
        <v>1</v>
      </c>
      <c r="F546">
        <v>80</v>
      </c>
      <c r="G546">
        <v>81</v>
      </c>
    </row>
    <row r="547" spans="1:7" x14ac:dyDescent="0.3">
      <c r="A547" s="2">
        <v>546</v>
      </c>
      <c r="B547">
        <v>0.1515</v>
      </c>
      <c r="C547">
        <v>0.63</v>
      </c>
      <c r="D547" s="2">
        <v>0.16420000000000001</v>
      </c>
      <c r="E547">
        <v>6</v>
      </c>
      <c r="F547">
        <v>53</v>
      </c>
      <c r="G547">
        <v>59</v>
      </c>
    </row>
    <row r="548" spans="1:7" x14ac:dyDescent="0.3">
      <c r="A548" s="2">
        <v>547</v>
      </c>
      <c r="B548">
        <v>0.13639999999999999</v>
      </c>
      <c r="C548">
        <v>0.63</v>
      </c>
      <c r="D548" s="2">
        <v>0.22389999999999999</v>
      </c>
      <c r="E548">
        <v>3</v>
      </c>
      <c r="F548">
        <v>32</v>
      </c>
      <c r="G548">
        <v>35</v>
      </c>
    </row>
    <row r="549" spans="1:7" x14ac:dyDescent="0.3">
      <c r="A549" s="2">
        <v>548</v>
      </c>
      <c r="B549">
        <v>0.1515</v>
      </c>
      <c r="C549">
        <v>0.64</v>
      </c>
      <c r="D549" s="2">
        <v>0.25369999999999998</v>
      </c>
      <c r="E549">
        <v>3</v>
      </c>
      <c r="F549">
        <v>21</v>
      </c>
      <c r="G549">
        <v>24</v>
      </c>
    </row>
    <row r="550" spans="1:7" x14ac:dyDescent="0.3">
      <c r="A550" s="2">
        <v>549</v>
      </c>
      <c r="B550">
        <v>0.13639999999999999</v>
      </c>
      <c r="C550">
        <v>0.69</v>
      </c>
      <c r="D550" s="2">
        <v>0.28360000000000002</v>
      </c>
      <c r="E550">
        <v>3</v>
      </c>
      <c r="F550">
        <v>6</v>
      </c>
      <c r="G550">
        <v>9</v>
      </c>
    </row>
    <row r="551" spans="1:7" x14ac:dyDescent="0.3">
      <c r="A551" s="2">
        <v>550</v>
      </c>
      <c r="B551">
        <v>0.16669999999999999</v>
      </c>
      <c r="C551">
        <v>0.69</v>
      </c>
      <c r="D551" s="2">
        <v>0.16420000000000001</v>
      </c>
      <c r="E551">
        <v>0</v>
      </c>
      <c r="F551">
        <v>5</v>
      </c>
      <c r="G551">
        <v>5</v>
      </c>
    </row>
    <row r="552" spans="1:7" x14ac:dyDescent="0.3">
      <c r="A552" s="2">
        <v>551</v>
      </c>
      <c r="B552">
        <v>0.1515</v>
      </c>
      <c r="C552">
        <v>0.69</v>
      </c>
      <c r="D552" s="2">
        <v>0.22389999999999999</v>
      </c>
      <c r="E552">
        <v>0</v>
      </c>
      <c r="F552">
        <v>2</v>
      </c>
      <c r="G552">
        <v>2</v>
      </c>
    </row>
    <row r="553" spans="1:7" x14ac:dyDescent="0.3">
      <c r="A553" s="2">
        <v>552</v>
      </c>
      <c r="B553">
        <v>0.16669999999999999</v>
      </c>
      <c r="C553">
        <v>0.74</v>
      </c>
      <c r="D553" s="2">
        <v>0.1045</v>
      </c>
      <c r="E553">
        <v>0</v>
      </c>
      <c r="F553">
        <v>1</v>
      </c>
      <c r="G553">
        <v>1</v>
      </c>
    </row>
    <row r="554" spans="1:7" x14ac:dyDescent="0.3">
      <c r="A554" s="2">
        <v>553</v>
      </c>
      <c r="B554">
        <v>0.13639999999999999</v>
      </c>
      <c r="C554">
        <v>0.74</v>
      </c>
      <c r="D554" s="2">
        <v>0.22389999999999999</v>
      </c>
      <c r="E554">
        <v>0</v>
      </c>
      <c r="F554">
        <v>9</v>
      </c>
      <c r="G554">
        <v>9</v>
      </c>
    </row>
    <row r="555" spans="1:7" x14ac:dyDescent="0.3">
      <c r="A555" s="2">
        <v>554</v>
      </c>
      <c r="B555">
        <v>0.18179999999999999</v>
      </c>
      <c r="C555">
        <v>0.74</v>
      </c>
      <c r="D555" s="2">
        <v>0.1045</v>
      </c>
      <c r="E555">
        <v>1</v>
      </c>
      <c r="F555">
        <v>35</v>
      </c>
      <c r="G555">
        <v>36</v>
      </c>
    </row>
    <row r="556" spans="1:7" x14ac:dyDescent="0.3">
      <c r="A556" s="2">
        <v>555</v>
      </c>
      <c r="B556">
        <v>0.1515</v>
      </c>
      <c r="C556">
        <v>0.74</v>
      </c>
      <c r="D556" s="2">
        <v>0.22389999999999999</v>
      </c>
      <c r="E556">
        <v>5</v>
      </c>
      <c r="F556">
        <v>103</v>
      </c>
      <c r="G556">
        <v>108</v>
      </c>
    </row>
    <row r="557" spans="1:7" x14ac:dyDescent="0.3">
      <c r="A557" s="2">
        <v>556</v>
      </c>
      <c r="B557">
        <v>0.18179999999999999</v>
      </c>
      <c r="C557">
        <v>0.74</v>
      </c>
      <c r="D557" s="2">
        <v>0.1343</v>
      </c>
      <c r="E557">
        <v>5</v>
      </c>
      <c r="F557">
        <v>233</v>
      </c>
      <c r="G557">
        <v>238</v>
      </c>
    </row>
    <row r="558" spans="1:7" x14ac:dyDescent="0.3">
      <c r="A558" s="2">
        <v>557</v>
      </c>
      <c r="B558">
        <v>0.2273</v>
      </c>
      <c r="C558">
        <v>0.64</v>
      </c>
      <c r="D558" s="2">
        <v>8.9599999999999999E-2</v>
      </c>
      <c r="E558">
        <v>10</v>
      </c>
      <c r="F558">
        <v>134</v>
      </c>
      <c r="G558">
        <v>144</v>
      </c>
    </row>
    <row r="559" spans="1:7" x14ac:dyDescent="0.3">
      <c r="A559" s="2">
        <v>558</v>
      </c>
      <c r="B559">
        <v>0.2424</v>
      </c>
      <c r="C559">
        <v>0.6</v>
      </c>
      <c r="D559" s="2">
        <v>0.1045</v>
      </c>
      <c r="E559">
        <v>6</v>
      </c>
      <c r="F559">
        <v>49</v>
      </c>
      <c r="G559">
        <v>55</v>
      </c>
    </row>
    <row r="560" spans="1:7" x14ac:dyDescent="0.3">
      <c r="A560" s="2">
        <v>559</v>
      </c>
      <c r="B560">
        <v>0.2424</v>
      </c>
      <c r="C560">
        <v>0.6</v>
      </c>
      <c r="D560" s="2">
        <v>0.1343</v>
      </c>
      <c r="E560">
        <v>6</v>
      </c>
      <c r="F560">
        <v>55</v>
      </c>
      <c r="G560">
        <v>61</v>
      </c>
    </row>
    <row r="561" spans="1:7" x14ac:dyDescent="0.3">
      <c r="A561" s="2">
        <v>560</v>
      </c>
      <c r="B561">
        <v>0.28789999999999999</v>
      </c>
      <c r="C561">
        <v>0.56000000000000005</v>
      </c>
      <c r="D561" s="2">
        <v>8.9599999999999999E-2</v>
      </c>
      <c r="E561">
        <v>21</v>
      </c>
      <c r="F561">
        <v>85</v>
      </c>
      <c r="G561">
        <v>106</v>
      </c>
    </row>
    <row r="562" spans="1:7" x14ac:dyDescent="0.3">
      <c r="A562" s="2">
        <v>561</v>
      </c>
      <c r="B562">
        <v>0.2727</v>
      </c>
      <c r="C562">
        <v>0.56000000000000005</v>
      </c>
      <c r="D562" s="2">
        <v>0.1343</v>
      </c>
      <c r="E562">
        <v>21</v>
      </c>
      <c r="F562">
        <v>72</v>
      </c>
      <c r="G562">
        <v>93</v>
      </c>
    </row>
    <row r="563" spans="1:7" x14ac:dyDescent="0.3">
      <c r="A563" s="2">
        <v>562</v>
      </c>
      <c r="B563">
        <v>0.33329999999999999</v>
      </c>
      <c r="C563">
        <v>0.45</v>
      </c>
      <c r="D563" s="2">
        <v>0</v>
      </c>
      <c r="E563">
        <v>11</v>
      </c>
      <c r="F563">
        <v>57</v>
      </c>
      <c r="G563">
        <v>68</v>
      </c>
    </row>
    <row r="564" spans="1:7" x14ac:dyDescent="0.3">
      <c r="A564" s="2">
        <v>563</v>
      </c>
      <c r="B564">
        <v>0.34849999999999998</v>
      </c>
      <c r="C564">
        <v>0.42</v>
      </c>
      <c r="D564" s="2">
        <v>0</v>
      </c>
      <c r="E564">
        <v>21</v>
      </c>
      <c r="F564">
        <v>63</v>
      </c>
      <c r="G564">
        <v>84</v>
      </c>
    </row>
    <row r="565" spans="1:7" x14ac:dyDescent="0.3">
      <c r="A565" s="2">
        <v>564</v>
      </c>
      <c r="B565">
        <v>0.34849999999999998</v>
      </c>
      <c r="C565">
        <v>0.42</v>
      </c>
      <c r="D565" s="2">
        <v>0</v>
      </c>
      <c r="E565">
        <v>14</v>
      </c>
      <c r="F565">
        <v>102</v>
      </c>
      <c r="G565">
        <v>116</v>
      </c>
    </row>
    <row r="566" spans="1:7" x14ac:dyDescent="0.3">
      <c r="A566" s="2">
        <v>565</v>
      </c>
      <c r="B566">
        <v>0.33329999999999999</v>
      </c>
      <c r="C566">
        <v>0.45</v>
      </c>
      <c r="D566" s="2">
        <v>0</v>
      </c>
      <c r="E566">
        <v>14</v>
      </c>
      <c r="F566">
        <v>208</v>
      </c>
      <c r="G566">
        <v>222</v>
      </c>
    </row>
    <row r="567" spans="1:7" x14ac:dyDescent="0.3">
      <c r="A567" s="2">
        <v>566</v>
      </c>
      <c r="B567">
        <v>0.31819999999999998</v>
      </c>
      <c r="C567">
        <v>0.49</v>
      </c>
      <c r="D567" s="2">
        <v>8.9599999999999999E-2</v>
      </c>
      <c r="E567">
        <v>7</v>
      </c>
      <c r="F567">
        <v>218</v>
      </c>
      <c r="G567">
        <v>225</v>
      </c>
    </row>
    <row r="568" spans="1:7" x14ac:dyDescent="0.3">
      <c r="A568" s="2">
        <v>567</v>
      </c>
      <c r="B568">
        <v>0.2576</v>
      </c>
      <c r="C568">
        <v>0.65</v>
      </c>
      <c r="D568" s="2">
        <v>0.16420000000000001</v>
      </c>
      <c r="E568">
        <v>13</v>
      </c>
      <c r="F568">
        <v>133</v>
      </c>
      <c r="G568">
        <v>146</v>
      </c>
    </row>
    <row r="569" spans="1:7" x14ac:dyDescent="0.3">
      <c r="A569" s="2">
        <v>568</v>
      </c>
      <c r="B569">
        <v>0.2273</v>
      </c>
      <c r="C569">
        <v>0.65</v>
      </c>
      <c r="D569" s="2">
        <v>0.19400000000000001</v>
      </c>
      <c r="E569">
        <v>16</v>
      </c>
      <c r="F569">
        <v>103</v>
      </c>
      <c r="G569">
        <v>119</v>
      </c>
    </row>
    <row r="570" spans="1:7" x14ac:dyDescent="0.3">
      <c r="A570" s="2">
        <v>569</v>
      </c>
      <c r="B570">
        <v>0.2273</v>
      </c>
      <c r="C570">
        <v>0.65</v>
      </c>
      <c r="D570" s="2">
        <v>0.19400000000000001</v>
      </c>
      <c r="E570">
        <v>5</v>
      </c>
      <c r="F570">
        <v>40</v>
      </c>
      <c r="G570">
        <v>45</v>
      </c>
    </row>
    <row r="571" spans="1:7" x14ac:dyDescent="0.3">
      <c r="A571" s="2">
        <v>570</v>
      </c>
      <c r="B571">
        <v>0.2273</v>
      </c>
      <c r="C571">
        <v>0.64</v>
      </c>
      <c r="D571" s="2">
        <v>0.16420000000000001</v>
      </c>
      <c r="E571">
        <v>4</v>
      </c>
      <c r="F571">
        <v>49</v>
      </c>
      <c r="G571">
        <v>53</v>
      </c>
    </row>
    <row r="572" spans="1:7" x14ac:dyDescent="0.3">
      <c r="A572" s="2">
        <v>571</v>
      </c>
      <c r="B572">
        <v>0.2273</v>
      </c>
      <c r="C572">
        <v>0.64</v>
      </c>
      <c r="D572" s="2">
        <v>0.16420000000000001</v>
      </c>
      <c r="E572">
        <v>3</v>
      </c>
      <c r="F572">
        <v>37</v>
      </c>
      <c r="G572">
        <v>40</v>
      </c>
    </row>
    <row r="573" spans="1:7" x14ac:dyDescent="0.3">
      <c r="A573" s="2">
        <v>572</v>
      </c>
      <c r="B573">
        <v>0.2273</v>
      </c>
      <c r="C573">
        <v>0.69</v>
      </c>
      <c r="D573" s="2">
        <v>0.1343</v>
      </c>
      <c r="E573">
        <v>3</v>
      </c>
      <c r="F573">
        <v>14</v>
      </c>
      <c r="G573">
        <v>17</v>
      </c>
    </row>
    <row r="574" spans="1:7" x14ac:dyDescent="0.3">
      <c r="A574" s="2">
        <v>573</v>
      </c>
      <c r="B574">
        <v>0.2424</v>
      </c>
      <c r="C574">
        <v>0.65</v>
      </c>
      <c r="D574" s="2">
        <v>0.1343</v>
      </c>
      <c r="E574">
        <v>0</v>
      </c>
      <c r="F574">
        <v>5</v>
      </c>
      <c r="G574">
        <v>5</v>
      </c>
    </row>
    <row r="575" spans="1:7" x14ac:dyDescent="0.3">
      <c r="A575" s="2">
        <v>574</v>
      </c>
      <c r="B575">
        <v>0.2273</v>
      </c>
      <c r="C575">
        <v>0.69</v>
      </c>
      <c r="D575" s="2">
        <v>0.19400000000000001</v>
      </c>
      <c r="E575">
        <v>3</v>
      </c>
      <c r="F575">
        <v>7</v>
      </c>
      <c r="G575">
        <v>10</v>
      </c>
    </row>
    <row r="576" spans="1:7" x14ac:dyDescent="0.3">
      <c r="A576" s="2">
        <v>575</v>
      </c>
      <c r="B576">
        <v>0.18179999999999999</v>
      </c>
      <c r="C576">
        <v>0.86</v>
      </c>
      <c r="D576" s="2">
        <v>0.28360000000000002</v>
      </c>
      <c r="E576">
        <v>0</v>
      </c>
      <c r="F576">
        <v>1</v>
      </c>
      <c r="G576">
        <v>1</v>
      </c>
    </row>
    <row r="577" spans="1:7" x14ac:dyDescent="0.3">
      <c r="A577" s="2">
        <v>576</v>
      </c>
      <c r="B577">
        <v>0.18179999999999999</v>
      </c>
      <c r="C577">
        <v>0.86</v>
      </c>
      <c r="D577" s="2">
        <v>0.28360000000000002</v>
      </c>
      <c r="E577">
        <v>0</v>
      </c>
      <c r="F577">
        <v>8</v>
      </c>
      <c r="G577">
        <v>8</v>
      </c>
    </row>
    <row r="578" spans="1:7" x14ac:dyDescent="0.3">
      <c r="A578" s="2">
        <v>577</v>
      </c>
      <c r="B578">
        <v>0.21210000000000001</v>
      </c>
      <c r="C578">
        <v>0.87</v>
      </c>
      <c r="D578" s="2">
        <v>0.29849999999999999</v>
      </c>
      <c r="E578">
        <v>1</v>
      </c>
      <c r="F578">
        <v>29</v>
      </c>
      <c r="G578">
        <v>30</v>
      </c>
    </row>
    <row r="579" spans="1:7" x14ac:dyDescent="0.3">
      <c r="A579" s="2">
        <v>578</v>
      </c>
      <c r="B579">
        <v>0.21210000000000001</v>
      </c>
      <c r="C579">
        <v>0.87</v>
      </c>
      <c r="D579" s="2">
        <v>0.29849999999999999</v>
      </c>
      <c r="E579">
        <v>3</v>
      </c>
      <c r="F579">
        <v>69</v>
      </c>
      <c r="G579">
        <v>72</v>
      </c>
    </row>
    <row r="580" spans="1:7" x14ac:dyDescent="0.3">
      <c r="A580" s="2">
        <v>579</v>
      </c>
      <c r="B580">
        <v>0.21210000000000001</v>
      </c>
      <c r="C580">
        <v>0.87</v>
      </c>
      <c r="D580" s="2">
        <v>0.29849999999999999</v>
      </c>
      <c r="E580">
        <v>3</v>
      </c>
      <c r="F580">
        <v>55</v>
      </c>
      <c r="G580">
        <v>58</v>
      </c>
    </row>
    <row r="581" spans="1:7" x14ac:dyDescent="0.3">
      <c r="A581" s="2">
        <v>580</v>
      </c>
      <c r="B581">
        <v>0.21210000000000001</v>
      </c>
      <c r="C581">
        <v>0.93</v>
      </c>
      <c r="D581" s="2">
        <v>0.28360000000000002</v>
      </c>
      <c r="E581">
        <v>2</v>
      </c>
      <c r="F581">
        <v>26</v>
      </c>
      <c r="G581">
        <v>28</v>
      </c>
    </row>
    <row r="582" spans="1:7" x14ac:dyDescent="0.3">
      <c r="A582" s="2">
        <v>581</v>
      </c>
      <c r="B582">
        <v>0.19700000000000001</v>
      </c>
      <c r="C582">
        <v>0.93</v>
      </c>
      <c r="D582" s="2">
        <v>0.32840000000000003</v>
      </c>
      <c r="E582">
        <v>6</v>
      </c>
      <c r="F582">
        <v>35</v>
      </c>
      <c r="G582">
        <v>41</v>
      </c>
    </row>
    <row r="583" spans="1:7" x14ac:dyDescent="0.3">
      <c r="A583" s="2">
        <v>582</v>
      </c>
      <c r="B583">
        <v>0.19700000000000001</v>
      </c>
      <c r="C583">
        <v>0.93</v>
      </c>
      <c r="D583" s="2">
        <v>0.32840000000000003</v>
      </c>
      <c r="E583">
        <v>7</v>
      </c>
      <c r="F583">
        <v>41</v>
      </c>
      <c r="G583">
        <v>48</v>
      </c>
    </row>
    <row r="584" spans="1:7" x14ac:dyDescent="0.3">
      <c r="A584" s="2">
        <v>583</v>
      </c>
      <c r="B584">
        <v>0.19700000000000001</v>
      </c>
      <c r="C584">
        <v>0.93</v>
      </c>
      <c r="D584" s="2">
        <v>0.32840000000000003</v>
      </c>
      <c r="E584">
        <v>4</v>
      </c>
      <c r="F584">
        <v>43</v>
      </c>
      <c r="G584">
        <v>47</v>
      </c>
    </row>
    <row r="585" spans="1:7" x14ac:dyDescent="0.3">
      <c r="A585" s="2">
        <v>584</v>
      </c>
      <c r="B585">
        <v>0.19700000000000001</v>
      </c>
      <c r="C585">
        <v>0.93</v>
      </c>
      <c r="D585" s="2">
        <v>0.35820000000000002</v>
      </c>
      <c r="E585">
        <v>0</v>
      </c>
      <c r="F585">
        <v>36</v>
      </c>
      <c r="G585">
        <v>36</v>
      </c>
    </row>
    <row r="586" spans="1:7" x14ac:dyDescent="0.3">
      <c r="A586" s="2">
        <v>585</v>
      </c>
      <c r="B586">
        <v>0.18179999999999999</v>
      </c>
      <c r="C586">
        <v>0.93</v>
      </c>
      <c r="D586" s="2">
        <v>0.4627</v>
      </c>
      <c r="E586">
        <v>1</v>
      </c>
      <c r="F586">
        <v>42</v>
      </c>
      <c r="G586">
        <v>43</v>
      </c>
    </row>
    <row r="587" spans="1:7" x14ac:dyDescent="0.3">
      <c r="A587" s="2">
        <v>586</v>
      </c>
      <c r="B587">
        <v>0.19700000000000001</v>
      </c>
      <c r="C587">
        <v>0.93</v>
      </c>
      <c r="D587" s="2">
        <v>0.32840000000000003</v>
      </c>
      <c r="E587">
        <v>1</v>
      </c>
      <c r="F587">
        <v>35</v>
      </c>
      <c r="G587">
        <v>36</v>
      </c>
    </row>
    <row r="588" spans="1:7" x14ac:dyDescent="0.3">
      <c r="A588" s="2">
        <v>587</v>
      </c>
      <c r="B588">
        <v>0.18179999999999999</v>
      </c>
      <c r="C588">
        <v>0.93</v>
      </c>
      <c r="D588" s="2">
        <v>0.35820000000000002</v>
      </c>
      <c r="E588">
        <v>0</v>
      </c>
      <c r="F588">
        <v>26</v>
      </c>
      <c r="G588">
        <v>26</v>
      </c>
    </row>
    <row r="589" spans="1:7" x14ac:dyDescent="0.3">
      <c r="A589" s="2">
        <v>588</v>
      </c>
      <c r="B589">
        <v>0.2273</v>
      </c>
      <c r="C589">
        <v>0.55000000000000004</v>
      </c>
      <c r="D589" s="2">
        <v>0.19400000000000001</v>
      </c>
      <c r="E589">
        <v>1</v>
      </c>
      <c r="F589">
        <v>23</v>
      </c>
      <c r="G589">
        <v>24</v>
      </c>
    </row>
    <row r="590" spans="1:7" x14ac:dyDescent="0.3">
      <c r="A590" s="2">
        <v>589</v>
      </c>
      <c r="B590">
        <v>0.2424</v>
      </c>
      <c r="C590">
        <v>0.55000000000000004</v>
      </c>
      <c r="D590" s="2">
        <v>0.1045</v>
      </c>
      <c r="E590">
        <v>2</v>
      </c>
      <c r="F590">
        <v>82</v>
      </c>
      <c r="G590">
        <v>84</v>
      </c>
    </row>
    <row r="591" spans="1:7" x14ac:dyDescent="0.3">
      <c r="A591" s="2">
        <v>590</v>
      </c>
      <c r="B591">
        <v>0.2273</v>
      </c>
      <c r="C591">
        <v>0.69</v>
      </c>
      <c r="D591" s="2">
        <v>8.9599999999999999E-2</v>
      </c>
      <c r="E591">
        <v>3</v>
      </c>
      <c r="F591">
        <v>101</v>
      </c>
      <c r="G591">
        <v>104</v>
      </c>
    </row>
    <row r="592" spans="1:7" x14ac:dyDescent="0.3">
      <c r="A592" s="2">
        <v>591</v>
      </c>
      <c r="B592">
        <v>0.2273</v>
      </c>
      <c r="C592">
        <v>0.69</v>
      </c>
      <c r="D592" s="2">
        <v>8.9599999999999999E-2</v>
      </c>
      <c r="E592">
        <v>3</v>
      </c>
      <c r="F592">
        <v>76</v>
      </c>
      <c r="G592">
        <v>79</v>
      </c>
    </row>
    <row r="593" spans="1:7" x14ac:dyDescent="0.3">
      <c r="A593" s="2">
        <v>592</v>
      </c>
      <c r="B593">
        <v>0.21210000000000001</v>
      </c>
      <c r="C593">
        <v>0.74</v>
      </c>
      <c r="D593" s="2">
        <v>8.9599999999999999E-2</v>
      </c>
      <c r="E593">
        <v>4</v>
      </c>
      <c r="F593">
        <v>55</v>
      </c>
      <c r="G593">
        <v>59</v>
      </c>
    </row>
    <row r="594" spans="1:7" x14ac:dyDescent="0.3">
      <c r="A594" s="2">
        <v>593</v>
      </c>
      <c r="B594">
        <v>0.21210000000000001</v>
      </c>
      <c r="C594">
        <v>0.74</v>
      </c>
      <c r="D594" s="2">
        <v>8.9599999999999999E-2</v>
      </c>
      <c r="E594">
        <v>2</v>
      </c>
      <c r="F594">
        <v>36</v>
      </c>
      <c r="G594">
        <v>38</v>
      </c>
    </row>
    <row r="595" spans="1:7" x14ac:dyDescent="0.3">
      <c r="A595" s="2">
        <v>594</v>
      </c>
      <c r="B595">
        <v>0.21210000000000001</v>
      </c>
      <c r="C595">
        <v>0.74</v>
      </c>
      <c r="D595" s="2">
        <v>8.9599999999999999E-2</v>
      </c>
      <c r="E595">
        <v>0</v>
      </c>
      <c r="F595">
        <v>27</v>
      </c>
      <c r="G595">
        <v>27</v>
      </c>
    </row>
    <row r="596" spans="1:7" x14ac:dyDescent="0.3">
      <c r="A596" s="2">
        <v>595</v>
      </c>
      <c r="B596">
        <v>0.19700000000000001</v>
      </c>
      <c r="C596">
        <v>0.8</v>
      </c>
      <c r="D596" s="2">
        <v>0.16420000000000001</v>
      </c>
      <c r="E596">
        <v>0</v>
      </c>
      <c r="F596">
        <v>16</v>
      </c>
      <c r="G596">
        <v>16</v>
      </c>
    </row>
    <row r="597" spans="1:7" x14ac:dyDescent="0.3">
      <c r="A597" s="2">
        <v>596</v>
      </c>
      <c r="B597">
        <v>0.21210000000000001</v>
      </c>
      <c r="C597">
        <v>0.75</v>
      </c>
      <c r="D597" s="2">
        <v>0.1343</v>
      </c>
      <c r="E597">
        <v>0</v>
      </c>
      <c r="F597">
        <v>9</v>
      </c>
      <c r="G597">
        <v>9</v>
      </c>
    </row>
    <row r="598" spans="1:7" x14ac:dyDescent="0.3">
      <c r="A598" s="2">
        <v>597</v>
      </c>
      <c r="B598">
        <v>0.21210000000000001</v>
      </c>
      <c r="C598">
        <v>0.75</v>
      </c>
      <c r="D598" s="2">
        <v>0.1343</v>
      </c>
      <c r="E598">
        <v>1</v>
      </c>
      <c r="F598">
        <v>2</v>
      </c>
      <c r="G598">
        <v>3</v>
      </c>
    </row>
    <row r="599" spans="1:7" x14ac:dyDescent="0.3">
      <c r="A599" s="2">
        <v>598</v>
      </c>
      <c r="B599">
        <v>0.21210000000000001</v>
      </c>
      <c r="C599">
        <v>0.75</v>
      </c>
      <c r="D599" s="2">
        <v>0.16420000000000001</v>
      </c>
      <c r="E599">
        <v>0</v>
      </c>
      <c r="F599">
        <v>2</v>
      </c>
      <c r="G599">
        <v>2</v>
      </c>
    </row>
    <row r="600" spans="1:7" x14ac:dyDescent="0.3">
      <c r="A600" s="2">
        <v>599</v>
      </c>
      <c r="B600">
        <v>0.2273</v>
      </c>
      <c r="C600">
        <v>0.75</v>
      </c>
      <c r="D600" s="2">
        <v>0.1045</v>
      </c>
      <c r="E600">
        <v>1</v>
      </c>
      <c r="F600">
        <v>0</v>
      </c>
      <c r="G600">
        <v>1</v>
      </c>
    </row>
    <row r="601" spans="1:7" x14ac:dyDescent="0.3">
      <c r="A601" s="2">
        <v>600</v>
      </c>
      <c r="B601">
        <v>0.21210000000000001</v>
      </c>
      <c r="C601">
        <v>0.8</v>
      </c>
      <c r="D601" s="2">
        <v>0.1045</v>
      </c>
      <c r="E601">
        <v>0</v>
      </c>
      <c r="F601">
        <v>4</v>
      </c>
      <c r="G601">
        <v>4</v>
      </c>
    </row>
    <row r="602" spans="1:7" x14ac:dyDescent="0.3">
      <c r="A602" s="2">
        <v>601</v>
      </c>
      <c r="B602">
        <v>0.19700000000000001</v>
      </c>
      <c r="C602">
        <v>0.8</v>
      </c>
      <c r="D602" s="2">
        <v>0.1343</v>
      </c>
      <c r="E602">
        <v>0</v>
      </c>
      <c r="F602">
        <v>16</v>
      </c>
      <c r="G602">
        <v>16</v>
      </c>
    </row>
    <row r="603" spans="1:7" x14ac:dyDescent="0.3">
      <c r="A603" s="2">
        <v>602</v>
      </c>
      <c r="B603">
        <v>0.19700000000000001</v>
      </c>
      <c r="C603">
        <v>0.86</v>
      </c>
      <c r="D603" s="2">
        <v>8.9599999999999999E-2</v>
      </c>
      <c r="E603">
        <v>2</v>
      </c>
      <c r="F603">
        <v>58</v>
      </c>
      <c r="G603">
        <v>60</v>
      </c>
    </row>
    <row r="604" spans="1:7" x14ac:dyDescent="0.3">
      <c r="A604" s="2">
        <v>603</v>
      </c>
      <c r="B604">
        <v>0.19700000000000001</v>
      </c>
      <c r="C604">
        <v>0.86</v>
      </c>
      <c r="D604" s="2">
        <v>8.9599999999999999E-2</v>
      </c>
      <c r="E604">
        <v>2</v>
      </c>
      <c r="F604">
        <v>155</v>
      </c>
      <c r="G604">
        <v>157</v>
      </c>
    </row>
    <row r="605" spans="1:7" x14ac:dyDescent="0.3">
      <c r="A605" s="2">
        <v>604</v>
      </c>
      <c r="B605">
        <v>0.21210000000000001</v>
      </c>
      <c r="C605">
        <v>0.86</v>
      </c>
      <c r="D605" s="2">
        <v>8.9599999999999999E-2</v>
      </c>
      <c r="E605">
        <v>6</v>
      </c>
      <c r="F605">
        <v>95</v>
      </c>
      <c r="G605">
        <v>101</v>
      </c>
    </row>
    <row r="606" spans="1:7" x14ac:dyDescent="0.3">
      <c r="A606" s="2">
        <v>605</v>
      </c>
      <c r="B606">
        <v>0.21210000000000001</v>
      </c>
      <c r="C606">
        <v>0.86</v>
      </c>
      <c r="D606" s="2">
        <v>0.1045</v>
      </c>
      <c r="E606">
        <v>0</v>
      </c>
      <c r="F606">
        <v>49</v>
      </c>
      <c r="G606">
        <v>49</v>
      </c>
    </row>
    <row r="607" spans="1:7" x14ac:dyDescent="0.3">
      <c r="A607" s="2">
        <v>606</v>
      </c>
      <c r="B607">
        <v>0.21210000000000001</v>
      </c>
      <c r="C607">
        <v>0.93</v>
      </c>
      <c r="D607" s="2">
        <v>0.1045</v>
      </c>
      <c r="E607">
        <v>0</v>
      </c>
      <c r="F607">
        <v>30</v>
      </c>
      <c r="G607">
        <v>30</v>
      </c>
    </row>
    <row r="608" spans="1:7" x14ac:dyDescent="0.3">
      <c r="A608" s="2">
        <v>607</v>
      </c>
      <c r="B608">
        <v>0.21210000000000001</v>
      </c>
      <c r="C608">
        <v>0.93</v>
      </c>
      <c r="D608" s="2">
        <v>0.1045</v>
      </c>
      <c r="E608">
        <v>1</v>
      </c>
      <c r="F608">
        <v>28</v>
      </c>
      <c r="G608">
        <v>29</v>
      </c>
    </row>
    <row r="609" spans="1:7" x14ac:dyDescent="0.3">
      <c r="A609" s="2">
        <v>608</v>
      </c>
      <c r="B609">
        <v>0.21210000000000001</v>
      </c>
      <c r="C609">
        <v>0.93</v>
      </c>
      <c r="D609" s="2">
        <v>0.1045</v>
      </c>
      <c r="E609">
        <v>0</v>
      </c>
      <c r="F609">
        <v>31</v>
      </c>
      <c r="G609">
        <v>31</v>
      </c>
    </row>
    <row r="610" spans="1:7" x14ac:dyDescent="0.3">
      <c r="A610" s="2">
        <v>609</v>
      </c>
      <c r="B610">
        <v>0.2727</v>
      </c>
      <c r="C610">
        <v>0.8</v>
      </c>
      <c r="D610" s="2">
        <v>0</v>
      </c>
      <c r="E610">
        <v>2</v>
      </c>
      <c r="F610">
        <v>36</v>
      </c>
      <c r="G610">
        <v>38</v>
      </c>
    </row>
    <row r="611" spans="1:7" x14ac:dyDescent="0.3">
      <c r="A611" s="2">
        <v>610</v>
      </c>
      <c r="B611">
        <v>0.2576</v>
      </c>
      <c r="C611">
        <v>0.86</v>
      </c>
      <c r="D611" s="2">
        <v>0</v>
      </c>
      <c r="E611">
        <v>1</v>
      </c>
      <c r="F611">
        <v>40</v>
      </c>
      <c r="G611">
        <v>41</v>
      </c>
    </row>
  </sheetData>
  <phoneticPr fontId="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9142-8E54-467B-A5C3-7DFF7850B02C}">
  <sheetPr codeName="Sheet5"/>
  <dimension ref="A1:P391"/>
  <sheetViews>
    <sheetView topLeftCell="A366" workbookViewId="0">
      <selection activeCell="R17" sqref="R17"/>
    </sheetView>
  </sheetViews>
  <sheetFormatPr defaultRowHeight="14.4" x14ac:dyDescent="0.3"/>
  <cols>
    <col min="1" max="3" width="11.21875" bestFit="1" customWidth="1"/>
    <col min="4" max="4" width="7" bestFit="1" customWidth="1"/>
    <col min="5" max="5" width="9.77734375" bestFit="1" customWidth="1"/>
    <col min="6" max="6" width="7.109375" bestFit="1" customWidth="1"/>
    <col min="7" max="7" width="11.5546875" bestFit="1" customWidth="1"/>
    <col min="8" max="8" width="12.77734375" bestFit="1" customWidth="1"/>
    <col min="9" max="9" width="14.21875" bestFit="1" customWidth="1"/>
    <col min="10" max="10" width="9.88671875" bestFit="1" customWidth="1"/>
    <col min="11" max="11" width="10.88671875" bestFit="1" customWidth="1"/>
    <col min="12" max="12" width="9.109375" bestFit="1" customWidth="1"/>
    <col min="13" max="13" width="14.5546875" bestFit="1" customWidth="1"/>
    <col min="14" max="14" width="10.88671875" bestFit="1" customWidth="1"/>
    <col min="15" max="15" width="13.88671875" bestFit="1" customWidth="1"/>
    <col min="16" max="16" width="8.109375" bestFit="1" customWidth="1"/>
  </cols>
  <sheetData>
    <row r="1" spans="1:16" x14ac:dyDescent="0.3">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row>
    <row r="2" spans="1:16" x14ac:dyDescent="0.3">
      <c r="A2" s="2">
        <v>620</v>
      </c>
      <c r="B2" s="3">
        <v>40572</v>
      </c>
      <c r="C2" s="2">
        <v>1</v>
      </c>
      <c r="D2" s="2">
        <v>0</v>
      </c>
      <c r="E2" s="2">
        <v>1</v>
      </c>
      <c r="F2" s="2">
        <v>1</v>
      </c>
      <c r="G2" s="2" t="b">
        <v>0</v>
      </c>
      <c r="H2" s="2">
        <v>6</v>
      </c>
      <c r="I2" s="2">
        <v>1</v>
      </c>
      <c r="J2" s="2">
        <v>0.22</v>
      </c>
      <c r="K2" s="2">
        <v>0.2273</v>
      </c>
      <c r="L2" s="2">
        <v>0.64</v>
      </c>
      <c r="M2" s="2">
        <v>0.19400000000000001</v>
      </c>
      <c r="N2" s="2">
        <v>0</v>
      </c>
      <c r="O2" s="2">
        <v>20</v>
      </c>
      <c r="P2" s="2">
        <v>20</v>
      </c>
    </row>
    <row r="3" spans="1:16" x14ac:dyDescent="0.3">
      <c r="A3" s="2">
        <v>621</v>
      </c>
      <c r="B3" s="3">
        <v>40572</v>
      </c>
      <c r="C3" s="2">
        <v>1</v>
      </c>
      <c r="D3" s="2">
        <v>0</v>
      </c>
      <c r="E3" s="2">
        <v>1</v>
      </c>
      <c r="F3" s="2">
        <v>2</v>
      </c>
      <c r="G3" s="2" t="b">
        <v>0</v>
      </c>
      <c r="H3" s="2">
        <v>6</v>
      </c>
      <c r="I3" s="2">
        <v>1</v>
      </c>
      <c r="J3" s="2">
        <v>0.22</v>
      </c>
      <c r="K3" s="2">
        <v>0.2273</v>
      </c>
      <c r="L3" s="2">
        <v>0.64</v>
      </c>
      <c r="M3" s="2">
        <v>0.16420000000000001</v>
      </c>
      <c r="N3" s="2">
        <v>0</v>
      </c>
      <c r="O3" s="2">
        <v>15</v>
      </c>
      <c r="P3" s="2">
        <v>15</v>
      </c>
    </row>
    <row r="4" spans="1:16" x14ac:dyDescent="0.3">
      <c r="A4" s="2">
        <v>622</v>
      </c>
      <c r="B4" s="3">
        <v>40572</v>
      </c>
      <c r="C4" s="2">
        <v>1</v>
      </c>
      <c r="D4" s="2">
        <v>0</v>
      </c>
      <c r="E4" s="2">
        <v>1</v>
      </c>
      <c r="F4" s="2">
        <v>3</v>
      </c>
      <c r="G4" s="2" t="b">
        <v>0</v>
      </c>
      <c r="H4" s="2">
        <v>6</v>
      </c>
      <c r="I4" s="2">
        <v>1</v>
      </c>
      <c r="J4" s="2">
        <v>0.2</v>
      </c>
      <c r="K4" s="2">
        <v>0.21210000000000001</v>
      </c>
      <c r="L4" s="2">
        <v>0.64</v>
      </c>
      <c r="M4" s="2">
        <v>0.1343</v>
      </c>
      <c r="N4" s="2">
        <v>3</v>
      </c>
      <c r="O4" s="2">
        <v>5</v>
      </c>
      <c r="P4" s="2">
        <v>8</v>
      </c>
    </row>
    <row r="5" spans="1:16" x14ac:dyDescent="0.3">
      <c r="A5" s="2">
        <v>623</v>
      </c>
      <c r="B5" s="3">
        <v>40572</v>
      </c>
      <c r="C5" s="2">
        <v>1</v>
      </c>
      <c r="D5" s="2">
        <v>0</v>
      </c>
      <c r="E5" s="2">
        <v>1</v>
      </c>
      <c r="F5" s="2">
        <v>4</v>
      </c>
      <c r="G5" s="2" t="b">
        <v>0</v>
      </c>
      <c r="H5" s="2">
        <v>6</v>
      </c>
      <c r="I5" s="2">
        <v>1</v>
      </c>
      <c r="J5" s="2">
        <v>0.16</v>
      </c>
      <c r="K5" s="2">
        <v>0.18179999999999999</v>
      </c>
      <c r="L5" s="2">
        <v>0.69</v>
      </c>
      <c r="M5" s="2">
        <v>0.1045</v>
      </c>
      <c r="N5" s="2">
        <v>1</v>
      </c>
      <c r="O5" s="2">
        <v>2</v>
      </c>
      <c r="P5" s="2">
        <v>3</v>
      </c>
    </row>
    <row r="6" spans="1:16" x14ac:dyDescent="0.3">
      <c r="A6" s="2">
        <v>624</v>
      </c>
      <c r="B6" s="3">
        <v>40572</v>
      </c>
      <c r="C6" s="2">
        <v>1</v>
      </c>
      <c r="D6" s="2">
        <v>0</v>
      </c>
      <c r="E6" s="2">
        <v>1</v>
      </c>
      <c r="F6" s="2">
        <v>6</v>
      </c>
      <c r="G6" s="2" t="b">
        <v>0</v>
      </c>
      <c r="H6" s="2">
        <v>6</v>
      </c>
      <c r="I6" s="2">
        <v>1</v>
      </c>
      <c r="J6" s="2">
        <v>0.16</v>
      </c>
      <c r="K6" s="2">
        <v>0.18179999999999999</v>
      </c>
      <c r="L6" s="2">
        <v>0.64</v>
      </c>
      <c r="M6" s="2">
        <v>0.1343</v>
      </c>
      <c r="N6" s="2">
        <v>0</v>
      </c>
      <c r="O6" s="2">
        <v>2</v>
      </c>
      <c r="P6" s="2">
        <v>2</v>
      </c>
    </row>
    <row r="7" spans="1:16" x14ac:dyDescent="0.3">
      <c r="A7" s="2">
        <v>625</v>
      </c>
      <c r="B7" s="3">
        <v>40572</v>
      </c>
      <c r="C7" s="2">
        <v>1</v>
      </c>
      <c r="D7" s="2">
        <v>0</v>
      </c>
      <c r="E7" s="2">
        <v>1</v>
      </c>
      <c r="F7" s="2">
        <v>7</v>
      </c>
      <c r="G7" s="2" t="b">
        <v>0</v>
      </c>
      <c r="H7" s="2">
        <v>6</v>
      </c>
      <c r="I7" s="2">
        <v>1</v>
      </c>
      <c r="J7" s="2">
        <v>0.16</v>
      </c>
      <c r="K7" s="2">
        <v>0.18179999999999999</v>
      </c>
      <c r="L7" s="2">
        <v>0.59</v>
      </c>
      <c r="M7" s="2">
        <v>0.1045</v>
      </c>
      <c r="N7" s="2">
        <v>1</v>
      </c>
      <c r="O7" s="2">
        <v>4</v>
      </c>
      <c r="P7" s="2">
        <v>5</v>
      </c>
    </row>
    <row r="8" spans="1:16" x14ac:dyDescent="0.3">
      <c r="A8" s="2">
        <v>626</v>
      </c>
      <c r="B8" s="3">
        <v>40572</v>
      </c>
      <c r="C8" s="2">
        <v>1</v>
      </c>
      <c r="D8" s="2">
        <v>0</v>
      </c>
      <c r="E8" s="2">
        <v>1</v>
      </c>
      <c r="F8" s="2">
        <v>8</v>
      </c>
      <c r="G8" s="2" t="b">
        <v>0</v>
      </c>
      <c r="H8" s="2">
        <v>6</v>
      </c>
      <c r="I8" s="2">
        <v>1</v>
      </c>
      <c r="J8" s="2">
        <v>0.18</v>
      </c>
      <c r="K8" s="2">
        <v>0.19700000000000001</v>
      </c>
      <c r="L8" s="2">
        <v>0.55000000000000004</v>
      </c>
      <c r="M8" s="2">
        <v>0.16420000000000001</v>
      </c>
      <c r="N8" s="2">
        <v>3</v>
      </c>
      <c r="O8" s="2">
        <v>31</v>
      </c>
      <c r="P8" s="2">
        <v>34</v>
      </c>
    </row>
    <row r="9" spans="1:16" x14ac:dyDescent="0.3">
      <c r="A9" s="2">
        <v>627</v>
      </c>
      <c r="B9" s="3">
        <v>40572</v>
      </c>
      <c r="C9" s="2">
        <v>1</v>
      </c>
      <c r="D9" s="2">
        <v>0</v>
      </c>
      <c r="E9" s="2">
        <v>1</v>
      </c>
      <c r="F9" s="2">
        <v>9</v>
      </c>
      <c r="G9" s="2" t="b">
        <v>0</v>
      </c>
      <c r="H9" s="2">
        <v>6</v>
      </c>
      <c r="I9" s="2">
        <v>1</v>
      </c>
      <c r="J9" s="2">
        <v>0.18</v>
      </c>
      <c r="K9" s="2">
        <v>0.21210000000000001</v>
      </c>
      <c r="L9" s="2">
        <v>0.59</v>
      </c>
      <c r="M9" s="2">
        <v>8.9599999999999999E-2</v>
      </c>
      <c r="N9" s="2">
        <v>0</v>
      </c>
      <c r="O9" s="2">
        <v>34</v>
      </c>
      <c r="P9" s="2">
        <v>34</v>
      </c>
    </row>
    <row r="10" spans="1:16" x14ac:dyDescent="0.3">
      <c r="A10" s="2">
        <v>628</v>
      </c>
      <c r="B10" s="3">
        <v>40572</v>
      </c>
      <c r="C10" s="2">
        <v>1</v>
      </c>
      <c r="D10" s="2">
        <v>0</v>
      </c>
      <c r="E10" s="2">
        <v>1</v>
      </c>
      <c r="F10" s="2">
        <v>10</v>
      </c>
      <c r="G10" s="2" t="b">
        <v>0</v>
      </c>
      <c r="H10" s="2">
        <v>6</v>
      </c>
      <c r="I10" s="2">
        <v>2</v>
      </c>
      <c r="J10" s="2">
        <v>0.18</v>
      </c>
      <c r="K10" s="2">
        <v>0.21210000000000001</v>
      </c>
      <c r="L10" s="2">
        <v>0.64</v>
      </c>
      <c r="M10" s="2">
        <v>0.1045</v>
      </c>
      <c r="N10" s="2">
        <v>4</v>
      </c>
      <c r="O10" s="2">
        <v>51</v>
      </c>
      <c r="P10" s="2">
        <v>55</v>
      </c>
    </row>
    <row r="11" spans="1:16" x14ac:dyDescent="0.3">
      <c r="A11" s="2">
        <v>629</v>
      </c>
      <c r="B11" s="3">
        <v>40572</v>
      </c>
      <c r="C11" s="2">
        <v>1</v>
      </c>
      <c r="D11" s="2">
        <v>0</v>
      </c>
      <c r="E11" s="2">
        <v>1</v>
      </c>
      <c r="F11" s="2">
        <v>11</v>
      </c>
      <c r="G11" s="2" t="b">
        <v>0</v>
      </c>
      <c r="H11" s="2">
        <v>6</v>
      </c>
      <c r="I11" s="2">
        <v>2</v>
      </c>
      <c r="J11" s="2">
        <v>0.18</v>
      </c>
      <c r="K11" s="2">
        <v>0.19700000000000001</v>
      </c>
      <c r="L11" s="2">
        <v>0.64</v>
      </c>
      <c r="M11" s="2">
        <v>0.1343</v>
      </c>
      <c r="N11" s="2">
        <v>4</v>
      </c>
      <c r="O11" s="2">
        <v>60</v>
      </c>
      <c r="P11" s="2">
        <v>64</v>
      </c>
    </row>
    <row r="12" spans="1:16" x14ac:dyDescent="0.3">
      <c r="A12" s="2">
        <v>630</v>
      </c>
      <c r="B12" s="3">
        <v>40572</v>
      </c>
      <c r="C12" s="2">
        <v>1</v>
      </c>
      <c r="D12" s="2">
        <v>0</v>
      </c>
      <c r="E12" s="2">
        <v>1</v>
      </c>
      <c r="F12" s="2">
        <v>12</v>
      </c>
      <c r="G12" s="2" t="b">
        <v>0</v>
      </c>
      <c r="H12" s="2">
        <v>6</v>
      </c>
      <c r="I12" s="2">
        <v>2</v>
      </c>
      <c r="J12" s="2">
        <v>0.2</v>
      </c>
      <c r="K12" s="2">
        <v>0.19700000000000001</v>
      </c>
      <c r="L12" s="2">
        <v>0.59</v>
      </c>
      <c r="M12" s="2">
        <v>0.19400000000000001</v>
      </c>
      <c r="N12" s="2">
        <v>12</v>
      </c>
      <c r="O12" s="2">
        <v>66</v>
      </c>
      <c r="P12" s="2">
        <v>78</v>
      </c>
    </row>
    <row r="13" spans="1:16" x14ac:dyDescent="0.3">
      <c r="A13" s="2">
        <v>631</v>
      </c>
      <c r="B13" s="3">
        <v>40572</v>
      </c>
      <c r="C13" s="2">
        <v>1</v>
      </c>
      <c r="D13" s="2">
        <v>0</v>
      </c>
      <c r="E13" s="2">
        <v>1</v>
      </c>
      <c r="F13" s="2">
        <v>13</v>
      </c>
      <c r="G13" s="2" t="b">
        <v>0</v>
      </c>
      <c r="H13" s="2">
        <v>6</v>
      </c>
      <c r="I13" s="2">
        <v>2</v>
      </c>
      <c r="J13" s="2">
        <v>0.22</v>
      </c>
      <c r="K13" s="2">
        <v>0.2273</v>
      </c>
      <c r="L13" s="2">
        <v>0.55000000000000004</v>
      </c>
      <c r="M13" s="2">
        <v>0.16420000000000001</v>
      </c>
      <c r="N13" s="2">
        <v>9</v>
      </c>
      <c r="O13" s="2">
        <v>56</v>
      </c>
      <c r="P13" s="2">
        <v>65</v>
      </c>
    </row>
    <row r="14" spans="1:16" x14ac:dyDescent="0.3">
      <c r="A14" s="2">
        <v>632</v>
      </c>
      <c r="B14" s="3">
        <v>40572</v>
      </c>
      <c r="C14" s="2">
        <v>1</v>
      </c>
      <c r="D14" s="2">
        <v>0</v>
      </c>
      <c r="E14" s="2">
        <v>1</v>
      </c>
      <c r="F14" s="2">
        <v>14</v>
      </c>
      <c r="G14" s="2" t="b">
        <v>0</v>
      </c>
      <c r="H14" s="2">
        <v>6</v>
      </c>
      <c r="I14" s="2">
        <v>2</v>
      </c>
      <c r="J14" s="2">
        <v>0.22</v>
      </c>
      <c r="K14" s="2">
        <v>0.2273</v>
      </c>
      <c r="L14" s="2">
        <v>0.6</v>
      </c>
      <c r="M14" s="2">
        <v>0.1343</v>
      </c>
      <c r="N14" s="2">
        <v>10</v>
      </c>
      <c r="O14" s="2">
        <v>89</v>
      </c>
      <c r="P14" s="2">
        <v>99</v>
      </c>
    </row>
    <row r="15" spans="1:16" x14ac:dyDescent="0.3">
      <c r="A15" s="2">
        <v>633</v>
      </c>
      <c r="B15" s="3">
        <v>40572</v>
      </c>
      <c r="C15" s="2">
        <v>1</v>
      </c>
      <c r="D15" s="2">
        <v>0</v>
      </c>
      <c r="E15" s="2">
        <v>1</v>
      </c>
      <c r="F15" s="2">
        <v>15</v>
      </c>
      <c r="G15" s="2" t="b">
        <v>0</v>
      </c>
      <c r="H15" s="2">
        <v>6</v>
      </c>
      <c r="I15" s="2">
        <v>1</v>
      </c>
      <c r="J15" s="2">
        <v>0.22</v>
      </c>
      <c r="K15" s="2">
        <v>0.21210000000000001</v>
      </c>
      <c r="L15" s="2">
        <v>0.69</v>
      </c>
      <c r="M15" s="2">
        <v>0.25369999999999998</v>
      </c>
      <c r="N15" s="2">
        <v>22</v>
      </c>
      <c r="O15" s="2">
        <v>98</v>
      </c>
      <c r="P15" s="2">
        <v>120</v>
      </c>
    </row>
    <row r="16" spans="1:16" x14ac:dyDescent="0.3">
      <c r="A16" s="2">
        <v>634</v>
      </c>
      <c r="B16" s="3">
        <v>40572</v>
      </c>
      <c r="C16" s="2">
        <v>1</v>
      </c>
      <c r="D16" s="2">
        <v>0</v>
      </c>
      <c r="E16" s="2">
        <v>1</v>
      </c>
      <c r="F16" s="2">
        <v>16</v>
      </c>
      <c r="G16" s="2" t="b">
        <v>0</v>
      </c>
      <c r="H16" s="2">
        <v>6</v>
      </c>
      <c r="I16" s="2">
        <v>1</v>
      </c>
      <c r="J16" s="2">
        <v>0.24</v>
      </c>
      <c r="K16" s="2">
        <v>0.2424</v>
      </c>
      <c r="L16" s="2">
        <v>0.6</v>
      </c>
      <c r="M16" s="2">
        <v>0.16420000000000001</v>
      </c>
      <c r="N16" s="2">
        <v>19</v>
      </c>
      <c r="O16" s="2">
        <v>88</v>
      </c>
      <c r="P16" s="2">
        <v>107</v>
      </c>
    </row>
    <row r="17" spans="1:16" x14ac:dyDescent="0.3">
      <c r="A17" s="2">
        <v>635</v>
      </c>
      <c r="B17" s="3">
        <v>40572</v>
      </c>
      <c r="C17" s="2">
        <v>1</v>
      </c>
      <c r="D17" s="2">
        <v>0</v>
      </c>
      <c r="E17" s="2">
        <v>1</v>
      </c>
      <c r="F17" s="2">
        <v>17</v>
      </c>
      <c r="G17" s="2" t="b">
        <v>0</v>
      </c>
      <c r="H17" s="2">
        <v>6</v>
      </c>
      <c r="I17" s="2">
        <v>1</v>
      </c>
      <c r="J17" s="2">
        <v>0.24</v>
      </c>
      <c r="K17" s="2">
        <v>0.28789999999999999</v>
      </c>
      <c r="L17" s="2">
        <v>0.6</v>
      </c>
      <c r="M17" s="2">
        <v>0</v>
      </c>
      <c r="N17" s="2">
        <v>9</v>
      </c>
      <c r="O17" s="2">
        <v>82</v>
      </c>
      <c r="P17" s="2">
        <v>91</v>
      </c>
    </row>
    <row r="18" spans="1:16" x14ac:dyDescent="0.3">
      <c r="A18" s="2">
        <v>636</v>
      </c>
      <c r="B18" s="3">
        <v>40572</v>
      </c>
      <c r="C18" s="2">
        <v>1</v>
      </c>
      <c r="D18" s="2">
        <v>0</v>
      </c>
      <c r="E18" s="2">
        <v>1</v>
      </c>
      <c r="F18" s="2">
        <v>18</v>
      </c>
      <c r="G18" s="2" t="b">
        <v>0</v>
      </c>
      <c r="H18" s="2">
        <v>6</v>
      </c>
      <c r="I18" s="2">
        <v>1</v>
      </c>
      <c r="J18" s="2">
        <v>0.22</v>
      </c>
      <c r="K18" s="2">
        <v>0.2273</v>
      </c>
      <c r="L18" s="2">
        <v>0.69</v>
      </c>
      <c r="M18" s="2">
        <v>0.1343</v>
      </c>
      <c r="N18" s="2">
        <v>9</v>
      </c>
      <c r="O18" s="2">
        <v>59</v>
      </c>
      <c r="P18" s="2">
        <v>68</v>
      </c>
    </row>
    <row r="19" spans="1:16" x14ac:dyDescent="0.3">
      <c r="A19" s="2">
        <v>637</v>
      </c>
      <c r="B19" s="3">
        <v>40572</v>
      </c>
      <c r="C19" s="2">
        <v>1</v>
      </c>
      <c r="D19" s="2">
        <v>0</v>
      </c>
      <c r="E19" s="2">
        <v>1</v>
      </c>
      <c r="F19" s="2">
        <v>19</v>
      </c>
      <c r="G19" s="2" t="b">
        <v>0</v>
      </c>
      <c r="H19" s="2">
        <v>6</v>
      </c>
      <c r="I19" s="2">
        <v>2</v>
      </c>
      <c r="J19" s="2">
        <v>0.22</v>
      </c>
      <c r="K19" s="2">
        <v>0.21210000000000001</v>
      </c>
      <c r="L19" s="2">
        <v>0.69</v>
      </c>
      <c r="M19" s="2">
        <v>0.25369999999999998</v>
      </c>
      <c r="N19" s="2">
        <v>6</v>
      </c>
      <c r="O19" s="2">
        <v>52</v>
      </c>
      <c r="P19" s="2">
        <v>58</v>
      </c>
    </row>
    <row r="20" spans="1:16" x14ac:dyDescent="0.3">
      <c r="A20" s="2">
        <v>638</v>
      </c>
      <c r="B20" s="3">
        <v>40572</v>
      </c>
      <c r="C20" s="2">
        <v>1</v>
      </c>
      <c r="D20" s="2">
        <v>0</v>
      </c>
      <c r="E20" s="2">
        <v>1</v>
      </c>
      <c r="F20" s="2">
        <v>20</v>
      </c>
      <c r="G20" s="2" t="b">
        <v>0</v>
      </c>
      <c r="H20" s="2">
        <v>6</v>
      </c>
      <c r="I20" s="2">
        <v>1</v>
      </c>
      <c r="J20" s="2">
        <v>0.18</v>
      </c>
      <c r="K20" s="2">
        <v>0.21210000000000001</v>
      </c>
      <c r="L20" s="2">
        <v>0.74</v>
      </c>
      <c r="M20" s="2">
        <v>8.9599999999999999E-2</v>
      </c>
      <c r="N20" s="2">
        <v>1</v>
      </c>
      <c r="O20" s="2">
        <v>42</v>
      </c>
      <c r="P20" s="2">
        <v>43</v>
      </c>
    </row>
    <row r="21" spans="1:16" x14ac:dyDescent="0.3">
      <c r="A21" s="2">
        <v>639</v>
      </c>
      <c r="B21" s="3">
        <v>40572</v>
      </c>
      <c r="C21" s="2">
        <v>1</v>
      </c>
      <c r="D21" s="2">
        <v>0</v>
      </c>
      <c r="E21" s="2">
        <v>1</v>
      </c>
      <c r="F21" s="2">
        <v>21</v>
      </c>
      <c r="G21" s="2" t="b">
        <v>0</v>
      </c>
      <c r="H21" s="2">
        <v>6</v>
      </c>
      <c r="I21" s="2">
        <v>1</v>
      </c>
      <c r="J21" s="2">
        <v>0.18</v>
      </c>
      <c r="K21" s="2">
        <v>0.21210000000000001</v>
      </c>
      <c r="L21" s="2">
        <v>0.74</v>
      </c>
      <c r="M21" s="2">
        <v>8.9599999999999999E-2</v>
      </c>
      <c r="N21" s="2">
        <v>1</v>
      </c>
      <c r="O21" s="2">
        <v>35</v>
      </c>
      <c r="P21" s="2">
        <v>36</v>
      </c>
    </row>
    <row r="22" spans="1:16" x14ac:dyDescent="0.3">
      <c r="A22" s="2">
        <v>640</v>
      </c>
      <c r="B22" s="3">
        <v>40572</v>
      </c>
      <c r="C22" s="2">
        <v>1</v>
      </c>
      <c r="D22" s="2">
        <v>0</v>
      </c>
      <c r="E22" s="2">
        <v>1</v>
      </c>
      <c r="F22" s="2">
        <v>22</v>
      </c>
      <c r="G22" s="2" t="b">
        <v>0</v>
      </c>
      <c r="H22" s="2">
        <v>6</v>
      </c>
      <c r="I22" s="2">
        <v>1</v>
      </c>
      <c r="J22" s="2">
        <v>0.16</v>
      </c>
      <c r="K22" s="2">
        <v>0.19700000000000001</v>
      </c>
      <c r="L22" s="2">
        <v>0.8</v>
      </c>
      <c r="M22" s="2">
        <v>8.9599999999999999E-2</v>
      </c>
      <c r="N22" s="2">
        <v>4</v>
      </c>
      <c r="O22" s="2">
        <v>28</v>
      </c>
      <c r="P22" s="2">
        <v>32</v>
      </c>
    </row>
    <row r="23" spans="1:16" x14ac:dyDescent="0.3">
      <c r="A23" s="2">
        <v>641</v>
      </c>
      <c r="B23" s="3">
        <v>40572</v>
      </c>
      <c r="C23" s="2">
        <v>1</v>
      </c>
      <c r="D23" s="2">
        <v>0</v>
      </c>
      <c r="E23" s="2">
        <v>1</v>
      </c>
      <c r="F23" s="2">
        <v>23</v>
      </c>
      <c r="G23" s="2" t="b">
        <v>0</v>
      </c>
      <c r="H23" s="2">
        <v>6</v>
      </c>
      <c r="I23" s="2">
        <v>1</v>
      </c>
      <c r="J23" s="2">
        <v>0.16</v>
      </c>
      <c r="K23" s="2">
        <v>0.19700000000000001</v>
      </c>
      <c r="L23" s="2">
        <v>0.8</v>
      </c>
      <c r="M23" s="2">
        <v>8.9599999999999999E-2</v>
      </c>
      <c r="N23" s="2">
        <v>3</v>
      </c>
      <c r="O23" s="2">
        <v>30</v>
      </c>
      <c r="P23" s="2">
        <v>33</v>
      </c>
    </row>
    <row r="24" spans="1:16" x14ac:dyDescent="0.3">
      <c r="A24" s="2">
        <v>642</v>
      </c>
      <c r="B24" s="3">
        <v>40573</v>
      </c>
      <c r="C24" s="2">
        <v>1</v>
      </c>
      <c r="D24" s="2">
        <v>0</v>
      </c>
      <c r="E24" s="2">
        <v>1</v>
      </c>
      <c r="F24" s="2">
        <v>0</v>
      </c>
      <c r="G24" s="2" t="b">
        <v>0</v>
      </c>
      <c r="H24" s="2">
        <v>0</v>
      </c>
      <c r="I24" s="2">
        <v>1</v>
      </c>
      <c r="J24" s="2">
        <v>0.16</v>
      </c>
      <c r="K24" s="2">
        <v>0.18179999999999999</v>
      </c>
      <c r="L24" s="2">
        <v>0.8</v>
      </c>
      <c r="M24" s="2">
        <v>0.1045</v>
      </c>
      <c r="N24" s="2">
        <v>0</v>
      </c>
      <c r="O24" s="2">
        <v>33</v>
      </c>
      <c r="P24" s="2">
        <v>33</v>
      </c>
    </row>
    <row r="25" spans="1:16" x14ac:dyDescent="0.3">
      <c r="A25" s="2">
        <v>643</v>
      </c>
      <c r="B25" s="3">
        <v>40573</v>
      </c>
      <c r="C25" s="2">
        <v>1</v>
      </c>
      <c r="D25" s="2">
        <v>0</v>
      </c>
      <c r="E25" s="2">
        <v>1</v>
      </c>
      <c r="F25" s="2">
        <v>1</v>
      </c>
      <c r="G25" s="2" t="b">
        <v>0</v>
      </c>
      <c r="H25" s="2">
        <v>0</v>
      </c>
      <c r="I25" s="2">
        <v>1</v>
      </c>
      <c r="J25" s="2">
        <v>0.14000000000000001</v>
      </c>
      <c r="K25" s="2">
        <v>0.21210000000000001</v>
      </c>
      <c r="L25" s="2">
        <v>0.8</v>
      </c>
      <c r="M25" s="2">
        <v>0</v>
      </c>
      <c r="N25" s="2">
        <v>7</v>
      </c>
      <c r="O25" s="2">
        <v>22</v>
      </c>
      <c r="P25" s="2">
        <v>29</v>
      </c>
    </row>
    <row r="26" spans="1:16" x14ac:dyDescent="0.3">
      <c r="A26" s="2">
        <v>644</v>
      </c>
      <c r="B26" s="3">
        <v>40573</v>
      </c>
      <c r="C26" s="2">
        <v>1</v>
      </c>
      <c r="D26" s="2">
        <v>0</v>
      </c>
      <c r="E26" s="2">
        <v>1</v>
      </c>
      <c r="F26" s="2">
        <v>2</v>
      </c>
      <c r="G26" s="2" t="b">
        <v>0</v>
      </c>
      <c r="H26" s="2">
        <v>0</v>
      </c>
      <c r="I26" s="2">
        <v>1</v>
      </c>
      <c r="J26" s="2">
        <v>0.16</v>
      </c>
      <c r="K26" s="2">
        <v>0.2273</v>
      </c>
      <c r="L26" s="2">
        <v>0.8</v>
      </c>
      <c r="M26" s="2">
        <v>0</v>
      </c>
      <c r="N26" s="2">
        <v>1</v>
      </c>
      <c r="O26" s="2">
        <v>10</v>
      </c>
      <c r="P26" s="2">
        <v>11</v>
      </c>
    </row>
    <row r="27" spans="1:16" x14ac:dyDescent="0.3">
      <c r="A27" s="2">
        <v>645</v>
      </c>
      <c r="B27" s="3">
        <v>40573</v>
      </c>
      <c r="C27" s="2">
        <v>1</v>
      </c>
      <c r="D27" s="2">
        <v>0</v>
      </c>
      <c r="E27" s="2">
        <v>1</v>
      </c>
      <c r="F27" s="2">
        <v>3</v>
      </c>
      <c r="G27" s="2" t="b">
        <v>0</v>
      </c>
      <c r="H27" s="2">
        <v>0</v>
      </c>
      <c r="I27" s="2">
        <v>1</v>
      </c>
      <c r="J27" s="2">
        <v>0.14000000000000001</v>
      </c>
      <c r="K27" s="2">
        <v>0.21210000000000001</v>
      </c>
      <c r="L27" s="2">
        <v>0.93</v>
      </c>
      <c r="M27" s="2">
        <v>0</v>
      </c>
      <c r="N27" s="2">
        <v>1</v>
      </c>
      <c r="O27" s="2">
        <v>7</v>
      </c>
      <c r="P27" s="2">
        <v>8</v>
      </c>
    </row>
    <row r="28" spans="1:16" x14ac:dyDescent="0.3">
      <c r="A28" s="2">
        <v>646</v>
      </c>
      <c r="B28" s="3">
        <v>40573</v>
      </c>
      <c r="C28" s="2">
        <v>1</v>
      </c>
      <c r="D28" s="2">
        <v>0</v>
      </c>
      <c r="E28" s="2">
        <v>1</v>
      </c>
      <c r="F28" s="2">
        <v>4</v>
      </c>
      <c r="G28" s="2" t="b">
        <v>0</v>
      </c>
      <c r="H28" s="2">
        <v>0</v>
      </c>
      <c r="I28" s="2">
        <v>1</v>
      </c>
      <c r="J28" s="2">
        <v>0.14000000000000001</v>
      </c>
      <c r="K28" s="2">
        <v>0.21210000000000001</v>
      </c>
      <c r="L28" s="2">
        <v>0.93</v>
      </c>
      <c r="M28" s="2">
        <v>0</v>
      </c>
      <c r="N28" s="2">
        <v>0</v>
      </c>
      <c r="O28" s="2">
        <v>1</v>
      </c>
      <c r="P28" s="2">
        <v>1</v>
      </c>
    </row>
    <row r="29" spans="1:16" x14ac:dyDescent="0.3">
      <c r="A29" s="2">
        <v>647</v>
      </c>
      <c r="B29" s="3">
        <v>40573</v>
      </c>
      <c r="C29" s="2">
        <v>1</v>
      </c>
      <c r="D29" s="2">
        <v>0</v>
      </c>
      <c r="E29" s="2">
        <v>1</v>
      </c>
      <c r="F29" s="2">
        <v>5</v>
      </c>
      <c r="G29" s="2" t="b">
        <v>0</v>
      </c>
      <c r="H29" s="2">
        <v>0</v>
      </c>
      <c r="I29" s="2">
        <v>1</v>
      </c>
      <c r="J29" s="2">
        <v>0.14000000000000001</v>
      </c>
      <c r="K29" s="2">
        <v>0.21210000000000001</v>
      </c>
      <c r="L29" s="2">
        <v>0.86</v>
      </c>
      <c r="M29" s="2">
        <v>0</v>
      </c>
      <c r="N29" s="2">
        <v>0</v>
      </c>
      <c r="O29" s="2">
        <v>3</v>
      </c>
      <c r="P29" s="2">
        <v>3</v>
      </c>
    </row>
    <row r="30" spans="1:16" x14ac:dyDescent="0.3">
      <c r="A30" s="2">
        <v>648</v>
      </c>
      <c r="B30" s="3">
        <v>40573</v>
      </c>
      <c r="C30" s="2">
        <v>1</v>
      </c>
      <c r="D30" s="2">
        <v>0</v>
      </c>
      <c r="E30" s="2">
        <v>1</v>
      </c>
      <c r="F30" s="2">
        <v>7</v>
      </c>
      <c r="G30" s="2" t="b">
        <v>0</v>
      </c>
      <c r="H30" s="2">
        <v>0</v>
      </c>
      <c r="I30" s="2">
        <v>1</v>
      </c>
      <c r="J30" s="2">
        <v>0.14000000000000001</v>
      </c>
      <c r="K30" s="2">
        <v>0.21210000000000001</v>
      </c>
      <c r="L30" s="2">
        <v>0.86</v>
      </c>
      <c r="M30" s="2">
        <v>0</v>
      </c>
      <c r="N30" s="2">
        <v>0</v>
      </c>
      <c r="O30" s="2">
        <v>3</v>
      </c>
      <c r="P30" s="2">
        <v>3</v>
      </c>
    </row>
    <row r="31" spans="1:16" x14ac:dyDescent="0.3">
      <c r="A31" s="2">
        <v>649</v>
      </c>
      <c r="B31" s="3">
        <v>40573</v>
      </c>
      <c r="C31" s="2">
        <v>1</v>
      </c>
      <c r="D31" s="2">
        <v>0</v>
      </c>
      <c r="E31" s="2">
        <v>1</v>
      </c>
      <c r="F31" s="2">
        <v>8</v>
      </c>
      <c r="G31" s="2" t="b">
        <v>0</v>
      </c>
      <c r="H31" s="2">
        <v>0</v>
      </c>
      <c r="I31" s="2">
        <v>2</v>
      </c>
      <c r="J31" s="2">
        <v>0.14000000000000001</v>
      </c>
      <c r="K31" s="2">
        <v>0.21210000000000001</v>
      </c>
      <c r="L31" s="2">
        <v>0.86</v>
      </c>
      <c r="M31" s="2">
        <v>0</v>
      </c>
      <c r="N31" s="2">
        <v>1</v>
      </c>
      <c r="O31" s="2">
        <v>11</v>
      </c>
      <c r="P31" s="2">
        <v>12</v>
      </c>
    </row>
    <row r="32" spans="1:16" x14ac:dyDescent="0.3">
      <c r="A32" s="2">
        <v>650</v>
      </c>
      <c r="B32" s="3">
        <v>40573</v>
      </c>
      <c r="C32" s="2">
        <v>1</v>
      </c>
      <c r="D32" s="2">
        <v>0</v>
      </c>
      <c r="E32" s="2">
        <v>1</v>
      </c>
      <c r="F32" s="2">
        <v>9</v>
      </c>
      <c r="G32" s="2" t="b">
        <v>0</v>
      </c>
      <c r="H32" s="2">
        <v>0</v>
      </c>
      <c r="I32" s="2">
        <v>2</v>
      </c>
      <c r="J32" s="2">
        <v>0.16</v>
      </c>
      <c r="K32" s="2">
        <v>0.2273</v>
      </c>
      <c r="L32" s="2">
        <v>0.8</v>
      </c>
      <c r="M32" s="2">
        <v>0</v>
      </c>
      <c r="N32" s="2">
        <v>4</v>
      </c>
      <c r="O32" s="2">
        <v>34</v>
      </c>
      <c r="P32" s="2">
        <v>38</v>
      </c>
    </row>
    <row r="33" spans="1:16" x14ac:dyDescent="0.3">
      <c r="A33" s="2">
        <v>651</v>
      </c>
      <c r="B33" s="3">
        <v>40573</v>
      </c>
      <c r="C33" s="2">
        <v>1</v>
      </c>
      <c r="D33" s="2">
        <v>0</v>
      </c>
      <c r="E33" s="2">
        <v>1</v>
      </c>
      <c r="F33" s="2">
        <v>10</v>
      </c>
      <c r="G33" s="2" t="b">
        <v>0</v>
      </c>
      <c r="H33" s="2">
        <v>0</v>
      </c>
      <c r="I33" s="2">
        <v>2</v>
      </c>
      <c r="J33" s="2">
        <v>0.18</v>
      </c>
      <c r="K33" s="2">
        <v>0.2424</v>
      </c>
      <c r="L33" s="2">
        <v>0.8</v>
      </c>
      <c r="M33" s="2">
        <v>0</v>
      </c>
      <c r="N33" s="2">
        <v>7</v>
      </c>
      <c r="O33" s="2">
        <v>57</v>
      </c>
      <c r="P33" s="2">
        <v>64</v>
      </c>
    </row>
    <row r="34" spans="1:16" x14ac:dyDescent="0.3">
      <c r="A34" s="2">
        <v>652</v>
      </c>
      <c r="B34" s="3">
        <v>40573</v>
      </c>
      <c r="C34" s="2">
        <v>1</v>
      </c>
      <c r="D34" s="2">
        <v>0</v>
      </c>
      <c r="E34" s="2">
        <v>1</v>
      </c>
      <c r="F34" s="2">
        <v>11</v>
      </c>
      <c r="G34" s="2" t="b">
        <v>0</v>
      </c>
      <c r="H34" s="2">
        <v>0</v>
      </c>
      <c r="I34" s="2">
        <v>1</v>
      </c>
      <c r="J34" s="2">
        <v>0.22</v>
      </c>
      <c r="K34" s="2">
        <v>0.2727</v>
      </c>
      <c r="L34" s="2">
        <v>0.75</v>
      </c>
      <c r="M34" s="2">
        <v>0</v>
      </c>
      <c r="N34" s="2">
        <v>9</v>
      </c>
      <c r="O34" s="2">
        <v>50</v>
      </c>
      <c r="P34" s="2">
        <v>59</v>
      </c>
    </row>
    <row r="35" spans="1:16" x14ac:dyDescent="0.3">
      <c r="A35" s="2">
        <v>653</v>
      </c>
      <c r="B35" s="3">
        <v>40573</v>
      </c>
      <c r="C35" s="2">
        <v>1</v>
      </c>
      <c r="D35" s="2">
        <v>0</v>
      </c>
      <c r="E35" s="2">
        <v>1</v>
      </c>
      <c r="F35" s="2">
        <v>12</v>
      </c>
      <c r="G35" s="2" t="b">
        <v>0</v>
      </c>
      <c r="H35" s="2">
        <v>0</v>
      </c>
      <c r="I35" s="2">
        <v>1</v>
      </c>
      <c r="J35" s="2">
        <v>0.3</v>
      </c>
      <c r="K35" s="2">
        <v>0.31819999999999998</v>
      </c>
      <c r="L35" s="2">
        <v>0.52</v>
      </c>
      <c r="M35" s="2">
        <v>0.1045</v>
      </c>
      <c r="N35" s="2">
        <v>10</v>
      </c>
      <c r="O35" s="2">
        <v>87</v>
      </c>
      <c r="P35" s="2">
        <v>97</v>
      </c>
    </row>
    <row r="36" spans="1:16" x14ac:dyDescent="0.3">
      <c r="A36" s="2">
        <v>654</v>
      </c>
      <c r="B36" s="3">
        <v>40573</v>
      </c>
      <c r="C36" s="2">
        <v>1</v>
      </c>
      <c r="D36" s="2">
        <v>0</v>
      </c>
      <c r="E36" s="2">
        <v>1</v>
      </c>
      <c r="F36" s="2">
        <v>13</v>
      </c>
      <c r="G36" s="2" t="b">
        <v>0</v>
      </c>
      <c r="H36" s="2">
        <v>0</v>
      </c>
      <c r="I36" s="2">
        <v>1</v>
      </c>
      <c r="J36" s="2">
        <v>0.28000000000000003</v>
      </c>
      <c r="K36" s="2">
        <v>0.28789999999999999</v>
      </c>
      <c r="L36" s="2">
        <v>0.61</v>
      </c>
      <c r="M36" s="2">
        <v>0.1045</v>
      </c>
      <c r="N36" s="2">
        <v>13</v>
      </c>
      <c r="O36" s="2">
        <v>71</v>
      </c>
      <c r="P36" s="2">
        <v>84</v>
      </c>
    </row>
    <row r="37" spans="1:16" x14ac:dyDescent="0.3">
      <c r="A37" s="2">
        <v>655</v>
      </c>
      <c r="B37" s="3">
        <v>40573</v>
      </c>
      <c r="C37" s="2">
        <v>1</v>
      </c>
      <c r="D37" s="2">
        <v>0</v>
      </c>
      <c r="E37" s="2">
        <v>1</v>
      </c>
      <c r="F37" s="2">
        <v>14</v>
      </c>
      <c r="G37" s="2" t="b">
        <v>0</v>
      </c>
      <c r="H37" s="2">
        <v>0</v>
      </c>
      <c r="I37" s="2">
        <v>1</v>
      </c>
      <c r="J37" s="2">
        <v>0.28000000000000003</v>
      </c>
      <c r="K37" s="2">
        <v>0.30299999999999999</v>
      </c>
      <c r="L37" s="2">
        <v>0.61</v>
      </c>
      <c r="M37" s="2">
        <v>8.9599999999999999E-2</v>
      </c>
      <c r="N37" s="2">
        <v>18</v>
      </c>
      <c r="O37" s="2">
        <v>104</v>
      </c>
      <c r="P37" s="2">
        <v>122</v>
      </c>
    </row>
    <row r="38" spans="1:16" x14ac:dyDescent="0.3">
      <c r="A38" s="2">
        <v>656</v>
      </c>
      <c r="B38" s="3">
        <v>40573</v>
      </c>
      <c r="C38" s="2">
        <v>1</v>
      </c>
      <c r="D38" s="2">
        <v>0</v>
      </c>
      <c r="E38" s="2">
        <v>1</v>
      </c>
      <c r="F38" s="2">
        <v>15</v>
      </c>
      <c r="G38" s="2" t="b">
        <v>0</v>
      </c>
      <c r="H38" s="2">
        <v>0</v>
      </c>
      <c r="I38" s="2">
        <v>1</v>
      </c>
      <c r="J38" s="2">
        <v>0.3</v>
      </c>
      <c r="K38" s="2">
        <v>0.33329999999999999</v>
      </c>
      <c r="L38" s="2">
        <v>0.56000000000000005</v>
      </c>
      <c r="M38" s="2">
        <v>0</v>
      </c>
      <c r="N38" s="2">
        <v>14</v>
      </c>
      <c r="O38" s="2">
        <v>95</v>
      </c>
      <c r="P38" s="2">
        <v>109</v>
      </c>
    </row>
    <row r="39" spans="1:16" x14ac:dyDescent="0.3">
      <c r="A39" s="2">
        <v>657</v>
      </c>
      <c r="B39" s="3">
        <v>40573</v>
      </c>
      <c r="C39" s="2">
        <v>1</v>
      </c>
      <c r="D39" s="2">
        <v>0</v>
      </c>
      <c r="E39" s="2">
        <v>1</v>
      </c>
      <c r="F39" s="2">
        <v>16</v>
      </c>
      <c r="G39" s="2" t="b">
        <v>0</v>
      </c>
      <c r="H39" s="2">
        <v>0</v>
      </c>
      <c r="I39" s="2">
        <v>1</v>
      </c>
      <c r="J39" s="2">
        <v>0.3</v>
      </c>
      <c r="K39" s="2">
        <v>0.33329999999999999</v>
      </c>
      <c r="L39" s="2">
        <v>0.56000000000000005</v>
      </c>
      <c r="M39" s="2">
        <v>0</v>
      </c>
      <c r="N39" s="2">
        <v>19</v>
      </c>
      <c r="O39" s="2">
        <v>104</v>
      </c>
      <c r="P39" s="2">
        <v>123</v>
      </c>
    </row>
    <row r="40" spans="1:16" x14ac:dyDescent="0.3">
      <c r="A40" s="2">
        <v>658</v>
      </c>
      <c r="B40" s="3">
        <v>40573</v>
      </c>
      <c r="C40" s="2">
        <v>1</v>
      </c>
      <c r="D40" s="2">
        <v>0</v>
      </c>
      <c r="E40" s="2">
        <v>1</v>
      </c>
      <c r="F40" s="2">
        <v>17</v>
      </c>
      <c r="G40" s="2" t="b">
        <v>0</v>
      </c>
      <c r="H40" s="2">
        <v>0</v>
      </c>
      <c r="I40" s="2">
        <v>1</v>
      </c>
      <c r="J40" s="2">
        <v>0.3</v>
      </c>
      <c r="K40" s="2">
        <v>0.28789999999999999</v>
      </c>
      <c r="L40" s="2">
        <v>0.56000000000000005</v>
      </c>
      <c r="M40" s="2">
        <v>0.19400000000000001</v>
      </c>
      <c r="N40" s="2">
        <v>6</v>
      </c>
      <c r="O40" s="2">
        <v>71</v>
      </c>
      <c r="P40" s="2">
        <v>77</v>
      </c>
    </row>
    <row r="41" spans="1:16" x14ac:dyDescent="0.3">
      <c r="A41" s="2">
        <v>659</v>
      </c>
      <c r="B41" s="3">
        <v>40573</v>
      </c>
      <c r="C41" s="2">
        <v>1</v>
      </c>
      <c r="D41" s="2">
        <v>0</v>
      </c>
      <c r="E41" s="2">
        <v>1</v>
      </c>
      <c r="F41" s="2">
        <v>18</v>
      </c>
      <c r="G41" s="2" t="b">
        <v>0</v>
      </c>
      <c r="H41" s="2">
        <v>0</v>
      </c>
      <c r="I41" s="2">
        <v>1</v>
      </c>
      <c r="J41" s="2">
        <v>0.26</v>
      </c>
      <c r="K41" s="2">
        <v>0.2576</v>
      </c>
      <c r="L41" s="2">
        <v>0.65</v>
      </c>
      <c r="M41" s="2">
        <v>0.16420000000000001</v>
      </c>
      <c r="N41" s="2">
        <v>8</v>
      </c>
      <c r="O41" s="2">
        <v>57</v>
      </c>
      <c r="P41" s="2">
        <v>65</v>
      </c>
    </row>
    <row r="42" spans="1:16" x14ac:dyDescent="0.3">
      <c r="A42" s="2">
        <v>660</v>
      </c>
      <c r="B42" s="3">
        <v>40573</v>
      </c>
      <c r="C42" s="2">
        <v>1</v>
      </c>
      <c r="D42" s="2">
        <v>0</v>
      </c>
      <c r="E42" s="2">
        <v>1</v>
      </c>
      <c r="F42" s="2">
        <v>19</v>
      </c>
      <c r="G42" s="2" t="b">
        <v>0</v>
      </c>
      <c r="H42" s="2">
        <v>0</v>
      </c>
      <c r="I42" s="2">
        <v>1</v>
      </c>
      <c r="J42" s="2">
        <v>0.26</v>
      </c>
      <c r="K42" s="2">
        <v>0.2576</v>
      </c>
      <c r="L42" s="2">
        <v>0.65</v>
      </c>
      <c r="M42" s="2">
        <v>0.19400000000000001</v>
      </c>
      <c r="N42" s="2">
        <v>9</v>
      </c>
      <c r="O42" s="2">
        <v>46</v>
      </c>
      <c r="P42" s="2">
        <v>55</v>
      </c>
    </row>
    <row r="43" spans="1:16" x14ac:dyDescent="0.3">
      <c r="A43" s="2">
        <v>661</v>
      </c>
      <c r="B43" s="3">
        <v>40573</v>
      </c>
      <c r="C43" s="2">
        <v>1</v>
      </c>
      <c r="D43" s="2">
        <v>0</v>
      </c>
      <c r="E43" s="2">
        <v>1</v>
      </c>
      <c r="F43" s="2">
        <v>20</v>
      </c>
      <c r="G43" s="2" t="b">
        <v>0</v>
      </c>
      <c r="H43" s="2">
        <v>0</v>
      </c>
      <c r="I43" s="2">
        <v>2</v>
      </c>
      <c r="J43" s="2">
        <v>0.26</v>
      </c>
      <c r="K43" s="2">
        <v>0.2727</v>
      </c>
      <c r="L43" s="2">
        <v>0.65</v>
      </c>
      <c r="M43" s="2">
        <v>0.1045</v>
      </c>
      <c r="N43" s="2">
        <v>3</v>
      </c>
      <c r="O43" s="2">
        <v>30</v>
      </c>
      <c r="P43" s="2">
        <v>33</v>
      </c>
    </row>
    <row r="44" spans="1:16" x14ac:dyDescent="0.3">
      <c r="A44" s="2">
        <v>662</v>
      </c>
      <c r="B44" s="3">
        <v>40573</v>
      </c>
      <c r="C44" s="2">
        <v>1</v>
      </c>
      <c r="D44" s="2">
        <v>0</v>
      </c>
      <c r="E44" s="2">
        <v>1</v>
      </c>
      <c r="F44" s="2">
        <v>21</v>
      </c>
      <c r="G44" s="2" t="b">
        <v>0</v>
      </c>
      <c r="H44" s="2">
        <v>0</v>
      </c>
      <c r="I44" s="2">
        <v>2</v>
      </c>
      <c r="J44" s="2">
        <v>0.24</v>
      </c>
      <c r="K44" s="2">
        <v>0.2424</v>
      </c>
      <c r="L44" s="2">
        <v>0.7</v>
      </c>
      <c r="M44" s="2">
        <v>0.16420000000000001</v>
      </c>
      <c r="N44" s="2">
        <v>3</v>
      </c>
      <c r="O44" s="2">
        <v>25</v>
      </c>
      <c r="P44" s="2">
        <v>28</v>
      </c>
    </row>
    <row r="45" spans="1:16" x14ac:dyDescent="0.3">
      <c r="A45" s="2">
        <v>663</v>
      </c>
      <c r="B45" s="3">
        <v>40573</v>
      </c>
      <c r="C45" s="2">
        <v>1</v>
      </c>
      <c r="D45" s="2">
        <v>0</v>
      </c>
      <c r="E45" s="2">
        <v>1</v>
      </c>
      <c r="F45" s="2">
        <v>22</v>
      </c>
      <c r="G45" s="2" t="b">
        <v>0</v>
      </c>
      <c r="H45" s="2">
        <v>0</v>
      </c>
      <c r="I45" s="2">
        <v>2</v>
      </c>
      <c r="J45" s="2">
        <v>0.24</v>
      </c>
      <c r="K45" s="2">
        <v>0.2273</v>
      </c>
      <c r="L45" s="2">
        <v>0.7</v>
      </c>
      <c r="M45" s="2">
        <v>0.19400000000000001</v>
      </c>
      <c r="N45" s="2">
        <v>2</v>
      </c>
      <c r="O45" s="2">
        <v>19</v>
      </c>
      <c r="P45" s="2">
        <v>21</v>
      </c>
    </row>
    <row r="46" spans="1:16" x14ac:dyDescent="0.3">
      <c r="A46" s="2">
        <v>664</v>
      </c>
      <c r="B46" s="3">
        <v>40573</v>
      </c>
      <c r="C46" s="2">
        <v>1</v>
      </c>
      <c r="D46" s="2">
        <v>0</v>
      </c>
      <c r="E46" s="2">
        <v>1</v>
      </c>
      <c r="F46" s="2">
        <v>23</v>
      </c>
      <c r="G46" s="2" t="b">
        <v>0</v>
      </c>
      <c r="H46" s="2">
        <v>0</v>
      </c>
      <c r="I46" s="2">
        <v>2</v>
      </c>
      <c r="J46" s="2">
        <v>0.24</v>
      </c>
      <c r="K46" s="2">
        <v>0.21210000000000001</v>
      </c>
      <c r="L46" s="2">
        <v>0.65</v>
      </c>
      <c r="M46" s="2">
        <v>0.28360000000000002</v>
      </c>
      <c r="N46" s="2">
        <v>5</v>
      </c>
      <c r="O46" s="2">
        <v>16</v>
      </c>
      <c r="P46" s="2">
        <v>21</v>
      </c>
    </row>
    <row r="47" spans="1:16" x14ac:dyDescent="0.3">
      <c r="A47" s="2">
        <v>665</v>
      </c>
      <c r="B47" s="3">
        <v>40574</v>
      </c>
      <c r="C47" s="2">
        <v>1</v>
      </c>
      <c r="D47" s="2">
        <v>0</v>
      </c>
      <c r="E47" s="2">
        <v>1</v>
      </c>
      <c r="F47" s="2">
        <v>0</v>
      </c>
      <c r="G47" s="2" t="b">
        <v>0</v>
      </c>
      <c r="H47" s="2">
        <v>1</v>
      </c>
      <c r="I47" s="2">
        <v>2</v>
      </c>
      <c r="J47" s="2">
        <v>0.24</v>
      </c>
      <c r="K47" s="2">
        <v>0.2273</v>
      </c>
      <c r="L47" s="2">
        <v>0.65</v>
      </c>
      <c r="M47" s="2">
        <v>0.22389999999999999</v>
      </c>
      <c r="N47" s="2">
        <v>1</v>
      </c>
      <c r="O47" s="2">
        <v>6</v>
      </c>
      <c r="P47" s="2">
        <v>7</v>
      </c>
    </row>
    <row r="48" spans="1:16" x14ac:dyDescent="0.3">
      <c r="A48" s="2">
        <v>666</v>
      </c>
      <c r="B48" s="3">
        <v>40574</v>
      </c>
      <c r="C48" s="2">
        <v>1</v>
      </c>
      <c r="D48" s="2">
        <v>0</v>
      </c>
      <c r="E48" s="2">
        <v>1</v>
      </c>
      <c r="F48" s="2">
        <v>1</v>
      </c>
      <c r="G48" s="2" t="b">
        <v>0</v>
      </c>
      <c r="H48" s="2">
        <v>1</v>
      </c>
      <c r="I48" s="2">
        <v>1</v>
      </c>
      <c r="J48" s="2">
        <v>0.22</v>
      </c>
      <c r="K48" s="2">
        <v>0.21210000000000001</v>
      </c>
      <c r="L48" s="2">
        <v>0.64</v>
      </c>
      <c r="M48" s="2">
        <v>0.25369999999999998</v>
      </c>
      <c r="N48" s="2">
        <v>2</v>
      </c>
      <c r="O48" s="2">
        <v>5</v>
      </c>
      <c r="P48" s="2">
        <v>7</v>
      </c>
    </row>
    <row r="49" spans="1:16" x14ac:dyDescent="0.3">
      <c r="A49" s="2">
        <v>667</v>
      </c>
      <c r="B49" s="3">
        <v>40574</v>
      </c>
      <c r="C49" s="2">
        <v>1</v>
      </c>
      <c r="D49" s="2">
        <v>0</v>
      </c>
      <c r="E49" s="2">
        <v>1</v>
      </c>
      <c r="F49" s="2">
        <v>2</v>
      </c>
      <c r="G49" s="2" t="b">
        <v>0</v>
      </c>
      <c r="H49" s="2">
        <v>1</v>
      </c>
      <c r="I49" s="2">
        <v>1</v>
      </c>
      <c r="J49" s="2">
        <v>0.22</v>
      </c>
      <c r="K49" s="2">
        <v>0.2273</v>
      </c>
      <c r="L49" s="2">
        <v>0.64</v>
      </c>
      <c r="M49" s="2">
        <v>0.19400000000000001</v>
      </c>
      <c r="N49" s="2">
        <v>0</v>
      </c>
      <c r="O49" s="2">
        <v>1</v>
      </c>
      <c r="P49" s="2">
        <v>1</v>
      </c>
    </row>
    <row r="50" spans="1:16" x14ac:dyDescent="0.3">
      <c r="A50" s="2">
        <v>668</v>
      </c>
      <c r="B50" s="3">
        <v>40574</v>
      </c>
      <c r="C50" s="2">
        <v>1</v>
      </c>
      <c r="D50" s="2">
        <v>0</v>
      </c>
      <c r="E50" s="2">
        <v>1</v>
      </c>
      <c r="F50" s="2">
        <v>3</v>
      </c>
      <c r="G50" s="2" t="b">
        <v>0</v>
      </c>
      <c r="H50" s="2">
        <v>1</v>
      </c>
      <c r="I50" s="2">
        <v>1</v>
      </c>
      <c r="J50" s="2">
        <v>0.22</v>
      </c>
      <c r="K50" s="2">
        <v>0.2273</v>
      </c>
      <c r="L50" s="2">
        <v>0.64</v>
      </c>
      <c r="M50" s="2">
        <v>0.19400000000000001</v>
      </c>
      <c r="N50" s="2">
        <v>0</v>
      </c>
      <c r="O50" s="2">
        <v>2</v>
      </c>
      <c r="P50" s="2">
        <v>2</v>
      </c>
    </row>
    <row r="51" spans="1:16" x14ac:dyDescent="0.3">
      <c r="A51" s="2">
        <v>669</v>
      </c>
      <c r="B51" s="3">
        <v>40574</v>
      </c>
      <c r="C51" s="2">
        <v>1</v>
      </c>
      <c r="D51" s="2">
        <v>0</v>
      </c>
      <c r="E51" s="2">
        <v>1</v>
      </c>
      <c r="F51" s="2">
        <v>4</v>
      </c>
      <c r="G51" s="2" t="b">
        <v>0</v>
      </c>
      <c r="H51" s="2">
        <v>1</v>
      </c>
      <c r="I51" s="2">
        <v>1</v>
      </c>
      <c r="J51" s="2">
        <v>0.2</v>
      </c>
      <c r="K51" s="2">
        <v>0.19700000000000001</v>
      </c>
      <c r="L51" s="2">
        <v>0.59</v>
      </c>
      <c r="M51" s="2">
        <v>0.22389999999999999</v>
      </c>
      <c r="N51" s="2">
        <v>0</v>
      </c>
      <c r="O51" s="2">
        <v>2</v>
      </c>
      <c r="P51" s="2">
        <v>2</v>
      </c>
    </row>
    <row r="52" spans="1:16" x14ac:dyDescent="0.3">
      <c r="A52" s="2">
        <v>670</v>
      </c>
      <c r="B52" s="3">
        <v>40574</v>
      </c>
      <c r="C52" s="2">
        <v>1</v>
      </c>
      <c r="D52" s="2">
        <v>0</v>
      </c>
      <c r="E52" s="2">
        <v>1</v>
      </c>
      <c r="F52" s="2">
        <v>5</v>
      </c>
      <c r="G52" s="2" t="b">
        <v>0</v>
      </c>
      <c r="H52" s="2">
        <v>1</v>
      </c>
      <c r="I52" s="2">
        <v>1</v>
      </c>
      <c r="J52" s="2">
        <v>0.18</v>
      </c>
      <c r="K52" s="2">
        <v>0.16669999999999999</v>
      </c>
      <c r="L52" s="2">
        <v>0.64</v>
      </c>
      <c r="M52" s="2">
        <v>0.28360000000000002</v>
      </c>
      <c r="N52" s="2">
        <v>0</v>
      </c>
      <c r="O52" s="2">
        <v>8</v>
      </c>
      <c r="P52" s="2">
        <v>8</v>
      </c>
    </row>
    <row r="53" spans="1:16" x14ac:dyDescent="0.3">
      <c r="A53" s="2">
        <v>671</v>
      </c>
      <c r="B53" s="3">
        <v>40574</v>
      </c>
      <c r="C53" s="2">
        <v>1</v>
      </c>
      <c r="D53" s="2">
        <v>0</v>
      </c>
      <c r="E53" s="2">
        <v>1</v>
      </c>
      <c r="F53" s="2">
        <v>6</v>
      </c>
      <c r="G53" s="2" t="b">
        <v>0</v>
      </c>
      <c r="H53" s="2">
        <v>1</v>
      </c>
      <c r="I53" s="2">
        <v>1</v>
      </c>
      <c r="J53" s="2">
        <v>0.16</v>
      </c>
      <c r="K53" s="2">
        <v>0.13639999999999999</v>
      </c>
      <c r="L53" s="2">
        <v>0.69</v>
      </c>
      <c r="M53" s="2">
        <v>0.32840000000000003</v>
      </c>
      <c r="N53" s="2">
        <v>0</v>
      </c>
      <c r="O53" s="2">
        <v>37</v>
      </c>
      <c r="P53" s="2">
        <v>37</v>
      </c>
    </row>
    <row r="54" spans="1:16" x14ac:dyDescent="0.3">
      <c r="A54" s="2">
        <v>672</v>
      </c>
      <c r="B54" s="3">
        <v>40574</v>
      </c>
      <c r="C54" s="2">
        <v>1</v>
      </c>
      <c r="D54" s="2">
        <v>0</v>
      </c>
      <c r="E54" s="2">
        <v>1</v>
      </c>
      <c r="F54" s="2">
        <v>7</v>
      </c>
      <c r="G54" s="2" t="b">
        <v>0</v>
      </c>
      <c r="H54" s="2">
        <v>1</v>
      </c>
      <c r="I54" s="2">
        <v>2</v>
      </c>
      <c r="J54" s="2">
        <v>0.16</v>
      </c>
      <c r="K54" s="2">
        <v>0.13639999999999999</v>
      </c>
      <c r="L54" s="2">
        <v>0.64</v>
      </c>
      <c r="M54" s="2">
        <v>0.28360000000000002</v>
      </c>
      <c r="N54" s="2">
        <v>1</v>
      </c>
      <c r="O54" s="2">
        <v>71</v>
      </c>
      <c r="P54" s="2">
        <v>72</v>
      </c>
    </row>
    <row r="55" spans="1:16" x14ac:dyDescent="0.3">
      <c r="A55" s="2">
        <v>673</v>
      </c>
      <c r="B55" s="3">
        <v>40574</v>
      </c>
      <c r="C55" s="2">
        <v>1</v>
      </c>
      <c r="D55" s="2">
        <v>0</v>
      </c>
      <c r="E55" s="2">
        <v>1</v>
      </c>
      <c r="F55" s="2">
        <v>8</v>
      </c>
      <c r="G55" s="2" t="b">
        <v>0</v>
      </c>
      <c r="H55" s="2">
        <v>1</v>
      </c>
      <c r="I55" s="2">
        <v>2</v>
      </c>
      <c r="J55" s="2">
        <v>0.16</v>
      </c>
      <c r="K55" s="2">
        <v>0.13639999999999999</v>
      </c>
      <c r="L55" s="2">
        <v>0.59</v>
      </c>
      <c r="M55" s="2">
        <v>0.28360000000000002</v>
      </c>
      <c r="N55" s="2">
        <v>3</v>
      </c>
      <c r="O55" s="2">
        <v>182</v>
      </c>
      <c r="P55" s="2">
        <v>185</v>
      </c>
    </row>
    <row r="56" spans="1:16" x14ac:dyDescent="0.3">
      <c r="A56" s="2">
        <v>674</v>
      </c>
      <c r="B56" s="3">
        <v>40574</v>
      </c>
      <c r="C56" s="2">
        <v>1</v>
      </c>
      <c r="D56" s="2">
        <v>0</v>
      </c>
      <c r="E56" s="2">
        <v>1</v>
      </c>
      <c r="F56" s="2">
        <v>9</v>
      </c>
      <c r="G56" s="2" t="b">
        <v>0</v>
      </c>
      <c r="H56" s="2">
        <v>1</v>
      </c>
      <c r="I56" s="2">
        <v>2</v>
      </c>
      <c r="J56" s="2">
        <v>0.16</v>
      </c>
      <c r="K56" s="2">
        <v>0.13639999999999999</v>
      </c>
      <c r="L56" s="2">
        <v>0.59</v>
      </c>
      <c r="M56" s="2">
        <v>0.29849999999999999</v>
      </c>
      <c r="N56" s="2">
        <v>0</v>
      </c>
      <c r="O56" s="2">
        <v>112</v>
      </c>
      <c r="P56" s="2">
        <v>112</v>
      </c>
    </row>
    <row r="57" spans="1:16" x14ac:dyDescent="0.3">
      <c r="A57" s="2">
        <v>675</v>
      </c>
      <c r="B57" s="3">
        <v>40574</v>
      </c>
      <c r="C57" s="2">
        <v>1</v>
      </c>
      <c r="D57" s="2">
        <v>0</v>
      </c>
      <c r="E57" s="2">
        <v>1</v>
      </c>
      <c r="F57" s="2">
        <v>10</v>
      </c>
      <c r="G57" s="2" t="b">
        <v>0</v>
      </c>
      <c r="H57" s="2">
        <v>1</v>
      </c>
      <c r="I57" s="2">
        <v>2</v>
      </c>
      <c r="J57" s="2">
        <v>0.16</v>
      </c>
      <c r="K57" s="2">
        <v>0.1515</v>
      </c>
      <c r="L57" s="2">
        <v>0.59</v>
      </c>
      <c r="M57" s="2">
        <v>0.19400000000000001</v>
      </c>
      <c r="N57" s="2">
        <v>1</v>
      </c>
      <c r="O57" s="2">
        <v>68</v>
      </c>
      <c r="P57" s="2">
        <v>69</v>
      </c>
    </row>
    <row r="58" spans="1:16" x14ac:dyDescent="0.3">
      <c r="A58" s="2">
        <v>676</v>
      </c>
      <c r="B58" s="3">
        <v>40574</v>
      </c>
      <c r="C58" s="2">
        <v>1</v>
      </c>
      <c r="D58" s="2">
        <v>0</v>
      </c>
      <c r="E58" s="2">
        <v>1</v>
      </c>
      <c r="F58" s="2">
        <v>11</v>
      </c>
      <c r="G58" s="2" t="b">
        <v>0</v>
      </c>
      <c r="H58" s="2">
        <v>1</v>
      </c>
      <c r="I58" s="2">
        <v>2</v>
      </c>
      <c r="J58" s="2">
        <v>0.16</v>
      </c>
      <c r="K58" s="2">
        <v>0.1515</v>
      </c>
      <c r="L58" s="2">
        <v>0.59</v>
      </c>
      <c r="M58" s="2">
        <v>0.19400000000000001</v>
      </c>
      <c r="N58" s="2">
        <v>2</v>
      </c>
      <c r="O58" s="2">
        <v>46</v>
      </c>
      <c r="P58" s="2">
        <v>48</v>
      </c>
    </row>
    <row r="59" spans="1:16" x14ac:dyDescent="0.3">
      <c r="A59" s="2">
        <v>677</v>
      </c>
      <c r="B59" s="3">
        <v>40574</v>
      </c>
      <c r="C59" s="2">
        <v>1</v>
      </c>
      <c r="D59" s="2">
        <v>0</v>
      </c>
      <c r="E59" s="2">
        <v>1</v>
      </c>
      <c r="F59" s="2">
        <v>12</v>
      </c>
      <c r="G59" s="2" t="b">
        <v>0</v>
      </c>
      <c r="H59" s="2">
        <v>1</v>
      </c>
      <c r="I59" s="2">
        <v>2</v>
      </c>
      <c r="J59" s="2">
        <v>0.18</v>
      </c>
      <c r="K59" s="2">
        <v>0.21210000000000001</v>
      </c>
      <c r="L59" s="2">
        <v>0.55000000000000004</v>
      </c>
      <c r="M59" s="2">
        <v>0.1045</v>
      </c>
      <c r="N59" s="2">
        <v>6</v>
      </c>
      <c r="O59" s="2">
        <v>62</v>
      </c>
      <c r="P59" s="2">
        <v>68</v>
      </c>
    </row>
    <row r="60" spans="1:16" x14ac:dyDescent="0.3">
      <c r="A60" s="2">
        <v>678</v>
      </c>
      <c r="B60" s="3">
        <v>40574</v>
      </c>
      <c r="C60" s="2">
        <v>1</v>
      </c>
      <c r="D60" s="2">
        <v>0</v>
      </c>
      <c r="E60" s="2">
        <v>1</v>
      </c>
      <c r="F60" s="2">
        <v>13</v>
      </c>
      <c r="G60" s="2" t="b">
        <v>0</v>
      </c>
      <c r="H60" s="2">
        <v>1</v>
      </c>
      <c r="I60" s="2">
        <v>2</v>
      </c>
      <c r="J60" s="2">
        <v>0.16</v>
      </c>
      <c r="K60" s="2">
        <v>0.2273</v>
      </c>
      <c r="L60" s="2">
        <v>0.59</v>
      </c>
      <c r="M60" s="2">
        <v>0</v>
      </c>
      <c r="N60" s="2">
        <v>2</v>
      </c>
      <c r="O60" s="2">
        <v>52</v>
      </c>
      <c r="P60" s="2">
        <v>54</v>
      </c>
    </row>
    <row r="61" spans="1:16" x14ac:dyDescent="0.3">
      <c r="A61" s="2">
        <v>679</v>
      </c>
      <c r="B61" s="3">
        <v>40574</v>
      </c>
      <c r="C61" s="2">
        <v>1</v>
      </c>
      <c r="D61" s="2">
        <v>0</v>
      </c>
      <c r="E61" s="2">
        <v>1</v>
      </c>
      <c r="F61" s="2">
        <v>14</v>
      </c>
      <c r="G61" s="2" t="b">
        <v>0</v>
      </c>
      <c r="H61" s="2">
        <v>1</v>
      </c>
      <c r="I61" s="2">
        <v>2</v>
      </c>
      <c r="J61" s="2">
        <v>0.18</v>
      </c>
      <c r="K61" s="2">
        <v>0.19700000000000001</v>
      </c>
      <c r="L61" s="2">
        <v>0.55000000000000004</v>
      </c>
      <c r="M61" s="2">
        <v>0.1343</v>
      </c>
      <c r="N61" s="2">
        <v>1</v>
      </c>
      <c r="O61" s="2">
        <v>85</v>
      </c>
      <c r="P61" s="2">
        <v>86</v>
      </c>
    </row>
    <row r="62" spans="1:16" x14ac:dyDescent="0.3">
      <c r="A62" s="2">
        <v>680</v>
      </c>
      <c r="B62" s="3">
        <v>40574</v>
      </c>
      <c r="C62" s="2">
        <v>1</v>
      </c>
      <c r="D62" s="2">
        <v>0</v>
      </c>
      <c r="E62" s="2">
        <v>1</v>
      </c>
      <c r="F62" s="2">
        <v>15</v>
      </c>
      <c r="G62" s="2" t="b">
        <v>0</v>
      </c>
      <c r="H62" s="2">
        <v>1</v>
      </c>
      <c r="I62" s="2">
        <v>2</v>
      </c>
      <c r="J62" s="2">
        <v>0.16</v>
      </c>
      <c r="K62" s="2">
        <v>0.18179999999999999</v>
      </c>
      <c r="L62" s="2">
        <v>0.59</v>
      </c>
      <c r="M62" s="2">
        <v>0.1343</v>
      </c>
      <c r="N62" s="2">
        <v>3</v>
      </c>
      <c r="O62" s="2">
        <v>41</v>
      </c>
      <c r="P62" s="2">
        <v>44</v>
      </c>
    </row>
    <row r="63" spans="1:16" x14ac:dyDescent="0.3">
      <c r="A63" s="2">
        <v>681</v>
      </c>
      <c r="B63" s="3">
        <v>40574</v>
      </c>
      <c r="C63" s="2">
        <v>1</v>
      </c>
      <c r="D63" s="2">
        <v>0</v>
      </c>
      <c r="E63" s="2">
        <v>1</v>
      </c>
      <c r="F63" s="2">
        <v>16</v>
      </c>
      <c r="G63" s="2" t="b">
        <v>0</v>
      </c>
      <c r="H63" s="2">
        <v>1</v>
      </c>
      <c r="I63" s="2">
        <v>2</v>
      </c>
      <c r="J63" s="2">
        <v>0.16</v>
      </c>
      <c r="K63" s="2">
        <v>0.18179999999999999</v>
      </c>
      <c r="L63" s="2">
        <v>0.56000000000000005</v>
      </c>
      <c r="M63" s="2">
        <v>0.19400000000000001</v>
      </c>
      <c r="N63" s="2">
        <v>3</v>
      </c>
      <c r="O63" s="2">
        <v>83</v>
      </c>
      <c r="P63" s="2">
        <v>86</v>
      </c>
    </row>
    <row r="64" spans="1:16" x14ac:dyDescent="0.3">
      <c r="A64" s="2">
        <v>682</v>
      </c>
      <c r="B64" s="3">
        <v>40574</v>
      </c>
      <c r="C64" s="2">
        <v>1</v>
      </c>
      <c r="D64" s="2">
        <v>0</v>
      </c>
      <c r="E64" s="2">
        <v>1</v>
      </c>
      <c r="F64" s="2">
        <v>17</v>
      </c>
      <c r="G64" s="2" t="b">
        <v>0</v>
      </c>
      <c r="H64" s="2">
        <v>1</v>
      </c>
      <c r="I64" s="2">
        <v>2</v>
      </c>
      <c r="J64" s="2">
        <v>0.16</v>
      </c>
      <c r="K64" s="2">
        <v>0.1515</v>
      </c>
      <c r="L64" s="2">
        <v>0.59</v>
      </c>
      <c r="M64" s="2">
        <v>0.19400000000000001</v>
      </c>
      <c r="N64" s="2">
        <v>6</v>
      </c>
      <c r="O64" s="2">
        <v>155</v>
      </c>
      <c r="P64" s="2">
        <v>161</v>
      </c>
    </row>
    <row r="65" spans="1:16" x14ac:dyDescent="0.3">
      <c r="A65" s="2">
        <v>683</v>
      </c>
      <c r="B65" s="3">
        <v>40574</v>
      </c>
      <c r="C65" s="2">
        <v>1</v>
      </c>
      <c r="D65" s="2">
        <v>0</v>
      </c>
      <c r="E65" s="2">
        <v>1</v>
      </c>
      <c r="F65" s="2">
        <v>18</v>
      </c>
      <c r="G65" s="2" t="b">
        <v>0</v>
      </c>
      <c r="H65" s="2">
        <v>1</v>
      </c>
      <c r="I65" s="2">
        <v>2</v>
      </c>
      <c r="J65" s="2">
        <v>0.16</v>
      </c>
      <c r="K65" s="2">
        <v>0.1515</v>
      </c>
      <c r="L65" s="2">
        <v>0.55000000000000004</v>
      </c>
      <c r="M65" s="2">
        <v>0.22389999999999999</v>
      </c>
      <c r="N65" s="2">
        <v>3</v>
      </c>
      <c r="O65" s="2">
        <v>153</v>
      </c>
      <c r="P65" s="2">
        <v>156</v>
      </c>
    </row>
    <row r="66" spans="1:16" x14ac:dyDescent="0.3">
      <c r="A66" s="2">
        <v>684</v>
      </c>
      <c r="B66" s="3">
        <v>40574</v>
      </c>
      <c r="C66" s="2">
        <v>1</v>
      </c>
      <c r="D66" s="2">
        <v>0</v>
      </c>
      <c r="E66" s="2">
        <v>1</v>
      </c>
      <c r="F66" s="2">
        <v>19</v>
      </c>
      <c r="G66" s="2" t="b">
        <v>0</v>
      </c>
      <c r="H66" s="2">
        <v>1</v>
      </c>
      <c r="I66" s="2">
        <v>1</v>
      </c>
      <c r="J66" s="2">
        <v>0.3</v>
      </c>
      <c r="K66" s="2">
        <v>0.31819999999999998</v>
      </c>
      <c r="L66" s="2">
        <v>0.61</v>
      </c>
      <c r="M66" s="2">
        <v>0.1045</v>
      </c>
      <c r="N66" s="2">
        <v>3</v>
      </c>
      <c r="O66" s="2">
        <v>108</v>
      </c>
      <c r="P66" s="2">
        <v>111</v>
      </c>
    </row>
    <row r="67" spans="1:16" x14ac:dyDescent="0.3">
      <c r="A67" s="2">
        <v>685</v>
      </c>
      <c r="B67" s="3">
        <v>40574</v>
      </c>
      <c r="C67" s="2">
        <v>1</v>
      </c>
      <c r="D67" s="2">
        <v>0</v>
      </c>
      <c r="E67" s="2">
        <v>1</v>
      </c>
      <c r="F67" s="2">
        <v>20</v>
      </c>
      <c r="G67" s="2" t="b">
        <v>0</v>
      </c>
      <c r="H67" s="2">
        <v>1</v>
      </c>
      <c r="I67" s="2">
        <v>3</v>
      </c>
      <c r="J67" s="2">
        <v>0.16</v>
      </c>
      <c r="K67" s="2">
        <v>0.16669999999999999</v>
      </c>
      <c r="L67" s="2">
        <v>0.59</v>
      </c>
      <c r="M67" s="2">
        <v>0.16420000000000001</v>
      </c>
      <c r="N67" s="2">
        <v>0</v>
      </c>
      <c r="O67" s="2">
        <v>78</v>
      </c>
      <c r="P67" s="2">
        <v>78</v>
      </c>
    </row>
    <row r="68" spans="1:16" x14ac:dyDescent="0.3">
      <c r="A68" s="2">
        <v>686</v>
      </c>
      <c r="B68" s="3">
        <v>40574</v>
      </c>
      <c r="C68" s="2">
        <v>1</v>
      </c>
      <c r="D68" s="2">
        <v>0</v>
      </c>
      <c r="E68" s="2">
        <v>1</v>
      </c>
      <c r="F68" s="2">
        <v>21</v>
      </c>
      <c r="G68" s="2" t="b">
        <v>0</v>
      </c>
      <c r="H68" s="2">
        <v>1</v>
      </c>
      <c r="I68" s="2">
        <v>3</v>
      </c>
      <c r="J68" s="2">
        <v>0.16</v>
      </c>
      <c r="K68" s="2">
        <v>0.19700000000000001</v>
      </c>
      <c r="L68" s="2">
        <v>0.59</v>
      </c>
      <c r="M68" s="2">
        <v>8.9599999999999999E-2</v>
      </c>
      <c r="N68" s="2">
        <v>3</v>
      </c>
      <c r="O68" s="2">
        <v>53</v>
      </c>
      <c r="P68" s="2">
        <v>56</v>
      </c>
    </row>
    <row r="69" spans="1:16" x14ac:dyDescent="0.3">
      <c r="A69" s="2">
        <v>687</v>
      </c>
      <c r="B69" s="3">
        <v>40574</v>
      </c>
      <c r="C69" s="2">
        <v>1</v>
      </c>
      <c r="D69" s="2">
        <v>0</v>
      </c>
      <c r="E69" s="2">
        <v>1</v>
      </c>
      <c r="F69" s="2">
        <v>22</v>
      </c>
      <c r="G69" s="2" t="b">
        <v>0</v>
      </c>
      <c r="H69" s="2">
        <v>1</v>
      </c>
      <c r="I69" s="2">
        <v>2</v>
      </c>
      <c r="J69" s="2">
        <v>0.16</v>
      </c>
      <c r="K69" s="2">
        <v>0.18179999999999999</v>
      </c>
      <c r="L69" s="2">
        <v>0.59</v>
      </c>
      <c r="M69" s="2">
        <v>0.1045</v>
      </c>
      <c r="N69" s="2">
        <v>0</v>
      </c>
      <c r="O69" s="2">
        <v>34</v>
      </c>
      <c r="P69" s="2">
        <v>34</v>
      </c>
    </row>
    <row r="70" spans="1:16" x14ac:dyDescent="0.3">
      <c r="A70" s="2">
        <v>688</v>
      </c>
      <c r="B70" s="3">
        <v>40574</v>
      </c>
      <c r="C70" s="2">
        <v>1</v>
      </c>
      <c r="D70" s="2">
        <v>0</v>
      </c>
      <c r="E70" s="2">
        <v>1</v>
      </c>
      <c r="F70" s="2">
        <v>23</v>
      </c>
      <c r="G70" s="2" t="b">
        <v>0</v>
      </c>
      <c r="H70" s="2">
        <v>1</v>
      </c>
      <c r="I70" s="2">
        <v>2</v>
      </c>
      <c r="J70" s="2">
        <v>0.16</v>
      </c>
      <c r="K70" s="2">
        <v>0.19700000000000001</v>
      </c>
      <c r="L70" s="2">
        <v>0.64</v>
      </c>
      <c r="M70" s="2">
        <v>8.9599999999999999E-2</v>
      </c>
      <c r="N70" s="2">
        <v>2</v>
      </c>
      <c r="O70" s="2">
        <v>15</v>
      </c>
      <c r="P70" s="2">
        <v>17</v>
      </c>
    </row>
    <row r="71" spans="1:16" x14ac:dyDescent="0.3">
      <c r="A71" s="2">
        <v>689</v>
      </c>
      <c r="B71" s="3">
        <v>40575</v>
      </c>
      <c r="C71" s="2">
        <v>1</v>
      </c>
      <c r="D71" s="2">
        <v>0</v>
      </c>
      <c r="E71" s="2">
        <v>2</v>
      </c>
      <c r="F71" s="2">
        <v>0</v>
      </c>
      <c r="G71" s="2" t="b">
        <v>0</v>
      </c>
      <c r="H71" s="2">
        <v>2</v>
      </c>
      <c r="I71" s="2">
        <v>2</v>
      </c>
      <c r="J71" s="2">
        <v>0.16</v>
      </c>
      <c r="K71" s="2">
        <v>0.18179999999999999</v>
      </c>
      <c r="L71" s="2">
        <v>0.64</v>
      </c>
      <c r="M71" s="2">
        <v>0.1045</v>
      </c>
      <c r="N71" s="2">
        <v>2</v>
      </c>
      <c r="O71" s="2">
        <v>6</v>
      </c>
      <c r="P71" s="2">
        <v>8</v>
      </c>
    </row>
    <row r="72" spans="1:16" x14ac:dyDescent="0.3">
      <c r="A72" s="2">
        <v>690</v>
      </c>
      <c r="B72" s="3">
        <v>40575</v>
      </c>
      <c r="C72" s="2">
        <v>1</v>
      </c>
      <c r="D72" s="2">
        <v>0</v>
      </c>
      <c r="E72" s="2">
        <v>2</v>
      </c>
      <c r="F72" s="2">
        <v>1</v>
      </c>
      <c r="G72" s="2" t="b">
        <v>0</v>
      </c>
      <c r="H72" s="2">
        <v>2</v>
      </c>
      <c r="I72" s="2">
        <v>2</v>
      </c>
      <c r="J72" s="2">
        <v>0.16</v>
      </c>
      <c r="K72" s="2">
        <v>0.18179999999999999</v>
      </c>
      <c r="L72" s="2">
        <v>0.69</v>
      </c>
      <c r="M72" s="2">
        <v>0.1045</v>
      </c>
      <c r="N72" s="2">
        <v>0</v>
      </c>
      <c r="O72" s="2">
        <v>3</v>
      </c>
      <c r="P72" s="2">
        <v>3</v>
      </c>
    </row>
    <row r="73" spans="1:16" x14ac:dyDescent="0.3">
      <c r="A73" s="2">
        <v>691</v>
      </c>
      <c r="B73" s="3">
        <v>40575</v>
      </c>
      <c r="C73" s="2">
        <v>1</v>
      </c>
      <c r="D73" s="2">
        <v>0</v>
      </c>
      <c r="E73" s="2">
        <v>2</v>
      </c>
      <c r="F73" s="2">
        <v>2</v>
      </c>
      <c r="G73" s="2" t="b">
        <v>0</v>
      </c>
      <c r="H73" s="2">
        <v>2</v>
      </c>
      <c r="I73" s="2">
        <v>2</v>
      </c>
      <c r="J73" s="2">
        <v>0.16</v>
      </c>
      <c r="K73" s="2">
        <v>0.2273</v>
      </c>
      <c r="L73" s="2">
        <v>0.69</v>
      </c>
      <c r="M73" s="2">
        <v>0</v>
      </c>
      <c r="N73" s="2">
        <v>0</v>
      </c>
      <c r="O73" s="2">
        <v>2</v>
      </c>
      <c r="P73" s="2">
        <v>2</v>
      </c>
    </row>
    <row r="74" spans="1:16" x14ac:dyDescent="0.3">
      <c r="A74" s="2">
        <v>692</v>
      </c>
      <c r="B74" s="3">
        <v>40575</v>
      </c>
      <c r="C74" s="2">
        <v>1</v>
      </c>
      <c r="D74" s="2">
        <v>0</v>
      </c>
      <c r="E74" s="2">
        <v>2</v>
      </c>
      <c r="F74" s="2">
        <v>3</v>
      </c>
      <c r="G74" s="2" t="b">
        <v>0</v>
      </c>
      <c r="H74" s="2">
        <v>2</v>
      </c>
      <c r="I74" s="2">
        <v>2</v>
      </c>
      <c r="J74" s="2">
        <v>0.16</v>
      </c>
      <c r="K74" s="2">
        <v>0.2273</v>
      </c>
      <c r="L74" s="2">
        <v>0.69</v>
      </c>
      <c r="M74" s="2">
        <v>0</v>
      </c>
      <c r="N74" s="2">
        <v>0</v>
      </c>
      <c r="O74" s="2">
        <v>2</v>
      </c>
      <c r="P74" s="2">
        <v>2</v>
      </c>
    </row>
    <row r="75" spans="1:16" x14ac:dyDescent="0.3">
      <c r="A75" s="2">
        <v>693</v>
      </c>
      <c r="B75" s="3">
        <v>40575</v>
      </c>
      <c r="C75" s="2">
        <v>1</v>
      </c>
      <c r="D75" s="2">
        <v>0</v>
      </c>
      <c r="E75" s="2">
        <v>2</v>
      </c>
      <c r="F75" s="2">
        <v>5</v>
      </c>
      <c r="G75" s="2" t="b">
        <v>0</v>
      </c>
      <c r="H75" s="2">
        <v>2</v>
      </c>
      <c r="I75" s="2">
        <v>3</v>
      </c>
      <c r="J75" s="2">
        <v>0.14000000000000001</v>
      </c>
      <c r="K75" s="2">
        <v>0.21210000000000001</v>
      </c>
      <c r="L75" s="2">
        <v>0.93</v>
      </c>
      <c r="M75" s="2">
        <v>0</v>
      </c>
      <c r="N75" s="2">
        <v>0</v>
      </c>
      <c r="O75" s="2">
        <v>3</v>
      </c>
      <c r="P75" s="2">
        <v>3</v>
      </c>
    </row>
    <row r="76" spans="1:16" x14ac:dyDescent="0.3">
      <c r="A76" s="2">
        <v>694</v>
      </c>
      <c r="B76" s="3">
        <v>40575</v>
      </c>
      <c r="C76" s="2">
        <v>1</v>
      </c>
      <c r="D76" s="2">
        <v>0</v>
      </c>
      <c r="E76" s="2">
        <v>2</v>
      </c>
      <c r="F76" s="2">
        <v>6</v>
      </c>
      <c r="G76" s="2" t="b">
        <v>0</v>
      </c>
      <c r="H76" s="2">
        <v>2</v>
      </c>
      <c r="I76" s="2">
        <v>3</v>
      </c>
      <c r="J76" s="2">
        <v>0.14000000000000001</v>
      </c>
      <c r="K76" s="2">
        <v>0.21210000000000001</v>
      </c>
      <c r="L76" s="2">
        <v>0.93</v>
      </c>
      <c r="M76" s="2">
        <v>0</v>
      </c>
      <c r="N76" s="2">
        <v>0</v>
      </c>
      <c r="O76" s="2">
        <v>22</v>
      </c>
      <c r="P76" s="2">
        <v>22</v>
      </c>
    </row>
    <row r="77" spans="1:16" x14ac:dyDescent="0.3">
      <c r="A77" s="2">
        <v>695</v>
      </c>
      <c r="B77" s="3">
        <v>40575</v>
      </c>
      <c r="C77" s="2">
        <v>1</v>
      </c>
      <c r="D77" s="2">
        <v>0</v>
      </c>
      <c r="E77" s="2">
        <v>2</v>
      </c>
      <c r="F77" s="2">
        <v>7</v>
      </c>
      <c r="G77" s="2" t="b">
        <v>0</v>
      </c>
      <c r="H77" s="2">
        <v>2</v>
      </c>
      <c r="I77" s="2">
        <v>3</v>
      </c>
      <c r="J77" s="2">
        <v>0.16</v>
      </c>
      <c r="K77" s="2">
        <v>0.2273</v>
      </c>
      <c r="L77" s="2">
        <v>0.93</v>
      </c>
      <c r="M77" s="2">
        <v>0</v>
      </c>
      <c r="N77" s="2">
        <v>0</v>
      </c>
      <c r="O77" s="2">
        <v>52</v>
      </c>
      <c r="P77" s="2">
        <v>52</v>
      </c>
    </row>
    <row r="78" spans="1:16" x14ac:dyDescent="0.3">
      <c r="A78" s="2">
        <v>696</v>
      </c>
      <c r="B78" s="3">
        <v>40575</v>
      </c>
      <c r="C78" s="2">
        <v>1</v>
      </c>
      <c r="D78" s="2">
        <v>0</v>
      </c>
      <c r="E78" s="2">
        <v>2</v>
      </c>
      <c r="F78" s="2">
        <v>8</v>
      </c>
      <c r="G78" s="2" t="b">
        <v>0</v>
      </c>
      <c r="H78" s="2">
        <v>2</v>
      </c>
      <c r="I78" s="2">
        <v>3</v>
      </c>
      <c r="J78" s="2">
        <v>0.16</v>
      </c>
      <c r="K78" s="2">
        <v>0.2273</v>
      </c>
      <c r="L78" s="2">
        <v>0.93</v>
      </c>
      <c r="M78" s="2">
        <v>0</v>
      </c>
      <c r="N78" s="2">
        <v>3</v>
      </c>
      <c r="O78" s="2">
        <v>132</v>
      </c>
      <c r="P78" s="2">
        <v>135</v>
      </c>
    </row>
    <row r="79" spans="1:16" x14ac:dyDescent="0.3">
      <c r="A79" s="2">
        <v>697</v>
      </c>
      <c r="B79" s="3">
        <v>40575</v>
      </c>
      <c r="C79" s="2">
        <v>1</v>
      </c>
      <c r="D79" s="2">
        <v>0</v>
      </c>
      <c r="E79" s="2">
        <v>2</v>
      </c>
      <c r="F79" s="2">
        <v>9</v>
      </c>
      <c r="G79" s="2" t="b">
        <v>0</v>
      </c>
      <c r="H79" s="2">
        <v>2</v>
      </c>
      <c r="I79" s="2">
        <v>2</v>
      </c>
      <c r="J79" s="2">
        <v>0.16</v>
      </c>
      <c r="K79" s="2">
        <v>0.2273</v>
      </c>
      <c r="L79" s="2">
        <v>0.93</v>
      </c>
      <c r="M79" s="2">
        <v>0</v>
      </c>
      <c r="N79" s="2">
        <v>2</v>
      </c>
      <c r="O79" s="2">
        <v>114</v>
      </c>
      <c r="P79" s="2">
        <v>116</v>
      </c>
    </row>
    <row r="80" spans="1:16" x14ac:dyDescent="0.3">
      <c r="A80" s="2">
        <v>698</v>
      </c>
      <c r="B80" s="3">
        <v>40575</v>
      </c>
      <c r="C80" s="2">
        <v>1</v>
      </c>
      <c r="D80" s="2">
        <v>0</v>
      </c>
      <c r="E80" s="2">
        <v>2</v>
      </c>
      <c r="F80" s="2">
        <v>10</v>
      </c>
      <c r="G80" s="2" t="b">
        <v>0</v>
      </c>
      <c r="H80" s="2">
        <v>2</v>
      </c>
      <c r="I80" s="2">
        <v>2</v>
      </c>
      <c r="J80" s="2">
        <v>0.16</v>
      </c>
      <c r="K80" s="2">
        <v>0.2273</v>
      </c>
      <c r="L80" s="2">
        <v>0.93</v>
      </c>
      <c r="M80" s="2">
        <v>0</v>
      </c>
      <c r="N80" s="2">
        <v>0</v>
      </c>
      <c r="O80" s="2">
        <v>47</v>
      </c>
      <c r="P80" s="2">
        <v>47</v>
      </c>
    </row>
    <row r="81" spans="1:16" x14ac:dyDescent="0.3">
      <c r="A81" s="2">
        <v>699</v>
      </c>
      <c r="B81" s="3">
        <v>40575</v>
      </c>
      <c r="C81" s="2">
        <v>1</v>
      </c>
      <c r="D81" s="2">
        <v>0</v>
      </c>
      <c r="E81" s="2">
        <v>2</v>
      </c>
      <c r="F81" s="2">
        <v>11</v>
      </c>
      <c r="G81" s="2" t="b">
        <v>0</v>
      </c>
      <c r="H81" s="2">
        <v>2</v>
      </c>
      <c r="I81" s="2">
        <v>2</v>
      </c>
      <c r="J81" s="2">
        <v>0.18</v>
      </c>
      <c r="K81" s="2">
        <v>0.2424</v>
      </c>
      <c r="L81" s="2">
        <v>0.86</v>
      </c>
      <c r="M81" s="2">
        <v>0</v>
      </c>
      <c r="N81" s="2">
        <v>2</v>
      </c>
      <c r="O81" s="2">
        <v>49</v>
      </c>
      <c r="P81" s="2">
        <v>51</v>
      </c>
    </row>
    <row r="82" spans="1:16" x14ac:dyDescent="0.3">
      <c r="A82" s="2">
        <v>700</v>
      </c>
      <c r="B82" s="3">
        <v>40575</v>
      </c>
      <c r="C82" s="2">
        <v>1</v>
      </c>
      <c r="D82" s="2">
        <v>0</v>
      </c>
      <c r="E82" s="2">
        <v>2</v>
      </c>
      <c r="F82" s="2">
        <v>12</v>
      </c>
      <c r="G82" s="2" t="b">
        <v>0</v>
      </c>
      <c r="H82" s="2">
        <v>2</v>
      </c>
      <c r="I82" s="2">
        <v>2</v>
      </c>
      <c r="J82" s="2">
        <v>0.2</v>
      </c>
      <c r="K82" s="2">
        <v>0.2576</v>
      </c>
      <c r="L82" s="2">
        <v>0.86</v>
      </c>
      <c r="M82" s="2">
        <v>0</v>
      </c>
      <c r="N82" s="2">
        <v>2</v>
      </c>
      <c r="O82" s="2">
        <v>53</v>
      </c>
      <c r="P82" s="2">
        <v>55</v>
      </c>
    </row>
    <row r="83" spans="1:16" x14ac:dyDescent="0.3">
      <c r="A83" s="2">
        <v>701</v>
      </c>
      <c r="B83" s="3">
        <v>40575</v>
      </c>
      <c r="C83" s="2">
        <v>1</v>
      </c>
      <c r="D83" s="2">
        <v>0</v>
      </c>
      <c r="E83" s="2">
        <v>2</v>
      </c>
      <c r="F83" s="2">
        <v>13</v>
      </c>
      <c r="G83" s="2" t="b">
        <v>0</v>
      </c>
      <c r="H83" s="2">
        <v>2</v>
      </c>
      <c r="I83" s="2">
        <v>2</v>
      </c>
      <c r="J83" s="2">
        <v>0.2</v>
      </c>
      <c r="K83" s="2">
        <v>0.2576</v>
      </c>
      <c r="L83" s="2">
        <v>0.86</v>
      </c>
      <c r="M83" s="2">
        <v>0</v>
      </c>
      <c r="N83" s="2">
        <v>3</v>
      </c>
      <c r="O83" s="2">
        <v>49</v>
      </c>
      <c r="P83" s="2">
        <v>52</v>
      </c>
    </row>
    <row r="84" spans="1:16" x14ac:dyDescent="0.3">
      <c r="A84" s="2">
        <v>702</v>
      </c>
      <c r="B84" s="3">
        <v>40575</v>
      </c>
      <c r="C84" s="2">
        <v>1</v>
      </c>
      <c r="D84" s="2">
        <v>0</v>
      </c>
      <c r="E84" s="2">
        <v>2</v>
      </c>
      <c r="F84" s="2">
        <v>14</v>
      </c>
      <c r="G84" s="2" t="b">
        <v>0</v>
      </c>
      <c r="H84" s="2">
        <v>2</v>
      </c>
      <c r="I84" s="2">
        <v>2</v>
      </c>
      <c r="J84" s="2">
        <v>0.22</v>
      </c>
      <c r="K84" s="2">
        <v>0.2576</v>
      </c>
      <c r="L84" s="2">
        <v>0.8</v>
      </c>
      <c r="M84" s="2">
        <v>8.9599999999999999E-2</v>
      </c>
      <c r="N84" s="2">
        <v>5</v>
      </c>
      <c r="O84" s="2">
        <v>49</v>
      </c>
      <c r="P84" s="2">
        <v>54</v>
      </c>
    </row>
    <row r="85" spans="1:16" x14ac:dyDescent="0.3">
      <c r="A85" s="2">
        <v>703</v>
      </c>
      <c r="B85" s="3">
        <v>40575</v>
      </c>
      <c r="C85" s="2">
        <v>1</v>
      </c>
      <c r="D85" s="2">
        <v>0</v>
      </c>
      <c r="E85" s="2">
        <v>2</v>
      </c>
      <c r="F85" s="2">
        <v>15</v>
      </c>
      <c r="G85" s="2" t="b">
        <v>0</v>
      </c>
      <c r="H85" s="2">
        <v>2</v>
      </c>
      <c r="I85" s="2">
        <v>2</v>
      </c>
      <c r="J85" s="2">
        <v>0.24</v>
      </c>
      <c r="K85" s="2">
        <v>0.28789999999999999</v>
      </c>
      <c r="L85" s="2">
        <v>0.75</v>
      </c>
      <c r="M85" s="2">
        <v>0</v>
      </c>
      <c r="N85" s="2">
        <v>7</v>
      </c>
      <c r="O85" s="2">
        <v>45</v>
      </c>
      <c r="P85" s="2">
        <v>52</v>
      </c>
    </row>
    <row r="86" spans="1:16" x14ac:dyDescent="0.3">
      <c r="A86" s="2">
        <v>704</v>
      </c>
      <c r="B86" s="3">
        <v>40575</v>
      </c>
      <c r="C86" s="2">
        <v>1</v>
      </c>
      <c r="D86" s="2">
        <v>0</v>
      </c>
      <c r="E86" s="2">
        <v>2</v>
      </c>
      <c r="F86" s="2">
        <v>16</v>
      </c>
      <c r="G86" s="2" t="b">
        <v>0</v>
      </c>
      <c r="H86" s="2">
        <v>2</v>
      </c>
      <c r="I86" s="2">
        <v>2</v>
      </c>
      <c r="J86" s="2">
        <v>0.24</v>
      </c>
      <c r="K86" s="2">
        <v>0.2424</v>
      </c>
      <c r="L86" s="2">
        <v>0.75</v>
      </c>
      <c r="M86" s="2">
        <v>0.1343</v>
      </c>
      <c r="N86" s="2">
        <v>3</v>
      </c>
      <c r="O86" s="2">
        <v>61</v>
      </c>
      <c r="P86" s="2">
        <v>64</v>
      </c>
    </row>
    <row r="87" spans="1:16" x14ac:dyDescent="0.3">
      <c r="A87" s="2">
        <v>705</v>
      </c>
      <c r="B87" s="3">
        <v>40575</v>
      </c>
      <c r="C87" s="2">
        <v>1</v>
      </c>
      <c r="D87" s="2">
        <v>0</v>
      </c>
      <c r="E87" s="2">
        <v>2</v>
      </c>
      <c r="F87" s="2">
        <v>17</v>
      </c>
      <c r="G87" s="2" t="b">
        <v>0</v>
      </c>
      <c r="H87" s="2">
        <v>2</v>
      </c>
      <c r="I87" s="2">
        <v>2</v>
      </c>
      <c r="J87" s="2">
        <v>0.24</v>
      </c>
      <c r="K87" s="2">
        <v>0.28789999999999999</v>
      </c>
      <c r="L87" s="2">
        <v>0.75</v>
      </c>
      <c r="M87" s="2">
        <v>0</v>
      </c>
      <c r="N87" s="2">
        <v>4</v>
      </c>
      <c r="O87" s="2">
        <v>172</v>
      </c>
      <c r="P87" s="2">
        <v>176</v>
      </c>
    </row>
    <row r="88" spans="1:16" x14ac:dyDescent="0.3">
      <c r="A88" s="2">
        <v>706</v>
      </c>
      <c r="B88" s="3">
        <v>40575</v>
      </c>
      <c r="C88" s="2">
        <v>1</v>
      </c>
      <c r="D88" s="2">
        <v>0</v>
      </c>
      <c r="E88" s="2">
        <v>2</v>
      </c>
      <c r="F88" s="2">
        <v>18</v>
      </c>
      <c r="G88" s="2" t="b">
        <v>0</v>
      </c>
      <c r="H88" s="2">
        <v>2</v>
      </c>
      <c r="I88" s="2">
        <v>2</v>
      </c>
      <c r="J88" s="2">
        <v>0.24</v>
      </c>
      <c r="K88" s="2">
        <v>0.2576</v>
      </c>
      <c r="L88" s="2">
        <v>0.81</v>
      </c>
      <c r="M88" s="2">
        <v>0.1045</v>
      </c>
      <c r="N88" s="2">
        <v>3</v>
      </c>
      <c r="O88" s="2">
        <v>165</v>
      </c>
      <c r="P88" s="2">
        <v>168</v>
      </c>
    </row>
    <row r="89" spans="1:16" x14ac:dyDescent="0.3">
      <c r="A89" s="2">
        <v>707</v>
      </c>
      <c r="B89" s="3">
        <v>40575</v>
      </c>
      <c r="C89" s="2">
        <v>1</v>
      </c>
      <c r="D89" s="2">
        <v>0</v>
      </c>
      <c r="E89" s="2">
        <v>2</v>
      </c>
      <c r="F89" s="2">
        <v>19</v>
      </c>
      <c r="G89" s="2" t="b">
        <v>0</v>
      </c>
      <c r="H89" s="2">
        <v>2</v>
      </c>
      <c r="I89" s="2">
        <v>2</v>
      </c>
      <c r="J89" s="2">
        <v>0.24</v>
      </c>
      <c r="K89" s="2">
        <v>0.2424</v>
      </c>
      <c r="L89" s="2">
        <v>0.81</v>
      </c>
      <c r="M89" s="2">
        <v>0.1343</v>
      </c>
      <c r="N89" s="2">
        <v>3</v>
      </c>
      <c r="O89" s="2">
        <v>105</v>
      </c>
      <c r="P89" s="2">
        <v>108</v>
      </c>
    </row>
    <row r="90" spans="1:16" x14ac:dyDescent="0.3">
      <c r="A90" s="2">
        <v>708</v>
      </c>
      <c r="B90" s="3">
        <v>40575</v>
      </c>
      <c r="C90" s="2">
        <v>1</v>
      </c>
      <c r="D90" s="2">
        <v>0</v>
      </c>
      <c r="E90" s="2">
        <v>2</v>
      </c>
      <c r="F90" s="2">
        <v>20</v>
      </c>
      <c r="G90" s="2" t="b">
        <v>0</v>
      </c>
      <c r="H90" s="2">
        <v>2</v>
      </c>
      <c r="I90" s="2">
        <v>2</v>
      </c>
      <c r="J90" s="2">
        <v>0.22</v>
      </c>
      <c r="K90" s="2">
        <v>0.2273</v>
      </c>
      <c r="L90" s="2">
        <v>0.87</v>
      </c>
      <c r="M90" s="2">
        <v>0.1343</v>
      </c>
      <c r="N90" s="2">
        <v>5</v>
      </c>
      <c r="O90" s="2">
        <v>69</v>
      </c>
      <c r="P90" s="2">
        <v>74</v>
      </c>
    </row>
    <row r="91" spans="1:16" x14ac:dyDescent="0.3">
      <c r="A91" s="2">
        <v>709</v>
      </c>
      <c r="B91" s="3">
        <v>40575</v>
      </c>
      <c r="C91" s="2">
        <v>1</v>
      </c>
      <c r="D91" s="2">
        <v>0</v>
      </c>
      <c r="E91" s="2">
        <v>2</v>
      </c>
      <c r="F91" s="2">
        <v>21</v>
      </c>
      <c r="G91" s="2" t="b">
        <v>0</v>
      </c>
      <c r="H91" s="2">
        <v>2</v>
      </c>
      <c r="I91" s="2">
        <v>2</v>
      </c>
      <c r="J91" s="2">
        <v>0.22</v>
      </c>
      <c r="K91" s="2">
        <v>0.2273</v>
      </c>
      <c r="L91" s="2">
        <v>0.87</v>
      </c>
      <c r="M91" s="2">
        <v>0.1343</v>
      </c>
      <c r="N91" s="2">
        <v>0</v>
      </c>
      <c r="O91" s="2">
        <v>64</v>
      </c>
      <c r="P91" s="2">
        <v>64</v>
      </c>
    </row>
    <row r="92" spans="1:16" x14ac:dyDescent="0.3">
      <c r="A92" s="2">
        <v>710</v>
      </c>
      <c r="B92" s="3">
        <v>40575</v>
      </c>
      <c r="C92" s="2">
        <v>1</v>
      </c>
      <c r="D92" s="2">
        <v>0</v>
      </c>
      <c r="E92" s="2">
        <v>2</v>
      </c>
      <c r="F92" s="2">
        <v>22</v>
      </c>
      <c r="G92" s="2" t="b">
        <v>0</v>
      </c>
      <c r="H92" s="2">
        <v>2</v>
      </c>
      <c r="I92" s="2">
        <v>2</v>
      </c>
      <c r="J92" s="2">
        <v>0.22</v>
      </c>
      <c r="K92" s="2">
        <v>0.2576</v>
      </c>
      <c r="L92" s="2">
        <v>0.87</v>
      </c>
      <c r="M92" s="2">
        <v>8.9599999999999999E-2</v>
      </c>
      <c r="N92" s="2">
        <v>2</v>
      </c>
      <c r="O92" s="2">
        <v>34</v>
      </c>
      <c r="P92" s="2">
        <v>36</v>
      </c>
    </row>
    <row r="93" spans="1:16" x14ac:dyDescent="0.3">
      <c r="A93" s="2">
        <v>711</v>
      </c>
      <c r="B93" s="3">
        <v>40575</v>
      </c>
      <c r="C93" s="2">
        <v>1</v>
      </c>
      <c r="D93" s="2">
        <v>0</v>
      </c>
      <c r="E93" s="2">
        <v>2</v>
      </c>
      <c r="F93" s="2">
        <v>23</v>
      </c>
      <c r="G93" s="2" t="b">
        <v>0</v>
      </c>
      <c r="H93" s="2">
        <v>2</v>
      </c>
      <c r="I93" s="2">
        <v>3</v>
      </c>
      <c r="J93" s="2">
        <v>0.2</v>
      </c>
      <c r="K93" s="2">
        <v>0.19700000000000001</v>
      </c>
      <c r="L93" s="2">
        <v>0.93</v>
      </c>
      <c r="M93" s="2">
        <v>0.19400000000000001</v>
      </c>
      <c r="N93" s="2">
        <v>1</v>
      </c>
      <c r="O93" s="2">
        <v>15</v>
      </c>
      <c r="P93" s="2">
        <v>16</v>
      </c>
    </row>
    <row r="94" spans="1:16" x14ac:dyDescent="0.3">
      <c r="A94" s="2">
        <v>712</v>
      </c>
      <c r="B94" s="3">
        <v>40576</v>
      </c>
      <c r="C94" s="2">
        <v>1</v>
      </c>
      <c r="D94" s="2">
        <v>0</v>
      </c>
      <c r="E94" s="2">
        <v>2</v>
      </c>
      <c r="F94" s="2">
        <v>0</v>
      </c>
      <c r="G94" s="2" t="b">
        <v>0</v>
      </c>
      <c r="H94" s="2">
        <v>3</v>
      </c>
      <c r="I94" s="2">
        <v>3</v>
      </c>
      <c r="J94" s="2">
        <v>0.22</v>
      </c>
      <c r="K94" s="2">
        <v>0.2424</v>
      </c>
      <c r="L94" s="2">
        <v>0.93</v>
      </c>
      <c r="M94" s="2">
        <v>0.1045</v>
      </c>
      <c r="N94" s="2">
        <v>0</v>
      </c>
      <c r="O94" s="2">
        <v>2</v>
      </c>
      <c r="P94" s="2">
        <v>2</v>
      </c>
    </row>
    <row r="95" spans="1:16" x14ac:dyDescent="0.3">
      <c r="A95" s="2">
        <v>713</v>
      </c>
      <c r="B95" s="3">
        <v>40576</v>
      </c>
      <c r="C95" s="2">
        <v>1</v>
      </c>
      <c r="D95" s="2">
        <v>0</v>
      </c>
      <c r="E95" s="2">
        <v>2</v>
      </c>
      <c r="F95" s="2">
        <v>1</v>
      </c>
      <c r="G95" s="2" t="b">
        <v>0</v>
      </c>
      <c r="H95" s="2">
        <v>3</v>
      </c>
      <c r="I95" s="2">
        <v>3</v>
      </c>
      <c r="J95" s="2">
        <v>0.22</v>
      </c>
      <c r="K95" s="2">
        <v>0.2273</v>
      </c>
      <c r="L95" s="2">
        <v>0.93</v>
      </c>
      <c r="M95" s="2">
        <v>0.19400000000000001</v>
      </c>
      <c r="N95" s="2">
        <v>0</v>
      </c>
      <c r="O95" s="2">
        <v>3</v>
      </c>
      <c r="P95" s="2">
        <v>3</v>
      </c>
    </row>
    <row r="96" spans="1:16" x14ac:dyDescent="0.3">
      <c r="A96" s="2">
        <v>714</v>
      </c>
      <c r="B96" s="3">
        <v>40576</v>
      </c>
      <c r="C96" s="2">
        <v>1</v>
      </c>
      <c r="D96" s="2">
        <v>0</v>
      </c>
      <c r="E96" s="2">
        <v>2</v>
      </c>
      <c r="F96" s="2">
        <v>2</v>
      </c>
      <c r="G96" s="2" t="b">
        <v>0</v>
      </c>
      <c r="H96" s="2">
        <v>3</v>
      </c>
      <c r="I96" s="2">
        <v>3</v>
      </c>
      <c r="J96" s="2">
        <v>0.22</v>
      </c>
      <c r="K96" s="2">
        <v>0.2273</v>
      </c>
      <c r="L96" s="2">
        <v>0.93</v>
      </c>
      <c r="M96" s="2">
        <v>0.1343</v>
      </c>
      <c r="N96" s="2">
        <v>4</v>
      </c>
      <c r="O96" s="2">
        <v>0</v>
      </c>
      <c r="P96" s="2">
        <v>4</v>
      </c>
    </row>
    <row r="97" spans="1:16" x14ac:dyDescent="0.3">
      <c r="A97" s="2">
        <v>715</v>
      </c>
      <c r="B97" s="3">
        <v>40576</v>
      </c>
      <c r="C97" s="2">
        <v>1</v>
      </c>
      <c r="D97" s="2">
        <v>0</v>
      </c>
      <c r="E97" s="2">
        <v>2</v>
      </c>
      <c r="F97" s="2">
        <v>3</v>
      </c>
      <c r="G97" s="2" t="b">
        <v>0</v>
      </c>
      <c r="H97" s="2">
        <v>3</v>
      </c>
      <c r="I97" s="2">
        <v>3</v>
      </c>
      <c r="J97" s="2">
        <v>0.22</v>
      </c>
      <c r="K97" s="2">
        <v>0.2273</v>
      </c>
      <c r="L97" s="2">
        <v>0.93</v>
      </c>
      <c r="M97" s="2">
        <v>0.1343</v>
      </c>
      <c r="N97" s="2">
        <v>0</v>
      </c>
      <c r="O97" s="2">
        <v>1</v>
      </c>
      <c r="P97" s="2">
        <v>1</v>
      </c>
    </row>
    <row r="98" spans="1:16" x14ac:dyDescent="0.3">
      <c r="A98" s="2">
        <v>716</v>
      </c>
      <c r="B98" s="3">
        <v>40576</v>
      </c>
      <c r="C98" s="2">
        <v>1</v>
      </c>
      <c r="D98" s="2">
        <v>0</v>
      </c>
      <c r="E98" s="2">
        <v>2</v>
      </c>
      <c r="F98" s="2">
        <v>4</v>
      </c>
      <c r="G98" s="2" t="b">
        <v>0</v>
      </c>
      <c r="H98" s="2">
        <v>3</v>
      </c>
      <c r="I98" s="2">
        <v>3</v>
      </c>
      <c r="J98" s="2">
        <v>0.22</v>
      </c>
      <c r="K98" s="2">
        <v>0.21210000000000001</v>
      </c>
      <c r="L98" s="2">
        <v>0.93</v>
      </c>
      <c r="M98" s="2">
        <v>0.28360000000000002</v>
      </c>
      <c r="N98" s="2">
        <v>0</v>
      </c>
      <c r="O98" s="2">
        <v>1</v>
      </c>
      <c r="P98" s="2">
        <v>1</v>
      </c>
    </row>
    <row r="99" spans="1:16" x14ac:dyDescent="0.3">
      <c r="A99" s="2">
        <v>717</v>
      </c>
      <c r="B99" s="3">
        <v>40576</v>
      </c>
      <c r="C99" s="2">
        <v>1</v>
      </c>
      <c r="D99" s="2">
        <v>0</v>
      </c>
      <c r="E99" s="2">
        <v>2</v>
      </c>
      <c r="F99" s="2">
        <v>5</v>
      </c>
      <c r="G99" s="2" t="b">
        <v>0</v>
      </c>
      <c r="H99" s="2">
        <v>3</v>
      </c>
      <c r="I99" s="2">
        <v>3</v>
      </c>
      <c r="J99" s="2">
        <v>0.22</v>
      </c>
      <c r="K99" s="2">
        <v>0.2424</v>
      </c>
      <c r="L99" s="2">
        <v>0.93</v>
      </c>
      <c r="M99" s="2">
        <v>0.1045</v>
      </c>
      <c r="N99" s="2">
        <v>0</v>
      </c>
      <c r="O99" s="2">
        <v>3</v>
      </c>
      <c r="P99" s="2">
        <v>3</v>
      </c>
    </row>
    <row r="100" spans="1:16" x14ac:dyDescent="0.3">
      <c r="A100" s="2">
        <v>718</v>
      </c>
      <c r="B100" s="3">
        <v>40576</v>
      </c>
      <c r="C100" s="2">
        <v>1</v>
      </c>
      <c r="D100" s="2">
        <v>0</v>
      </c>
      <c r="E100" s="2">
        <v>2</v>
      </c>
      <c r="F100" s="2">
        <v>6</v>
      </c>
      <c r="G100" s="2" t="b">
        <v>0</v>
      </c>
      <c r="H100" s="2">
        <v>3</v>
      </c>
      <c r="I100" s="2">
        <v>3</v>
      </c>
      <c r="J100" s="2">
        <v>0.22</v>
      </c>
      <c r="K100" s="2">
        <v>0.2424</v>
      </c>
      <c r="L100" s="2">
        <v>0.93</v>
      </c>
      <c r="M100" s="2">
        <v>0.1045</v>
      </c>
      <c r="N100" s="2">
        <v>1</v>
      </c>
      <c r="O100" s="2">
        <v>17</v>
      </c>
      <c r="P100" s="2">
        <v>18</v>
      </c>
    </row>
    <row r="101" spans="1:16" x14ac:dyDescent="0.3">
      <c r="A101" s="2">
        <v>719</v>
      </c>
      <c r="B101" s="3">
        <v>40576</v>
      </c>
      <c r="C101" s="2">
        <v>1</v>
      </c>
      <c r="D101" s="2">
        <v>0</v>
      </c>
      <c r="E101" s="2">
        <v>2</v>
      </c>
      <c r="F101" s="2">
        <v>7</v>
      </c>
      <c r="G101" s="2" t="b">
        <v>0</v>
      </c>
      <c r="H101" s="2">
        <v>3</v>
      </c>
      <c r="I101" s="2">
        <v>3</v>
      </c>
      <c r="J101" s="2">
        <v>0.22</v>
      </c>
      <c r="K101" s="2">
        <v>0.21210000000000001</v>
      </c>
      <c r="L101" s="2">
        <v>0.93</v>
      </c>
      <c r="M101" s="2">
        <v>0.22389999999999999</v>
      </c>
      <c r="N101" s="2">
        <v>1</v>
      </c>
      <c r="O101" s="2">
        <v>48</v>
      </c>
      <c r="P101" s="2">
        <v>49</v>
      </c>
    </row>
    <row r="102" spans="1:16" x14ac:dyDescent="0.3">
      <c r="A102" s="2">
        <v>720</v>
      </c>
      <c r="B102" s="3">
        <v>40576</v>
      </c>
      <c r="C102" s="2">
        <v>1</v>
      </c>
      <c r="D102" s="2">
        <v>0</v>
      </c>
      <c r="E102" s="2">
        <v>2</v>
      </c>
      <c r="F102" s="2">
        <v>8</v>
      </c>
      <c r="G102" s="2" t="b">
        <v>0</v>
      </c>
      <c r="H102" s="2">
        <v>3</v>
      </c>
      <c r="I102" s="2">
        <v>3</v>
      </c>
      <c r="J102" s="2">
        <v>0.22</v>
      </c>
      <c r="K102" s="2">
        <v>0.21210000000000001</v>
      </c>
      <c r="L102" s="2">
        <v>0.93</v>
      </c>
      <c r="M102" s="2">
        <v>0.22389999999999999</v>
      </c>
      <c r="N102" s="2">
        <v>1</v>
      </c>
      <c r="O102" s="2">
        <v>154</v>
      </c>
      <c r="P102" s="2">
        <v>155</v>
      </c>
    </row>
    <row r="103" spans="1:16" x14ac:dyDescent="0.3">
      <c r="A103" s="2">
        <v>721</v>
      </c>
      <c r="B103" s="3">
        <v>40576</v>
      </c>
      <c r="C103" s="2">
        <v>1</v>
      </c>
      <c r="D103" s="2">
        <v>0</v>
      </c>
      <c r="E103" s="2">
        <v>2</v>
      </c>
      <c r="F103" s="2">
        <v>9</v>
      </c>
      <c r="G103" s="2" t="b">
        <v>0</v>
      </c>
      <c r="H103" s="2">
        <v>3</v>
      </c>
      <c r="I103" s="2">
        <v>2</v>
      </c>
      <c r="J103" s="2">
        <v>0.24</v>
      </c>
      <c r="K103" s="2">
        <v>0.2576</v>
      </c>
      <c r="L103" s="2">
        <v>0.93</v>
      </c>
      <c r="M103" s="2">
        <v>8.9599999999999999E-2</v>
      </c>
      <c r="N103" s="2">
        <v>4</v>
      </c>
      <c r="O103" s="2">
        <v>119</v>
      </c>
      <c r="P103" s="2">
        <v>123</v>
      </c>
    </row>
    <row r="104" spans="1:16" x14ac:dyDescent="0.3">
      <c r="A104" s="2">
        <v>722</v>
      </c>
      <c r="B104" s="3">
        <v>40576</v>
      </c>
      <c r="C104" s="2">
        <v>1</v>
      </c>
      <c r="D104" s="2">
        <v>0</v>
      </c>
      <c r="E104" s="2">
        <v>2</v>
      </c>
      <c r="F104" s="2">
        <v>10</v>
      </c>
      <c r="G104" s="2" t="b">
        <v>0</v>
      </c>
      <c r="H104" s="2">
        <v>3</v>
      </c>
      <c r="I104" s="2">
        <v>2</v>
      </c>
      <c r="J104" s="2">
        <v>0.22</v>
      </c>
      <c r="K104" s="2">
        <v>0.2727</v>
      </c>
      <c r="L104" s="2">
        <v>1</v>
      </c>
      <c r="M104" s="2">
        <v>0</v>
      </c>
      <c r="N104" s="2">
        <v>2</v>
      </c>
      <c r="O104" s="2">
        <v>59</v>
      </c>
      <c r="P104" s="2">
        <v>61</v>
      </c>
    </row>
    <row r="105" spans="1:16" x14ac:dyDescent="0.3">
      <c r="A105" s="2">
        <v>723</v>
      </c>
      <c r="B105" s="3">
        <v>40576</v>
      </c>
      <c r="C105" s="2">
        <v>1</v>
      </c>
      <c r="D105" s="2">
        <v>0</v>
      </c>
      <c r="E105" s="2">
        <v>2</v>
      </c>
      <c r="F105" s="2">
        <v>11</v>
      </c>
      <c r="G105" s="2" t="b">
        <v>0</v>
      </c>
      <c r="H105" s="2">
        <v>3</v>
      </c>
      <c r="I105" s="2">
        <v>2</v>
      </c>
      <c r="J105" s="2">
        <v>0.24</v>
      </c>
      <c r="K105" s="2">
        <v>0.2273</v>
      </c>
      <c r="L105" s="2">
        <v>0.93</v>
      </c>
      <c r="M105" s="2">
        <v>0.19400000000000001</v>
      </c>
      <c r="N105" s="2">
        <v>5</v>
      </c>
      <c r="O105" s="2">
        <v>47</v>
      </c>
      <c r="P105" s="2">
        <v>52</v>
      </c>
    </row>
    <row r="106" spans="1:16" x14ac:dyDescent="0.3">
      <c r="A106" s="2">
        <v>724</v>
      </c>
      <c r="B106" s="3">
        <v>40576</v>
      </c>
      <c r="C106" s="2">
        <v>1</v>
      </c>
      <c r="D106" s="2">
        <v>0</v>
      </c>
      <c r="E106" s="2">
        <v>2</v>
      </c>
      <c r="F106" s="2">
        <v>12</v>
      </c>
      <c r="G106" s="2" t="b">
        <v>0</v>
      </c>
      <c r="H106" s="2">
        <v>3</v>
      </c>
      <c r="I106" s="2">
        <v>2</v>
      </c>
      <c r="J106" s="2">
        <v>0.24</v>
      </c>
      <c r="K106" s="2">
        <v>0.2273</v>
      </c>
      <c r="L106" s="2">
        <v>0.93</v>
      </c>
      <c r="M106" s="2">
        <v>0.22389999999999999</v>
      </c>
      <c r="N106" s="2">
        <v>3</v>
      </c>
      <c r="O106" s="2">
        <v>61</v>
      </c>
      <c r="P106" s="2">
        <v>64</v>
      </c>
    </row>
    <row r="107" spans="1:16" x14ac:dyDescent="0.3">
      <c r="A107" s="2">
        <v>725</v>
      </c>
      <c r="B107" s="3">
        <v>40576</v>
      </c>
      <c r="C107" s="2">
        <v>1</v>
      </c>
      <c r="D107" s="2">
        <v>0</v>
      </c>
      <c r="E107" s="2">
        <v>2</v>
      </c>
      <c r="F107" s="2">
        <v>13</v>
      </c>
      <c r="G107" s="2" t="b">
        <v>0</v>
      </c>
      <c r="H107" s="2">
        <v>3</v>
      </c>
      <c r="I107" s="2">
        <v>1</v>
      </c>
      <c r="J107" s="2">
        <v>0.34</v>
      </c>
      <c r="K107" s="2">
        <v>0.33329999999999999</v>
      </c>
      <c r="L107" s="2">
        <v>0.93</v>
      </c>
      <c r="M107" s="2">
        <v>0.16420000000000001</v>
      </c>
      <c r="N107" s="2">
        <v>1</v>
      </c>
      <c r="O107" s="2">
        <v>74</v>
      </c>
      <c r="P107" s="2">
        <v>75</v>
      </c>
    </row>
    <row r="108" spans="1:16" x14ac:dyDescent="0.3">
      <c r="A108" s="2">
        <v>726</v>
      </c>
      <c r="B108" s="3">
        <v>40576</v>
      </c>
      <c r="C108" s="2">
        <v>1</v>
      </c>
      <c r="D108" s="2">
        <v>0</v>
      </c>
      <c r="E108" s="2">
        <v>2</v>
      </c>
      <c r="F108" s="2">
        <v>14</v>
      </c>
      <c r="G108" s="2" t="b">
        <v>0</v>
      </c>
      <c r="H108" s="2">
        <v>3</v>
      </c>
      <c r="I108" s="2">
        <v>1</v>
      </c>
      <c r="J108" s="2">
        <v>0.38</v>
      </c>
      <c r="K108" s="2">
        <v>0.39389999999999997</v>
      </c>
      <c r="L108" s="2">
        <v>0.82</v>
      </c>
      <c r="M108" s="2">
        <v>0.3881</v>
      </c>
      <c r="N108" s="2">
        <v>2</v>
      </c>
      <c r="O108" s="2">
        <v>61</v>
      </c>
      <c r="P108" s="2">
        <v>63</v>
      </c>
    </row>
    <row r="109" spans="1:16" x14ac:dyDescent="0.3">
      <c r="A109" s="2">
        <v>727</v>
      </c>
      <c r="B109" s="3">
        <v>40576</v>
      </c>
      <c r="C109" s="2">
        <v>1</v>
      </c>
      <c r="D109" s="2">
        <v>0</v>
      </c>
      <c r="E109" s="2">
        <v>2</v>
      </c>
      <c r="F109" s="2">
        <v>15</v>
      </c>
      <c r="G109" s="2" t="b">
        <v>0</v>
      </c>
      <c r="H109" s="2">
        <v>3</v>
      </c>
      <c r="I109" s="2">
        <v>1</v>
      </c>
      <c r="J109" s="2">
        <v>0.38</v>
      </c>
      <c r="K109" s="2">
        <v>0.39389999999999997</v>
      </c>
      <c r="L109" s="2">
        <v>0.76</v>
      </c>
      <c r="M109" s="2">
        <v>0.32840000000000003</v>
      </c>
      <c r="N109" s="2">
        <v>10</v>
      </c>
      <c r="O109" s="2">
        <v>66</v>
      </c>
      <c r="P109" s="2">
        <v>76</v>
      </c>
    </row>
    <row r="110" spans="1:16" x14ac:dyDescent="0.3">
      <c r="A110" s="2">
        <v>728</v>
      </c>
      <c r="B110" s="3">
        <v>40576</v>
      </c>
      <c r="C110" s="2">
        <v>1</v>
      </c>
      <c r="D110" s="2">
        <v>0</v>
      </c>
      <c r="E110" s="2">
        <v>2</v>
      </c>
      <c r="F110" s="2">
        <v>16</v>
      </c>
      <c r="G110" s="2" t="b">
        <v>0</v>
      </c>
      <c r="H110" s="2">
        <v>3</v>
      </c>
      <c r="I110" s="2">
        <v>1</v>
      </c>
      <c r="J110" s="2">
        <v>0.36</v>
      </c>
      <c r="K110" s="2">
        <v>0.33329999999999999</v>
      </c>
      <c r="L110" s="2">
        <v>0.71</v>
      </c>
      <c r="M110" s="2">
        <v>0.29849999999999999</v>
      </c>
      <c r="N110" s="2">
        <v>8</v>
      </c>
      <c r="O110" s="2">
        <v>95</v>
      </c>
      <c r="P110" s="2">
        <v>103</v>
      </c>
    </row>
    <row r="111" spans="1:16" x14ac:dyDescent="0.3">
      <c r="A111" s="2">
        <v>729</v>
      </c>
      <c r="B111" s="3">
        <v>40576</v>
      </c>
      <c r="C111" s="2">
        <v>1</v>
      </c>
      <c r="D111" s="2">
        <v>0</v>
      </c>
      <c r="E111" s="2">
        <v>2</v>
      </c>
      <c r="F111" s="2">
        <v>17</v>
      </c>
      <c r="G111" s="2" t="b">
        <v>0</v>
      </c>
      <c r="H111" s="2">
        <v>3</v>
      </c>
      <c r="I111" s="2">
        <v>1</v>
      </c>
      <c r="J111" s="2">
        <v>0.36</v>
      </c>
      <c r="K111" s="2">
        <v>0.31819999999999998</v>
      </c>
      <c r="L111" s="2">
        <v>0.53</v>
      </c>
      <c r="M111" s="2">
        <v>0.52239999999999998</v>
      </c>
      <c r="N111" s="2">
        <v>7</v>
      </c>
      <c r="O111" s="2">
        <v>183</v>
      </c>
      <c r="P111" s="2">
        <v>190</v>
      </c>
    </row>
    <row r="112" spans="1:16" x14ac:dyDescent="0.3">
      <c r="A112" s="2">
        <v>730</v>
      </c>
      <c r="B112" s="3">
        <v>40576</v>
      </c>
      <c r="C112" s="2">
        <v>1</v>
      </c>
      <c r="D112" s="2">
        <v>0</v>
      </c>
      <c r="E112" s="2">
        <v>2</v>
      </c>
      <c r="F112" s="2">
        <v>18</v>
      </c>
      <c r="G112" s="2" t="b">
        <v>0</v>
      </c>
      <c r="H112" s="2">
        <v>3</v>
      </c>
      <c r="I112" s="2">
        <v>1</v>
      </c>
      <c r="J112" s="2">
        <v>0.34</v>
      </c>
      <c r="K112" s="2">
        <v>0.28789999999999999</v>
      </c>
      <c r="L112" s="2">
        <v>0.42</v>
      </c>
      <c r="M112" s="2">
        <v>0.55220000000000002</v>
      </c>
      <c r="N112" s="2">
        <v>7</v>
      </c>
      <c r="O112" s="2">
        <v>175</v>
      </c>
      <c r="P112" s="2">
        <v>182</v>
      </c>
    </row>
    <row r="113" spans="1:16" x14ac:dyDescent="0.3">
      <c r="A113" s="2">
        <v>731</v>
      </c>
      <c r="B113" s="3">
        <v>40576</v>
      </c>
      <c r="C113" s="2">
        <v>1</v>
      </c>
      <c r="D113" s="2">
        <v>0</v>
      </c>
      <c r="E113" s="2">
        <v>2</v>
      </c>
      <c r="F113" s="2">
        <v>19</v>
      </c>
      <c r="G113" s="2" t="b">
        <v>0</v>
      </c>
      <c r="H113" s="2">
        <v>3</v>
      </c>
      <c r="I113" s="2">
        <v>1</v>
      </c>
      <c r="J113" s="2">
        <v>0.28000000000000003</v>
      </c>
      <c r="K113" s="2">
        <v>0.2424</v>
      </c>
      <c r="L113" s="2">
        <v>0.45</v>
      </c>
      <c r="M113" s="2">
        <v>0.49249999999999999</v>
      </c>
      <c r="N113" s="2">
        <v>3</v>
      </c>
      <c r="O113" s="2">
        <v>88</v>
      </c>
      <c r="P113" s="2">
        <v>91</v>
      </c>
    </row>
    <row r="114" spans="1:16" x14ac:dyDescent="0.3">
      <c r="A114" s="2">
        <v>732</v>
      </c>
      <c r="B114" s="3">
        <v>40576</v>
      </c>
      <c r="C114" s="2">
        <v>1</v>
      </c>
      <c r="D114" s="2">
        <v>0</v>
      </c>
      <c r="E114" s="2">
        <v>2</v>
      </c>
      <c r="F114" s="2">
        <v>20</v>
      </c>
      <c r="G114" s="2" t="b">
        <v>0</v>
      </c>
      <c r="H114" s="2">
        <v>3</v>
      </c>
      <c r="I114" s="2">
        <v>1</v>
      </c>
      <c r="J114" s="2">
        <v>0.24</v>
      </c>
      <c r="K114" s="2">
        <v>0.19700000000000001</v>
      </c>
      <c r="L114" s="2">
        <v>0.48</v>
      </c>
      <c r="M114" s="2">
        <v>0.55220000000000002</v>
      </c>
      <c r="N114" s="2">
        <v>4</v>
      </c>
      <c r="O114" s="2">
        <v>71</v>
      </c>
      <c r="P114" s="2">
        <v>75</v>
      </c>
    </row>
    <row r="115" spans="1:16" x14ac:dyDescent="0.3">
      <c r="A115" s="2">
        <v>733</v>
      </c>
      <c r="B115" s="3">
        <v>40576</v>
      </c>
      <c r="C115" s="2">
        <v>1</v>
      </c>
      <c r="D115" s="2">
        <v>0</v>
      </c>
      <c r="E115" s="2">
        <v>2</v>
      </c>
      <c r="F115" s="2">
        <v>21</v>
      </c>
      <c r="G115" s="2" t="b">
        <v>0</v>
      </c>
      <c r="H115" s="2">
        <v>3</v>
      </c>
      <c r="I115" s="2">
        <v>1</v>
      </c>
      <c r="J115" s="2">
        <v>0.22</v>
      </c>
      <c r="K115" s="2">
        <v>0.19700000000000001</v>
      </c>
      <c r="L115" s="2">
        <v>0.47</v>
      </c>
      <c r="M115" s="2">
        <v>0.32840000000000003</v>
      </c>
      <c r="N115" s="2">
        <v>1</v>
      </c>
      <c r="O115" s="2">
        <v>62</v>
      </c>
      <c r="P115" s="2">
        <v>63</v>
      </c>
    </row>
    <row r="116" spans="1:16" x14ac:dyDescent="0.3">
      <c r="A116" s="2">
        <v>734</v>
      </c>
      <c r="B116" s="3">
        <v>40576</v>
      </c>
      <c r="C116" s="2">
        <v>1</v>
      </c>
      <c r="D116" s="2">
        <v>0</v>
      </c>
      <c r="E116" s="2">
        <v>2</v>
      </c>
      <c r="F116" s="2">
        <v>22</v>
      </c>
      <c r="G116" s="2" t="b">
        <v>0</v>
      </c>
      <c r="H116" s="2">
        <v>3</v>
      </c>
      <c r="I116" s="2">
        <v>1</v>
      </c>
      <c r="J116" s="2">
        <v>0.22</v>
      </c>
      <c r="K116" s="2">
        <v>0.21210000000000001</v>
      </c>
      <c r="L116" s="2">
        <v>0.44</v>
      </c>
      <c r="M116" s="2">
        <v>0.25369999999999998</v>
      </c>
      <c r="N116" s="2">
        <v>5</v>
      </c>
      <c r="O116" s="2">
        <v>35</v>
      </c>
      <c r="P116" s="2">
        <v>40</v>
      </c>
    </row>
    <row r="117" spans="1:16" x14ac:dyDescent="0.3">
      <c r="A117" s="2">
        <v>735</v>
      </c>
      <c r="B117" s="3">
        <v>40576</v>
      </c>
      <c r="C117" s="2">
        <v>1</v>
      </c>
      <c r="D117" s="2">
        <v>0</v>
      </c>
      <c r="E117" s="2">
        <v>2</v>
      </c>
      <c r="F117" s="2">
        <v>23</v>
      </c>
      <c r="G117" s="2" t="b">
        <v>0</v>
      </c>
      <c r="H117" s="2">
        <v>3</v>
      </c>
      <c r="I117" s="2">
        <v>1</v>
      </c>
      <c r="J117" s="2">
        <v>0.2</v>
      </c>
      <c r="K117" s="2">
        <v>0.16669999999999999</v>
      </c>
      <c r="L117" s="2">
        <v>0.44</v>
      </c>
      <c r="M117" s="2">
        <v>0.44779999999999998</v>
      </c>
      <c r="N117" s="2">
        <v>3</v>
      </c>
      <c r="O117" s="2">
        <v>29</v>
      </c>
      <c r="P117" s="2">
        <v>32</v>
      </c>
    </row>
    <row r="118" spans="1:16" x14ac:dyDescent="0.3">
      <c r="A118" s="2">
        <v>736</v>
      </c>
      <c r="B118" s="3">
        <v>40577</v>
      </c>
      <c r="C118" s="2">
        <v>1</v>
      </c>
      <c r="D118" s="2">
        <v>0</v>
      </c>
      <c r="E118" s="2">
        <v>2</v>
      </c>
      <c r="F118" s="2">
        <v>0</v>
      </c>
      <c r="G118" s="2" t="b">
        <v>0</v>
      </c>
      <c r="H118" s="2">
        <v>4</v>
      </c>
      <c r="I118" s="2">
        <v>1</v>
      </c>
      <c r="J118" s="2">
        <v>0.2</v>
      </c>
      <c r="K118" s="2">
        <v>0.16669999999999999</v>
      </c>
      <c r="L118" s="2">
        <v>0.4</v>
      </c>
      <c r="M118" s="2">
        <v>0.44779999999999998</v>
      </c>
      <c r="N118" s="2">
        <v>1</v>
      </c>
      <c r="O118" s="2">
        <v>11</v>
      </c>
      <c r="P118" s="2">
        <v>12</v>
      </c>
    </row>
    <row r="119" spans="1:16" x14ac:dyDescent="0.3">
      <c r="A119" s="2">
        <v>737</v>
      </c>
      <c r="B119" s="3">
        <v>40577</v>
      </c>
      <c r="C119" s="2">
        <v>1</v>
      </c>
      <c r="D119" s="2">
        <v>0</v>
      </c>
      <c r="E119" s="2">
        <v>2</v>
      </c>
      <c r="F119" s="2">
        <v>1</v>
      </c>
      <c r="G119" s="2" t="b">
        <v>0</v>
      </c>
      <c r="H119" s="2">
        <v>4</v>
      </c>
      <c r="I119" s="2">
        <v>1</v>
      </c>
      <c r="J119" s="2">
        <v>0.2</v>
      </c>
      <c r="K119" s="2">
        <v>0.1515</v>
      </c>
      <c r="L119" s="2">
        <v>0.44</v>
      </c>
      <c r="M119" s="2">
        <v>0.52239999999999998</v>
      </c>
      <c r="N119" s="2">
        <v>0</v>
      </c>
      <c r="O119" s="2">
        <v>5</v>
      </c>
      <c r="P119" s="2">
        <v>5</v>
      </c>
    </row>
    <row r="120" spans="1:16" x14ac:dyDescent="0.3">
      <c r="A120" s="2">
        <v>738</v>
      </c>
      <c r="B120" s="3">
        <v>40577</v>
      </c>
      <c r="C120" s="2">
        <v>1</v>
      </c>
      <c r="D120" s="2">
        <v>0</v>
      </c>
      <c r="E120" s="2">
        <v>2</v>
      </c>
      <c r="F120" s="2">
        <v>2</v>
      </c>
      <c r="G120" s="2" t="b">
        <v>0</v>
      </c>
      <c r="H120" s="2">
        <v>4</v>
      </c>
      <c r="I120" s="2">
        <v>1</v>
      </c>
      <c r="J120" s="2">
        <v>0.18</v>
      </c>
      <c r="K120" s="2">
        <v>0.16669999999999999</v>
      </c>
      <c r="L120" s="2">
        <v>0.43</v>
      </c>
      <c r="M120" s="2">
        <v>0.25369999999999998</v>
      </c>
      <c r="N120" s="2">
        <v>0</v>
      </c>
      <c r="O120" s="2">
        <v>2</v>
      </c>
      <c r="P120" s="2">
        <v>2</v>
      </c>
    </row>
    <row r="121" spans="1:16" x14ac:dyDescent="0.3">
      <c r="A121" s="2">
        <v>739</v>
      </c>
      <c r="B121" s="3">
        <v>40577</v>
      </c>
      <c r="C121" s="2">
        <v>1</v>
      </c>
      <c r="D121" s="2">
        <v>0</v>
      </c>
      <c r="E121" s="2">
        <v>2</v>
      </c>
      <c r="F121" s="2">
        <v>3</v>
      </c>
      <c r="G121" s="2" t="b">
        <v>0</v>
      </c>
      <c r="H121" s="2">
        <v>4</v>
      </c>
      <c r="I121" s="2">
        <v>1</v>
      </c>
      <c r="J121" s="2">
        <v>0.18</v>
      </c>
      <c r="K121" s="2">
        <v>0.16669999999999999</v>
      </c>
      <c r="L121" s="2">
        <v>0.43</v>
      </c>
      <c r="M121" s="2">
        <v>0.25369999999999998</v>
      </c>
      <c r="N121" s="2">
        <v>0</v>
      </c>
      <c r="O121" s="2">
        <v>1</v>
      </c>
      <c r="P121" s="2">
        <v>1</v>
      </c>
    </row>
    <row r="122" spans="1:16" x14ac:dyDescent="0.3">
      <c r="A122" s="2">
        <v>740</v>
      </c>
      <c r="B122" s="3">
        <v>40577</v>
      </c>
      <c r="C122" s="2">
        <v>1</v>
      </c>
      <c r="D122" s="2">
        <v>0</v>
      </c>
      <c r="E122" s="2">
        <v>2</v>
      </c>
      <c r="F122" s="2">
        <v>5</v>
      </c>
      <c r="G122" s="2" t="b">
        <v>0</v>
      </c>
      <c r="H122" s="2">
        <v>4</v>
      </c>
      <c r="I122" s="2">
        <v>1</v>
      </c>
      <c r="J122" s="2">
        <v>0.16</v>
      </c>
      <c r="K122" s="2">
        <v>0.13639999999999999</v>
      </c>
      <c r="L122" s="2">
        <v>0.5</v>
      </c>
      <c r="M122" s="2">
        <v>0.29849999999999999</v>
      </c>
      <c r="N122" s="2">
        <v>0</v>
      </c>
      <c r="O122" s="2">
        <v>2</v>
      </c>
      <c r="P122" s="2">
        <v>2</v>
      </c>
    </row>
    <row r="123" spans="1:16" x14ac:dyDescent="0.3">
      <c r="A123" s="2">
        <v>741</v>
      </c>
      <c r="B123" s="3">
        <v>40577</v>
      </c>
      <c r="C123" s="2">
        <v>1</v>
      </c>
      <c r="D123" s="2">
        <v>0</v>
      </c>
      <c r="E123" s="2">
        <v>2</v>
      </c>
      <c r="F123" s="2">
        <v>6</v>
      </c>
      <c r="G123" s="2" t="b">
        <v>0</v>
      </c>
      <c r="H123" s="2">
        <v>4</v>
      </c>
      <c r="I123" s="2">
        <v>1</v>
      </c>
      <c r="J123" s="2">
        <v>0.16</v>
      </c>
      <c r="K123" s="2">
        <v>0.13639999999999999</v>
      </c>
      <c r="L123" s="2">
        <v>0.43</v>
      </c>
      <c r="M123" s="2">
        <v>0.35820000000000002</v>
      </c>
      <c r="N123" s="2">
        <v>0</v>
      </c>
      <c r="O123" s="2">
        <v>39</v>
      </c>
      <c r="P123" s="2">
        <v>39</v>
      </c>
    </row>
    <row r="124" spans="1:16" x14ac:dyDescent="0.3">
      <c r="A124" s="2">
        <v>742</v>
      </c>
      <c r="B124" s="3">
        <v>40577</v>
      </c>
      <c r="C124" s="2">
        <v>1</v>
      </c>
      <c r="D124" s="2">
        <v>0</v>
      </c>
      <c r="E124" s="2">
        <v>2</v>
      </c>
      <c r="F124" s="2">
        <v>7</v>
      </c>
      <c r="G124" s="2" t="b">
        <v>0</v>
      </c>
      <c r="H124" s="2">
        <v>4</v>
      </c>
      <c r="I124" s="2">
        <v>1</v>
      </c>
      <c r="J124" s="2">
        <v>0.14000000000000001</v>
      </c>
      <c r="K124" s="2">
        <v>0.1212</v>
      </c>
      <c r="L124" s="2">
        <v>0.5</v>
      </c>
      <c r="M124" s="2">
        <v>0.32840000000000003</v>
      </c>
      <c r="N124" s="2">
        <v>1</v>
      </c>
      <c r="O124" s="2">
        <v>86</v>
      </c>
      <c r="P124" s="2">
        <v>87</v>
      </c>
    </row>
    <row r="125" spans="1:16" x14ac:dyDescent="0.3">
      <c r="A125" s="2">
        <v>743</v>
      </c>
      <c r="B125" s="3">
        <v>40577</v>
      </c>
      <c r="C125" s="2">
        <v>1</v>
      </c>
      <c r="D125" s="2">
        <v>0</v>
      </c>
      <c r="E125" s="2">
        <v>2</v>
      </c>
      <c r="F125" s="2">
        <v>8</v>
      </c>
      <c r="G125" s="2" t="b">
        <v>0</v>
      </c>
      <c r="H125" s="2">
        <v>4</v>
      </c>
      <c r="I125" s="2">
        <v>1</v>
      </c>
      <c r="J125" s="2">
        <v>0.14000000000000001</v>
      </c>
      <c r="K125" s="2">
        <v>0.1212</v>
      </c>
      <c r="L125" s="2">
        <v>0.5</v>
      </c>
      <c r="M125" s="2">
        <v>0.35820000000000002</v>
      </c>
      <c r="N125" s="2">
        <v>4</v>
      </c>
      <c r="O125" s="2">
        <v>184</v>
      </c>
      <c r="P125" s="2">
        <v>188</v>
      </c>
    </row>
    <row r="126" spans="1:16" x14ac:dyDescent="0.3">
      <c r="A126" s="2">
        <v>744</v>
      </c>
      <c r="B126" s="3">
        <v>40577</v>
      </c>
      <c r="C126" s="2">
        <v>1</v>
      </c>
      <c r="D126" s="2">
        <v>0</v>
      </c>
      <c r="E126" s="2">
        <v>2</v>
      </c>
      <c r="F126" s="2">
        <v>9</v>
      </c>
      <c r="G126" s="2" t="b">
        <v>0</v>
      </c>
      <c r="H126" s="2">
        <v>4</v>
      </c>
      <c r="I126" s="2">
        <v>1</v>
      </c>
      <c r="J126" s="2">
        <v>0.16</v>
      </c>
      <c r="K126" s="2">
        <v>0.13639999999999999</v>
      </c>
      <c r="L126" s="2">
        <v>0.47</v>
      </c>
      <c r="M126" s="2">
        <v>0.29849999999999999</v>
      </c>
      <c r="N126" s="2">
        <v>6</v>
      </c>
      <c r="O126" s="2">
        <v>127</v>
      </c>
      <c r="P126" s="2">
        <v>133</v>
      </c>
    </row>
    <row r="127" spans="1:16" x14ac:dyDescent="0.3">
      <c r="A127" s="2">
        <v>745</v>
      </c>
      <c r="B127" s="3">
        <v>40577</v>
      </c>
      <c r="C127" s="2">
        <v>1</v>
      </c>
      <c r="D127" s="2">
        <v>0</v>
      </c>
      <c r="E127" s="2">
        <v>2</v>
      </c>
      <c r="F127" s="2">
        <v>10</v>
      </c>
      <c r="G127" s="2" t="b">
        <v>0</v>
      </c>
      <c r="H127" s="2">
        <v>4</v>
      </c>
      <c r="I127" s="2">
        <v>1</v>
      </c>
      <c r="J127" s="2">
        <v>0.18</v>
      </c>
      <c r="K127" s="2">
        <v>0.1515</v>
      </c>
      <c r="L127" s="2">
        <v>0.43</v>
      </c>
      <c r="M127" s="2">
        <v>0.32840000000000003</v>
      </c>
      <c r="N127" s="2">
        <v>2</v>
      </c>
      <c r="O127" s="2">
        <v>50</v>
      </c>
      <c r="P127" s="2">
        <v>52</v>
      </c>
    </row>
    <row r="128" spans="1:16" x14ac:dyDescent="0.3">
      <c r="A128" s="2">
        <v>746</v>
      </c>
      <c r="B128" s="3">
        <v>40577</v>
      </c>
      <c r="C128" s="2">
        <v>1</v>
      </c>
      <c r="D128" s="2">
        <v>0</v>
      </c>
      <c r="E128" s="2">
        <v>2</v>
      </c>
      <c r="F128" s="2">
        <v>11</v>
      </c>
      <c r="G128" s="2" t="b">
        <v>0</v>
      </c>
      <c r="H128" s="2">
        <v>4</v>
      </c>
      <c r="I128" s="2">
        <v>1</v>
      </c>
      <c r="J128" s="2">
        <v>0.18</v>
      </c>
      <c r="K128" s="2">
        <v>0.13639999999999999</v>
      </c>
      <c r="L128" s="2">
        <v>0.43</v>
      </c>
      <c r="M128" s="2">
        <v>0.44779999999999998</v>
      </c>
      <c r="N128" s="2">
        <v>9</v>
      </c>
      <c r="O128" s="2">
        <v>55</v>
      </c>
      <c r="P128" s="2">
        <v>64</v>
      </c>
    </row>
    <row r="129" spans="1:16" x14ac:dyDescent="0.3">
      <c r="A129" s="2">
        <v>747</v>
      </c>
      <c r="B129" s="3">
        <v>40577</v>
      </c>
      <c r="C129" s="2">
        <v>1</v>
      </c>
      <c r="D129" s="2">
        <v>0</v>
      </c>
      <c r="E129" s="2">
        <v>2</v>
      </c>
      <c r="F129" s="2">
        <v>12</v>
      </c>
      <c r="G129" s="2" t="b">
        <v>0</v>
      </c>
      <c r="H129" s="2">
        <v>4</v>
      </c>
      <c r="I129" s="2">
        <v>1</v>
      </c>
      <c r="J129" s="2">
        <v>0.2</v>
      </c>
      <c r="K129" s="2">
        <v>0.18179999999999999</v>
      </c>
      <c r="L129" s="2">
        <v>0.4</v>
      </c>
      <c r="M129" s="2">
        <v>0.35820000000000002</v>
      </c>
      <c r="N129" s="2">
        <v>2</v>
      </c>
      <c r="O129" s="2">
        <v>67</v>
      </c>
      <c r="P129" s="2">
        <v>69</v>
      </c>
    </row>
    <row r="130" spans="1:16" x14ac:dyDescent="0.3">
      <c r="A130" s="2">
        <v>748</v>
      </c>
      <c r="B130" s="3">
        <v>40577</v>
      </c>
      <c r="C130" s="2">
        <v>1</v>
      </c>
      <c r="D130" s="2">
        <v>0</v>
      </c>
      <c r="E130" s="2">
        <v>2</v>
      </c>
      <c r="F130" s="2">
        <v>13</v>
      </c>
      <c r="G130" s="2" t="b">
        <v>0</v>
      </c>
      <c r="H130" s="2">
        <v>4</v>
      </c>
      <c r="I130" s="2">
        <v>1</v>
      </c>
      <c r="J130" s="2">
        <v>0.2</v>
      </c>
      <c r="K130" s="2">
        <v>0.16669999999999999</v>
      </c>
      <c r="L130" s="2">
        <v>0.4</v>
      </c>
      <c r="M130" s="2">
        <v>0.41789999999999999</v>
      </c>
      <c r="N130" s="2">
        <v>4</v>
      </c>
      <c r="O130" s="2">
        <v>47</v>
      </c>
      <c r="P130" s="2">
        <v>51</v>
      </c>
    </row>
    <row r="131" spans="1:16" x14ac:dyDescent="0.3">
      <c r="A131" s="2">
        <v>749</v>
      </c>
      <c r="B131" s="3">
        <v>40577</v>
      </c>
      <c r="C131" s="2">
        <v>1</v>
      </c>
      <c r="D131" s="2">
        <v>0</v>
      </c>
      <c r="E131" s="2">
        <v>2</v>
      </c>
      <c r="F131" s="2">
        <v>14</v>
      </c>
      <c r="G131" s="2" t="b">
        <v>0</v>
      </c>
      <c r="H131" s="2">
        <v>4</v>
      </c>
      <c r="I131" s="2">
        <v>1</v>
      </c>
      <c r="J131" s="2">
        <v>0.22</v>
      </c>
      <c r="K131" s="2">
        <v>0.19700000000000001</v>
      </c>
      <c r="L131" s="2">
        <v>0.37</v>
      </c>
      <c r="M131" s="2">
        <v>0.3881</v>
      </c>
      <c r="N131" s="2">
        <v>4</v>
      </c>
      <c r="O131" s="2">
        <v>43</v>
      </c>
      <c r="P131" s="2">
        <v>47</v>
      </c>
    </row>
    <row r="132" spans="1:16" x14ac:dyDescent="0.3">
      <c r="A132" s="2">
        <v>750</v>
      </c>
      <c r="B132" s="3">
        <v>40577</v>
      </c>
      <c r="C132" s="2">
        <v>1</v>
      </c>
      <c r="D132" s="2">
        <v>0</v>
      </c>
      <c r="E132" s="2">
        <v>2</v>
      </c>
      <c r="F132" s="2">
        <v>15</v>
      </c>
      <c r="G132" s="2" t="b">
        <v>0</v>
      </c>
      <c r="H132" s="2">
        <v>4</v>
      </c>
      <c r="I132" s="2">
        <v>1</v>
      </c>
      <c r="J132" s="2">
        <v>0.22</v>
      </c>
      <c r="K132" s="2">
        <v>0.19700000000000001</v>
      </c>
      <c r="L132" s="2">
        <v>0.37</v>
      </c>
      <c r="M132" s="2">
        <v>0.32840000000000003</v>
      </c>
      <c r="N132" s="2">
        <v>4</v>
      </c>
      <c r="O132" s="2">
        <v>56</v>
      </c>
      <c r="P132" s="2">
        <v>60</v>
      </c>
    </row>
    <row r="133" spans="1:16" x14ac:dyDescent="0.3">
      <c r="A133" s="2">
        <v>751</v>
      </c>
      <c r="B133" s="3">
        <v>40577</v>
      </c>
      <c r="C133" s="2">
        <v>1</v>
      </c>
      <c r="D133" s="2">
        <v>0</v>
      </c>
      <c r="E133" s="2">
        <v>2</v>
      </c>
      <c r="F133" s="2">
        <v>16</v>
      </c>
      <c r="G133" s="2" t="b">
        <v>0</v>
      </c>
      <c r="H133" s="2">
        <v>4</v>
      </c>
      <c r="I133" s="2">
        <v>1</v>
      </c>
      <c r="J133" s="2">
        <v>0.22</v>
      </c>
      <c r="K133" s="2">
        <v>0.21210000000000001</v>
      </c>
      <c r="L133" s="2">
        <v>0.37</v>
      </c>
      <c r="M133" s="2">
        <v>0.25369999999999998</v>
      </c>
      <c r="N133" s="2">
        <v>5</v>
      </c>
      <c r="O133" s="2">
        <v>73</v>
      </c>
      <c r="P133" s="2">
        <v>78</v>
      </c>
    </row>
    <row r="134" spans="1:16" x14ac:dyDescent="0.3">
      <c r="A134" s="2">
        <v>752</v>
      </c>
      <c r="B134" s="3">
        <v>40577</v>
      </c>
      <c r="C134" s="2">
        <v>1</v>
      </c>
      <c r="D134" s="2">
        <v>0</v>
      </c>
      <c r="E134" s="2">
        <v>2</v>
      </c>
      <c r="F134" s="2">
        <v>17</v>
      </c>
      <c r="G134" s="2" t="b">
        <v>0</v>
      </c>
      <c r="H134" s="2">
        <v>4</v>
      </c>
      <c r="I134" s="2">
        <v>1</v>
      </c>
      <c r="J134" s="2">
        <v>0.2</v>
      </c>
      <c r="K134" s="2">
        <v>0.19700000000000001</v>
      </c>
      <c r="L134" s="2">
        <v>0.4</v>
      </c>
      <c r="M134" s="2">
        <v>0.19400000000000001</v>
      </c>
      <c r="N134" s="2">
        <v>5</v>
      </c>
      <c r="O134" s="2">
        <v>170</v>
      </c>
      <c r="P134" s="2">
        <v>175</v>
      </c>
    </row>
    <row r="135" spans="1:16" x14ac:dyDescent="0.3">
      <c r="A135" s="2">
        <v>753</v>
      </c>
      <c r="B135" s="3">
        <v>40577</v>
      </c>
      <c r="C135" s="2">
        <v>1</v>
      </c>
      <c r="D135" s="2">
        <v>0</v>
      </c>
      <c r="E135" s="2">
        <v>2</v>
      </c>
      <c r="F135" s="2">
        <v>18</v>
      </c>
      <c r="G135" s="2" t="b">
        <v>0</v>
      </c>
      <c r="H135" s="2">
        <v>4</v>
      </c>
      <c r="I135" s="2">
        <v>1</v>
      </c>
      <c r="J135" s="2">
        <v>0.2</v>
      </c>
      <c r="K135" s="2">
        <v>0.21210000000000001</v>
      </c>
      <c r="L135" s="2">
        <v>0.4</v>
      </c>
      <c r="M135" s="2">
        <v>0.16420000000000001</v>
      </c>
      <c r="N135" s="2">
        <v>2</v>
      </c>
      <c r="O135" s="2">
        <v>145</v>
      </c>
      <c r="P135" s="2">
        <v>147</v>
      </c>
    </row>
    <row r="136" spans="1:16" x14ac:dyDescent="0.3">
      <c r="A136" s="2">
        <v>754</v>
      </c>
      <c r="B136" s="3">
        <v>40577</v>
      </c>
      <c r="C136" s="2">
        <v>1</v>
      </c>
      <c r="D136" s="2">
        <v>0</v>
      </c>
      <c r="E136" s="2">
        <v>2</v>
      </c>
      <c r="F136" s="2">
        <v>19</v>
      </c>
      <c r="G136" s="2" t="b">
        <v>0</v>
      </c>
      <c r="H136" s="2">
        <v>4</v>
      </c>
      <c r="I136" s="2">
        <v>1</v>
      </c>
      <c r="J136" s="2">
        <v>0.2</v>
      </c>
      <c r="K136" s="2">
        <v>0.2576</v>
      </c>
      <c r="L136" s="2">
        <v>0.4</v>
      </c>
      <c r="M136" s="2">
        <v>0</v>
      </c>
      <c r="N136" s="2">
        <v>4</v>
      </c>
      <c r="O136" s="2">
        <v>92</v>
      </c>
      <c r="P136" s="2">
        <v>96</v>
      </c>
    </row>
    <row r="137" spans="1:16" x14ac:dyDescent="0.3">
      <c r="A137" s="2">
        <v>755</v>
      </c>
      <c r="B137" s="3">
        <v>40577</v>
      </c>
      <c r="C137" s="2">
        <v>1</v>
      </c>
      <c r="D137" s="2">
        <v>0</v>
      </c>
      <c r="E137" s="2">
        <v>2</v>
      </c>
      <c r="F137" s="2">
        <v>20</v>
      </c>
      <c r="G137" s="2" t="b">
        <v>0</v>
      </c>
      <c r="H137" s="2">
        <v>4</v>
      </c>
      <c r="I137" s="2">
        <v>1</v>
      </c>
      <c r="J137" s="2">
        <v>0.2</v>
      </c>
      <c r="K137" s="2">
        <v>0.2273</v>
      </c>
      <c r="L137" s="2">
        <v>0.47</v>
      </c>
      <c r="M137" s="2">
        <v>8.9599999999999999E-2</v>
      </c>
      <c r="N137" s="2">
        <v>1</v>
      </c>
      <c r="O137" s="2">
        <v>108</v>
      </c>
      <c r="P137" s="2">
        <v>109</v>
      </c>
    </row>
    <row r="138" spans="1:16" x14ac:dyDescent="0.3">
      <c r="A138" s="2">
        <v>756</v>
      </c>
      <c r="B138" s="3">
        <v>40577</v>
      </c>
      <c r="C138" s="2">
        <v>1</v>
      </c>
      <c r="D138" s="2">
        <v>0</v>
      </c>
      <c r="E138" s="2">
        <v>2</v>
      </c>
      <c r="F138" s="2">
        <v>21</v>
      </c>
      <c r="G138" s="2" t="b">
        <v>0</v>
      </c>
      <c r="H138" s="2">
        <v>4</v>
      </c>
      <c r="I138" s="2">
        <v>1</v>
      </c>
      <c r="J138" s="2">
        <v>0.18</v>
      </c>
      <c r="K138" s="2">
        <v>0.21210000000000001</v>
      </c>
      <c r="L138" s="2">
        <v>0.55000000000000004</v>
      </c>
      <c r="M138" s="2">
        <v>0.1045</v>
      </c>
      <c r="N138" s="2">
        <v>1</v>
      </c>
      <c r="O138" s="2">
        <v>53</v>
      </c>
      <c r="P138" s="2">
        <v>54</v>
      </c>
    </row>
    <row r="139" spans="1:16" x14ac:dyDescent="0.3">
      <c r="A139" s="2">
        <v>757</v>
      </c>
      <c r="B139" s="3">
        <v>40577</v>
      </c>
      <c r="C139" s="2">
        <v>1</v>
      </c>
      <c r="D139" s="2">
        <v>0</v>
      </c>
      <c r="E139" s="2">
        <v>2</v>
      </c>
      <c r="F139" s="2">
        <v>22</v>
      </c>
      <c r="G139" s="2" t="b">
        <v>0</v>
      </c>
      <c r="H139" s="2">
        <v>4</v>
      </c>
      <c r="I139" s="2">
        <v>1</v>
      </c>
      <c r="J139" s="2">
        <v>0.18</v>
      </c>
      <c r="K139" s="2">
        <v>0.21210000000000001</v>
      </c>
      <c r="L139" s="2">
        <v>0.51</v>
      </c>
      <c r="M139" s="2">
        <v>8.9599999999999999E-2</v>
      </c>
      <c r="N139" s="2">
        <v>2</v>
      </c>
      <c r="O139" s="2">
        <v>39</v>
      </c>
      <c r="P139" s="2">
        <v>41</v>
      </c>
    </row>
    <row r="140" spans="1:16" x14ac:dyDescent="0.3">
      <c r="A140" s="2">
        <v>758</v>
      </c>
      <c r="B140" s="3">
        <v>40577</v>
      </c>
      <c r="C140" s="2">
        <v>1</v>
      </c>
      <c r="D140" s="2">
        <v>0</v>
      </c>
      <c r="E140" s="2">
        <v>2</v>
      </c>
      <c r="F140" s="2">
        <v>23</v>
      </c>
      <c r="G140" s="2" t="b">
        <v>0</v>
      </c>
      <c r="H140" s="2">
        <v>4</v>
      </c>
      <c r="I140" s="2">
        <v>1</v>
      </c>
      <c r="J140" s="2">
        <v>0.2</v>
      </c>
      <c r="K140" s="2">
        <v>0.2273</v>
      </c>
      <c r="L140" s="2">
        <v>0.47</v>
      </c>
      <c r="M140" s="2">
        <v>0.1045</v>
      </c>
      <c r="N140" s="2">
        <v>4</v>
      </c>
      <c r="O140" s="2">
        <v>34</v>
      </c>
      <c r="P140" s="2">
        <v>38</v>
      </c>
    </row>
    <row r="141" spans="1:16" x14ac:dyDescent="0.3">
      <c r="A141" s="2">
        <v>759</v>
      </c>
      <c r="B141" s="3">
        <v>40578</v>
      </c>
      <c r="C141" s="2">
        <v>1</v>
      </c>
      <c r="D141" s="2">
        <v>0</v>
      </c>
      <c r="E141" s="2">
        <v>2</v>
      </c>
      <c r="F141" s="2">
        <v>0</v>
      </c>
      <c r="G141" s="2" t="b">
        <v>0</v>
      </c>
      <c r="H141" s="2">
        <v>5</v>
      </c>
      <c r="I141" s="2">
        <v>2</v>
      </c>
      <c r="J141" s="2">
        <v>0.2</v>
      </c>
      <c r="K141" s="2">
        <v>0.2576</v>
      </c>
      <c r="L141" s="2">
        <v>0.44</v>
      </c>
      <c r="M141" s="2">
        <v>0</v>
      </c>
      <c r="N141" s="2">
        <v>3</v>
      </c>
      <c r="O141" s="2">
        <v>10</v>
      </c>
      <c r="P141" s="2">
        <v>13</v>
      </c>
    </row>
    <row r="142" spans="1:16" x14ac:dyDescent="0.3">
      <c r="A142" s="2">
        <v>760</v>
      </c>
      <c r="B142" s="3">
        <v>40578</v>
      </c>
      <c r="C142" s="2">
        <v>1</v>
      </c>
      <c r="D142" s="2">
        <v>0</v>
      </c>
      <c r="E142" s="2">
        <v>2</v>
      </c>
      <c r="F142" s="2">
        <v>1</v>
      </c>
      <c r="G142" s="2" t="b">
        <v>0</v>
      </c>
      <c r="H142" s="2">
        <v>5</v>
      </c>
      <c r="I142" s="2">
        <v>2</v>
      </c>
      <c r="J142" s="2">
        <v>0.16</v>
      </c>
      <c r="K142" s="2">
        <v>0.2273</v>
      </c>
      <c r="L142" s="2">
        <v>0.59</v>
      </c>
      <c r="M142" s="2">
        <v>0</v>
      </c>
      <c r="N142" s="2">
        <v>0</v>
      </c>
      <c r="O142" s="2">
        <v>7</v>
      </c>
      <c r="P142" s="2">
        <v>7</v>
      </c>
    </row>
    <row r="143" spans="1:16" x14ac:dyDescent="0.3">
      <c r="A143" s="2">
        <v>761</v>
      </c>
      <c r="B143" s="3">
        <v>40578</v>
      </c>
      <c r="C143" s="2">
        <v>1</v>
      </c>
      <c r="D143" s="2">
        <v>0</v>
      </c>
      <c r="E143" s="2">
        <v>2</v>
      </c>
      <c r="F143" s="2">
        <v>2</v>
      </c>
      <c r="G143" s="2" t="b">
        <v>0</v>
      </c>
      <c r="H143" s="2">
        <v>5</v>
      </c>
      <c r="I143" s="2">
        <v>2</v>
      </c>
      <c r="J143" s="2">
        <v>0.14000000000000001</v>
      </c>
      <c r="K143" s="2">
        <v>0.16669999999999999</v>
      </c>
      <c r="L143" s="2">
        <v>0.63</v>
      </c>
      <c r="M143" s="2">
        <v>0.1045</v>
      </c>
      <c r="N143" s="2">
        <v>0</v>
      </c>
      <c r="O143" s="2">
        <v>1</v>
      </c>
      <c r="P143" s="2">
        <v>1</v>
      </c>
    </row>
    <row r="144" spans="1:16" x14ac:dyDescent="0.3">
      <c r="A144" s="2">
        <v>762</v>
      </c>
      <c r="B144" s="3">
        <v>40578</v>
      </c>
      <c r="C144" s="2">
        <v>1</v>
      </c>
      <c r="D144" s="2">
        <v>0</v>
      </c>
      <c r="E144" s="2">
        <v>2</v>
      </c>
      <c r="F144" s="2">
        <v>3</v>
      </c>
      <c r="G144" s="2" t="b">
        <v>0</v>
      </c>
      <c r="H144" s="2">
        <v>5</v>
      </c>
      <c r="I144" s="2">
        <v>2</v>
      </c>
      <c r="J144" s="2">
        <v>0.14000000000000001</v>
      </c>
      <c r="K144" s="2">
        <v>0.16669999999999999</v>
      </c>
      <c r="L144" s="2">
        <v>0.63</v>
      </c>
      <c r="M144" s="2">
        <v>0.1045</v>
      </c>
      <c r="N144" s="2">
        <v>0</v>
      </c>
      <c r="O144" s="2">
        <v>1</v>
      </c>
      <c r="P144" s="2">
        <v>1</v>
      </c>
    </row>
    <row r="145" spans="1:16" x14ac:dyDescent="0.3">
      <c r="A145" s="2">
        <v>763</v>
      </c>
      <c r="B145" s="3">
        <v>40578</v>
      </c>
      <c r="C145" s="2">
        <v>1</v>
      </c>
      <c r="D145" s="2">
        <v>0</v>
      </c>
      <c r="E145" s="2">
        <v>2</v>
      </c>
      <c r="F145" s="2">
        <v>5</v>
      </c>
      <c r="G145" s="2" t="b">
        <v>0</v>
      </c>
      <c r="H145" s="2">
        <v>5</v>
      </c>
      <c r="I145" s="2">
        <v>2</v>
      </c>
      <c r="J145" s="2">
        <v>0.14000000000000001</v>
      </c>
      <c r="K145" s="2">
        <v>0.1515</v>
      </c>
      <c r="L145" s="2">
        <v>0.63</v>
      </c>
      <c r="M145" s="2">
        <v>0.1343</v>
      </c>
      <c r="N145" s="2">
        <v>0</v>
      </c>
      <c r="O145" s="2">
        <v>7</v>
      </c>
      <c r="P145" s="2">
        <v>7</v>
      </c>
    </row>
    <row r="146" spans="1:16" x14ac:dyDescent="0.3">
      <c r="A146" s="2">
        <v>764</v>
      </c>
      <c r="B146" s="3">
        <v>40578</v>
      </c>
      <c r="C146" s="2">
        <v>1</v>
      </c>
      <c r="D146" s="2">
        <v>0</v>
      </c>
      <c r="E146" s="2">
        <v>2</v>
      </c>
      <c r="F146" s="2">
        <v>6</v>
      </c>
      <c r="G146" s="2" t="b">
        <v>0</v>
      </c>
      <c r="H146" s="2">
        <v>5</v>
      </c>
      <c r="I146" s="2">
        <v>2</v>
      </c>
      <c r="J146" s="2">
        <v>0.16</v>
      </c>
      <c r="K146" s="2">
        <v>0.2273</v>
      </c>
      <c r="L146" s="2">
        <v>0.55000000000000004</v>
      </c>
      <c r="M146" s="2">
        <v>0</v>
      </c>
      <c r="N146" s="2">
        <v>2</v>
      </c>
      <c r="O146" s="2">
        <v>26</v>
      </c>
      <c r="P146" s="2">
        <v>28</v>
      </c>
    </row>
    <row r="147" spans="1:16" x14ac:dyDescent="0.3">
      <c r="A147" s="2">
        <v>765</v>
      </c>
      <c r="B147" s="3">
        <v>40578</v>
      </c>
      <c r="C147" s="2">
        <v>1</v>
      </c>
      <c r="D147" s="2">
        <v>0</v>
      </c>
      <c r="E147" s="2">
        <v>2</v>
      </c>
      <c r="F147" s="2">
        <v>7</v>
      </c>
      <c r="G147" s="2" t="b">
        <v>0</v>
      </c>
      <c r="H147" s="2">
        <v>5</v>
      </c>
      <c r="I147" s="2">
        <v>1</v>
      </c>
      <c r="J147" s="2">
        <v>0.14000000000000001</v>
      </c>
      <c r="K147" s="2">
        <v>0.21210000000000001</v>
      </c>
      <c r="L147" s="2">
        <v>0.59</v>
      </c>
      <c r="M147" s="2">
        <v>0</v>
      </c>
      <c r="N147" s="2">
        <v>0</v>
      </c>
      <c r="O147" s="2">
        <v>87</v>
      </c>
      <c r="P147" s="2">
        <v>87</v>
      </c>
    </row>
    <row r="148" spans="1:16" x14ac:dyDescent="0.3">
      <c r="A148" s="2">
        <v>766</v>
      </c>
      <c r="B148" s="3">
        <v>40578</v>
      </c>
      <c r="C148" s="2">
        <v>1</v>
      </c>
      <c r="D148" s="2">
        <v>0</v>
      </c>
      <c r="E148" s="2">
        <v>2</v>
      </c>
      <c r="F148" s="2">
        <v>8</v>
      </c>
      <c r="G148" s="2" t="b">
        <v>0</v>
      </c>
      <c r="H148" s="2">
        <v>5</v>
      </c>
      <c r="I148" s="2">
        <v>1</v>
      </c>
      <c r="J148" s="2">
        <v>0.14000000000000001</v>
      </c>
      <c r="K148" s="2">
        <v>0.1515</v>
      </c>
      <c r="L148" s="2">
        <v>0.74</v>
      </c>
      <c r="M148" s="2">
        <v>0.1343</v>
      </c>
      <c r="N148" s="2">
        <v>3</v>
      </c>
      <c r="O148" s="2">
        <v>217</v>
      </c>
      <c r="P148" s="2">
        <v>220</v>
      </c>
    </row>
    <row r="149" spans="1:16" x14ac:dyDescent="0.3">
      <c r="A149" s="2">
        <v>767</v>
      </c>
      <c r="B149" s="3">
        <v>40578</v>
      </c>
      <c r="C149" s="2">
        <v>1</v>
      </c>
      <c r="D149" s="2">
        <v>0</v>
      </c>
      <c r="E149" s="2">
        <v>2</v>
      </c>
      <c r="F149" s="2">
        <v>9</v>
      </c>
      <c r="G149" s="2" t="b">
        <v>0</v>
      </c>
      <c r="H149" s="2">
        <v>5</v>
      </c>
      <c r="I149" s="2">
        <v>2</v>
      </c>
      <c r="J149" s="2">
        <v>0.16</v>
      </c>
      <c r="K149" s="2">
        <v>0.18179999999999999</v>
      </c>
      <c r="L149" s="2">
        <v>0.8</v>
      </c>
      <c r="M149" s="2">
        <v>0.1343</v>
      </c>
      <c r="N149" s="2">
        <v>3</v>
      </c>
      <c r="O149" s="2">
        <v>124</v>
      </c>
      <c r="P149" s="2">
        <v>127</v>
      </c>
    </row>
    <row r="150" spans="1:16" x14ac:dyDescent="0.3">
      <c r="A150" s="2">
        <v>768</v>
      </c>
      <c r="B150" s="3">
        <v>40578</v>
      </c>
      <c r="C150" s="2">
        <v>1</v>
      </c>
      <c r="D150" s="2">
        <v>0</v>
      </c>
      <c r="E150" s="2">
        <v>2</v>
      </c>
      <c r="F150" s="2">
        <v>10</v>
      </c>
      <c r="G150" s="2" t="b">
        <v>0</v>
      </c>
      <c r="H150" s="2">
        <v>5</v>
      </c>
      <c r="I150" s="2">
        <v>2</v>
      </c>
      <c r="J150" s="2">
        <v>0.2</v>
      </c>
      <c r="K150" s="2">
        <v>0.21210000000000001</v>
      </c>
      <c r="L150" s="2">
        <v>0.51</v>
      </c>
      <c r="M150" s="2">
        <v>0.1343</v>
      </c>
      <c r="N150" s="2">
        <v>5</v>
      </c>
      <c r="O150" s="2">
        <v>46</v>
      </c>
      <c r="P150" s="2">
        <v>51</v>
      </c>
    </row>
    <row r="151" spans="1:16" x14ac:dyDescent="0.3">
      <c r="A151" s="2">
        <v>769</v>
      </c>
      <c r="B151" s="3">
        <v>40578</v>
      </c>
      <c r="C151" s="2">
        <v>1</v>
      </c>
      <c r="D151" s="2">
        <v>0</v>
      </c>
      <c r="E151" s="2">
        <v>2</v>
      </c>
      <c r="F151" s="2">
        <v>11</v>
      </c>
      <c r="G151" s="2" t="b">
        <v>0</v>
      </c>
      <c r="H151" s="2">
        <v>5</v>
      </c>
      <c r="I151" s="2">
        <v>1</v>
      </c>
      <c r="J151" s="2">
        <v>0.22</v>
      </c>
      <c r="K151" s="2">
        <v>0.2273</v>
      </c>
      <c r="L151" s="2">
        <v>0.51</v>
      </c>
      <c r="M151" s="2">
        <v>0.16420000000000001</v>
      </c>
      <c r="N151" s="2">
        <v>3</v>
      </c>
      <c r="O151" s="2">
        <v>61</v>
      </c>
      <c r="P151" s="2">
        <v>64</v>
      </c>
    </row>
    <row r="152" spans="1:16" x14ac:dyDescent="0.3">
      <c r="A152" s="2">
        <v>770</v>
      </c>
      <c r="B152" s="3">
        <v>40578</v>
      </c>
      <c r="C152" s="2">
        <v>1</v>
      </c>
      <c r="D152" s="2">
        <v>0</v>
      </c>
      <c r="E152" s="2">
        <v>2</v>
      </c>
      <c r="F152" s="2">
        <v>12</v>
      </c>
      <c r="G152" s="2" t="b">
        <v>0</v>
      </c>
      <c r="H152" s="2">
        <v>5</v>
      </c>
      <c r="I152" s="2">
        <v>2</v>
      </c>
      <c r="J152" s="2">
        <v>0.24</v>
      </c>
      <c r="K152" s="2">
        <v>0.2424</v>
      </c>
      <c r="L152" s="2">
        <v>0.48</v>
      </c>
      <c r="M152" s="2">
        <v>0.16420000000000001</v>
      </c>
      <c r="N152" s="2">
        <v>8</v>
      </c>
      <c r="O152" s="2">
        <v>78</v>
      </c>
      <c r="P152" s="2">
        <v>86</v>
      </c>
    </row>
    <row r="153" spans="1:16" x14ac:dyDescent="0.3">
      <c r="A153" s="2">
        <v>771</v>
      </c>
      <c r="B153" s="3">
        <v>40578</v>
      </c>
      <c r="C153" s="2">
        <v>1</v>
      </c>
      <c r="D153" s="2">
        <v>0</v>
      </c>
      <c r="E153" s="2">
        <v>2</v>
      </c>
      <c r="F153" s="2">
        <v>13</v>
      </c>
      <c r="G153" s="2" t="b">
        <v>0</v>
      </c>
      <c r="H153" s="2">
        <v>5</v>
      </c>
      <c r="I153" s="2">
        <v>2</v>
      </c>
      <c r="J153" s="2">
        <v>0.26</v>
      </c>
      <c r="K153" s="2">
        <v>0.2576</v>
      </c>
      <c r="L153" s="2">
        <v>0.5</v>
      </c>
      <c r="M153" s="2">
        <v>0.22389999999999999</v>
      </c>
      <c r="N153" s="2">
        <v>9</v>
      </c>
      <c r="O153" s="2">
        <v>73</v>
      </c>
      <c r="P153" s="2">
        <v>82</v>
      </c>
    </row>
    <row r="154" spans="1:16" x14ac:dyDescent="0.3">
      <c r="A154" s="2">
        <v>772</v>
      </c>
      <c r="B154" s="3">
        <v>40578</v>
      </c>
      <c r="C154" s="2">
        <v>1</v>
      </c>
      <c r="D154" s="2">
        <v>0</v>
      </c>
      <c r="E154" s="2">
        <v>2</v>
      </c>
      <c r="F154" s="2">
        <v>14</v>
      </c>
      <c r="G154" s="2" t="b">
        <v>0</v>
      </c>
      <c r="H154" s="2">
        <v>5</v>
      </c>
      <c r="I154" s="2">
        <v>2</v>
      </c>
      <c r="J154" s="2">
        <v>0.28000000000000003</v>
      </c>
      <c r="K154" s="2">
        <v>0.2727</v>
      </c>
      <c r="L154" s="2">
        <v>0.45</v>
      </c>
      <c r="M154" s="2">
        <v>0.16420000000000001</v>
      </c>
      <c r="N154" s="2">
        <v>15</v>
      </c>
      <c r="O154" s="2">
        <v>76</v>
      </c>
      <c r="P154" s="2">
        <v>91</v>
      </c>
    </row>
    <row r="155" spans="1:16" x14ac:dyDescent="0.3">
      <c r="A155" s="2">
        <v>773</v>
      </c>
      <c r="B155" s="3">
        <v>40578</v>
      </c>
      <c r="C155" s="2">
        <v>1</v>
      </c>
      <c r="D155" s="2">
        <v>0</v>
      </c>
      <c r="E155" s="2">
        <v>2</v>
      </c>
      <c r="F155" s="2">
        <v>15</v>
      </c>
      <c r="G155" s="2" t="b">
        <v>0</v>
      </c>
      <c r="H155" s="2">
        <v>5</v>
      </c>
      <c r="I155" s="2">
        <v>2</v>
      </c>
      <c r="J155" s="2">
        <v>0.28000000000000003</v>
      </c>
      <c r="K155" s="2">
        <v>0.2727</v>
      </c>
      <c r="L155" s="2">
        <v>0.48</v>
      </c>
      <c r="M155" s="2">
        <v>0.25369999999999998</v>
      </c>
      <c r="N155" s="2">
        <v>9</v>
      </c>
      <c r="O155" s="2">
        <v>81</v>
      </c>
      <c r="P155" s="2">
        <v>90</v>
      </c>
    </row>
    <row r="156" spans="1:16" x14ac:dyDescent="0.3">
      <c r="A156" s="2">
        <v>774</v>
      </c>
      <c r="B156" s="3">
        <v>40578</v>
      </c>
      <c r="C156" s="2">
        <v>1</v>
      </c>
      <c r="D156" s="2">
        <v>0</v>
      </c>
      <c r="E156" s="2">
        <v>2</v>
      </c>
      <c r="F156" s="2">
        <v>16</v>
      </c>
      <c r="G156" s="2" t="b">
        <v>0</v>
      </c>
      <c r="H156" s="2">
        <v>5</v>
      </c>
      <c r="I156" s="2">
        <v>2</v>
      </c>
      <c r="J156" s="2">
        <v>0.3</v>
      </c>
      <c r="K156" s="2">
        <v>0.28789999999999999</v>
      </c>
      <c r="L156" s="2">
        <v>0.42</v>
      </c>
      <c r="M156" s="2">
        <v>0.22389999999999999</v>
      </c>
      <c r="N156" s="2">
        <v>8</v>
      </c>
      <c r="O156" s="2">
        <v>91</v>
      </c>
      <c r="P156" s="2">
        <v>99</v>
      </c>
    </row>
    <row r="157" spans="1:16" x14ac:dyDescent="0.3">
      <c r="A157" s="2">
        <v>775</v>
      </c>
      <c r="B157" s="3">
        <v>40578</v>
      </c>
      <c r="C157" s="2">
        <v>1</v>
      </c>
      <c r="D157" s="2">
        <v>0</v>
      </c>
      <c r="E157" s="2">
        <v>2</v>
      </c>
      <c r="F157" s="2">
        <v>17</v>
      </c>
      <c r="G157" s="2" t="b">
        <v>0</v>
      </c>
      <c r="H157" s="2">
        <v>5</v>
      </c>
      <c r="I157" s="2">
        <v>2</v>
      </c>
      <c r="J157" s="2">
        <v>0.26</v>
      </c>
      <c r="K157" s="2">
        <v>0.2727</v>
      </c>
      <c r="L157" s="2">
        <v>0.56000000000000005</v>
      </c>
      <c r="M157" s="2">
        <v>0.1343</v>
      </c>
      <c r="N157" s="2">
        <v>10</v>
      </c>
      <c r="O157" s="2">
        <v>195</v>
      </c>
      <c r="P157" s="2">
        <v>205</v>
      </c>
    </row>
    <row r="158" spans="1:16" x14ac:dyDescent="0.3">
      <c r="A158" s="2">
        <v>776</v>
      </c>
      <c r="B158" s="3">
        <v>40578</v>
      </c>
      <c r="C158" s="2">
        <v>1</v>
      </c>
      <c r="D158" s="2">
        <v>0</v>
      </c>
      <c r="E158" s="2">
        <v>2</v>
      </c>
      <c r="F158" s="2">
        <v>18</v>
      </c>
      <c r="G158" s="2" t="b">
        <v>0</v>
      </c>
      <c r="H158" s="2">
        <v>5</v>
      </c>
      <c r="I158" s="2">
        <v>2</v>
      </c>
      <c r="J158" s="2">
        <v>0.24</v>
      </c>
      <c r="K158" s="2">
        <v>0.2576</v>
      </c>
      <c r="L158" s="2">
        <v>0.6</v>
      </c>
      <c r="M158" s="2">
        <v>0.1045</v>
      </c>
      <c r="N158" s="2">
        <v>3</v>
      </c>
      <c r="O158" s="2">
        <v>152</v>
      </c>
      <c r="P158" s="2">
        <v>155</v>
      </c>
    </row>
    <row r="159" spans="1:16" x14ac:dyDescent="0.3">
      <c r="A159" s="2">
        <v>777</v>
      </c>
      <c r="B159" s="3">
        <v>40578</v>
      </c>
      <c r="C159" s="2">
        <v>1</v>
      </c>
      <c r="D159" s="2">
        <v>0</v>
      </c>
      <c r="E159" s="2">
        <v>2</v>
      </c>
      <c r="F159" s="2">
        <v>19</v>
      </c>
      <c r="G159" s="2" t="b">
        <v>0</v>
      </c>
      <c r="H159" s="2">
        <v>5</v>
      </c>
      <c r="I159" s="2">
        <v>2</v>
      </c>
      <c r="J159" s="2">
        <v>0.24</v>
      </c>
      <c r="K159" s="2">
        <v>0.2424</v>
      </c>
      <c r="L159" s="2">
        <v>0.65</v>
      </c>
      <c r="M159" s="2">
        <v>0.1343</v>
      </c>
      <c r="N159" s="2">
        <v>1</v>
      </c>
      <c r="O159" s="2">
        <v>102</v>
      </c>
      <c r="P159" s="2">
        <v>103</v>
      </c>
    </row>
    <row r="160" spans="1:16" x14ac:dyDescent="0.3">
      <c r="A160" s="2">
        <v>778</v>
      </c>
      <c r="B160" s="3">
        <v>40578</v>
      </c>
      <c r="C160" s="2">
        <v>1</v>
      </c>
      <c r="D160" s="2">
        <v>0</v>
      </c>
      <c r="E160" s="2">
        <v>2</v>
      </c>
      <c r="F160" s="2">
        <v>20</v>
      </c>
      <c r="G160" s="2" t="b">
        <v>0</v>
      </c>
      <c r="H160" s="2">
        <v>5</v>
      </c>
      <c r="I160" s="2">
        <v>2</v>
      </c>
      <c r="J160" s="2">
        <v>0.24</v>
      </c>
      <c r="K160" s="2">
        <v>0.2424</v>
      </c>
      <c r="L160" s="2">
        <v>0.65</v>
      </c>
      <c r="M160" s="2">
        <v>0.16420000000000001</v>
      </c>
      <c r="N160" s="2">
        <v>2</v>
      </c>
      <c r="O160" s="2">
        <v>69</v>
      </c>
      <c r="P160" s="2">
        <v>71</v>
      </c>
    </row>
    <row r="161" spans="1:16" x14ac:dyDescent="0.3">
      <c r="A161" s="2">
        <v>779</v>
      </c>
      <c r="B161" s="3">
        <v>40578</v>
      </c>
      <c r="C161" s="2">
        <v>1</v>
      </c>
      <c r="D161" s="2">
        <v>0</v>
      </c>
      <c r="E161" s="2">
        <v>2</v>
      </c>
      <c r="F161" s="2">
        <v>21</v>
      </c>
      <c r="G161" s="2" t="b">
        <v>0</v>
      </c>
      <c r="H161" s="2">
        <v>5</v>
      </c>
      <c r="I161" s="2">
        <v>2</v>
      </c>
      <c r="J161" s="2">
        <v>0.24</v>
      </c>
      <c r="K161" s="2">
        <v>0.2424</v>
      </c>
      <c r="L161" s="2">
        <v>0.7</v>
      </c>
      <c r="M161" s="2">
        <v>0.16420000000000001</v>
      </c>
      <c r="N161" s="2">
        <v>2</v>
      </c>
      <c r="O161" s="2">
        <v>41</v>
      </c>
      <c r="P161" s="2">
        <v>43</v>
      </c>
    </row>
    <row r="162" spans="1:16" x14ac:dyDescent="0.3">
      <c r="A162" s="2">
        <v>780</v>
      </c>
      <c r="B162" s="3">
        <v>40578</v>
      </c>
      <c r="C162" s="2">
        <v>1</v>
      </c>
      <c r="D162" s="2">
        <v>0</v>
      </c>
      <c r="E162" s="2">
        <v>2</v>
      </c>
      <c r="F162" s="2">
        <v>22</v>
      </c>
      <c r="G162" s="2" t="b">
        <v>0</v>
      </c>
      <c r="H162" s="2">
        <v>5</v>
      </c>
      <c r="I162" s="2">
        <v>2</v>
      </c>
      <c r="J162" s="2">
        <v>0.24</v>
      </c>
      <c r="K162" s="2">
        <v>0.2424</v>
      </c>
      <c r="L162" s="2">
        <v>0.65</v>
      </c>
      <c r="M162" s="2">
        <v>0.16420000000000001</v>
      </c>
      <c r="N162" s="2">
        <v>1</v>
      </c>
      <c r="O162" s="2">
        <v>45</v>
      </c>
      <c r="P162" s="2">
        <v>46</v>
      </c>
    </row>
    <row r="163" spans="1:16" x14ac:dyDescent="0.3">
      <c r="A163" s="2">
        <v>781</v>
      </c>
      <c r="B163" s="3">
        <v>40578</v>
      </c>
      <c r="C163" s="2">
        <v>1</v>
      </c>
      <c r="D163" s="2">
        <v>0</v>
      </c>
      <c r="E163" s="2">
        <v>2</v>
      </c>
      <c r="F163" s="2">
        <v>23</v>
      </c>
      <c r="G163" s="2" t="b">
        <v>0</v>
      </c>
      <c r="H163" s="2">
        <v>5</v>
      </c>
      <c r="I163" s="2">
        <v>2</v>
      </c>
      <c r="J163" s="2">
        <v>0.24</v>
      </c>
      <c r="K163" s="2">
        <v>0.2424</v>
      </c>
      <c r="L163" s="2">
        <v>0.7</v>
      </c>
      <c r="M163" s="2">
        <v>0.1343</v>
      </c>
      <c r="N163" s="2">
        <v>1</v>
      </c>
      <c r="O163" s="2">
        <v>30</v>
      </c>
      <c r="P163" s="2">
        <v>31</v>
      </c>
    </row>
    <row r="164" spans="1:16" x14ac:dyDescent="0.3">
      <c r="A164" s="2">
        <v>782</v>
      </c>
      <c r="B164" s="3">
        <v>40579</v>
      </c>
      <c r="C164" s="2">
        <v>1</v>
      </c>
      <c r="D164" s="2">
        <v>0</v>
      </c>
      <c r="E164" s="2">
        <v>2</v>
      </c>
      <c r="F164" s="2">
        <v>0</v>
      </c>
      <c r="G164" s="2" t="b">
        <v>0</v>
      </c>
      <c r="H164" s="2">
        <v>6</v>
      </c>
      <c r="I164" s="2">
        <v>2</v>
      </c>
      <c r="J164" s="2">
        <v>0.24</v>
      </c>
      <c r="K164" s="2">
        <v>0.2424</v>
      </c>
      <c r="L164" s="2">
        <v>0.7</v>
      </c>
      <c r="M164" s="2">
        <v>0.16420000000000001</v>
      </c>
      <c r="N164" s="2">
        <v>3</v>
      </c>
      <c r="O164" s="2">
        <v>36</v>
      </c>
      <c r="P164" s="2">
        <v>39</v>
      </c>
    </row>
    <row r="165" spans="1:16" x14ac:dyDescent="0.3">
      <c r="A165" s="2">
        <v>783</v>
      </c>
      <c r="B165" s="3">
        <v>40579</v>
      </c>
      <c r="C165" s="2">
        <v>1</v>
      </c>
      <c r="D165" s="2">
        <v>0</v>
      </c>
      <c r="E165" s="2">
        <v>2</v>
      </c>
      <c r="F165" s="2">
        <v>1</v>
      </c>
      <c r="G165" s="2" t="b">
        <v>0</v>
      </c>
      <c r="H165" s="2">
        <v>6</v>
      </c>
      <c r="I165" s="2">
        <v>2</v>
      </c>
      <c r="J165" s="2">
        <v>0.24</v>
      </c>
      <c r="K165" s="2">
        <v>0.2424</v>
      </c>
      <c r="L165" s="2">
        <v>0.65</v>
      </c>
      <c r="M165" s="2">
        <v>0.16420000000000001</v>
      </c>
      <c r="N165" s="2">
        <v>1</v>
      </c>
      <c r="O165" s="2">
        <v>17</v>
      </c>
      <c r="P165" s="2">
        <v>18</v>
      </c>
    </row>
    <row r="166" spans="1:16" x14ac:dyDescent="0.3">
      <c r="A166" s="2">
        <v>784</v>
      </c>
      <c r="B166" s="3">
        <v>40579</v>
      </c>
      <c r="C166" s="2">
        <v>1</v>
      </c>
      <c r="D166" s="2">
        <v>0</v>
      </c>
      <c r="E166" s="2">
        <v>2</v>
      </c>
      <c r="F166" s="2">
        <v>2</v>
      </c>
      <c r="G166" s="2" t="b">
        <v>0</v>
      </c>
      <c r="H166" s="2">
        <v>6</v>
      </c>
      <c r="I166" s="2">
        <v>2</v>
      </c>
      <c r="J166" s="2">
        <v>0.24</v>
      </c>
      <c r="K166" s="2">
        <v>0.2424</v>
      </c>
      <c r="L166" s="2">
        <v>0.75</v>
      </c>
      <c r="M166" s="2">
        <v>0.16420000000000001</v>
      </c>
      <c r="N166" s="2">
        <v>5</v>
      </c>
      <c r="O166" s="2">
        <v>12</v>
      </c>
      <c r="P166" s="2">
        <v>17</v>
      </c>
    </row>
    <row r="167" spans="1:16" x14ac:dyDescent="0.3">
      <c r="A167" s="2">
        <v>785</v>
      </c>
      <c r="B167" s="3">
        <v>40579</v>
      </c>
      <c r="C167" s="2">
        <v>1</v>
      </c>
      <c r="D167" s="2">
        <v>0</v>
      </c>
      <c r="E167" s="2">
        <v>2</v>
      </c>
      <c r="F167" s="2">
        <v>3</v>
      </c>
      <c r="G167" s="2" t="b">
        <v>0</v>
      </c>
      <c r="H167" s="2">
        <v>6</v>
      </c>
      <c r="I167" s="2">
        <v>2</v>
      </c>
      <c r="J167" s="2">
        <v>0.24</v>
      </c>
      <c r="K167" s="2">
        <v>0.2424</v>
      </c>
      <c r="L167" s="2">
        <v>0.75</v>
      </c>
      <c r="M167" s="2">
        <v>0.16420000000000001</v>
      </c>
      <c r="N167" s="2">
        <v>1</v>
      </c>
      <c r="O167" s="2">
        <v>10</v>
      </c>
      <c r="P167" s="2">
        <v>11</v>
      </c>
    </row>
    <row r="168" spans="1:16" x14ac:dyDescent="0.3">
      <c r="A168" s="2">
        <v>786</v>
      </c>
      <c r="B168" s="3">
        <v>40579</v>
      </c>
      <c r="C168" s="2">
        <v>1</v>
      </c>
      <c r="D168" s="2">
        <v>0</v>
      </c>
      <c r="E168" s="2">
        <v>2</v>
      </c>
      <c r="F168" s="2">
        <v>4</v>
      </c>
      <c r="G168" s="2" t="b">
        <v>0</v>
      </c>
      <c r="H168" s="2">
        <v>6</v>
      </c>
      <c r="I168" s="2">
        <v>3</v>
      </c>
      <c r="J168" s="2">
        <v>0.22</v>
      </c>
      <c r="K168" s="2">
        <v>0.2273</v>
      </c>
      <c r="L168" s="2">
        <v>0.93</v>
      </c>
      <c r="M168" s="2">
        <v>0.1343</v>
      </c>
      <c r="N168" s="2">
        <v>0</v>
      </c>
      <c r="O168" s="2">
        <v>8</v>
      </c>
      <c r="P168" s="2">
        <v>8</v>
      </c>
    </row>
    <row r="169" spans="1:16" x14ac:dyDescent="0.3">
      <c r="A169" s="2">
        <v>787</v>
      </c>
      <c r="B169" s="3">
        <v>40579</v>
      </c>
      <c r="C169" s="2">
        <v>1</v>
      </c>
      <c r="D169" s="2">
        <v>0</v>
      </c>
      <c r="E169" s="2">
        <v>2</v>
      </c>
      <c r="F169" s="2">
        <v>5</v>
      </c>
      <c r="G169" s="2" t="b">
        <v>0</v>
      </c>
      <c r="H169" s="2">
        <v>6</v>
      </c>
      <c r="I169" s="2">
        <v>3</v>
      </c>
      <c r="J169" s="2">
        <v>0.2</v>
      </c>
      <c r="K169" s="2">
        <v>0.2273</v>
      </c>
      <c r="L169" s="2">
        <v>1</v>
      </c>
      <c r="M169" s="2">
        <v>8.9599999999999999E-2</v>
      </c>
      <c r="N169" s="2">
        <v>0</v>
      </c>
      <c r="O169" s="2">
        <v>9</v>
      </c>
      <c r="P169" s="2">
        <v>9</v>
      </c>
    </row>
    <row r="170" spans="1:16" x14ac:dyDescent="0.3">
      <c r="A170" s="2">
        <v>788</v>
      </c>
      <c r="B170" s="3">
        <v>40579</v>
      </c>
      <c r="C170" s="2">
        <v>1</v>
      </c>
      <c r="D170" s="2">
        <v>0</v>
      </c>
      <c r="E170" s="2">
        <v>2</v>
      </c>
      <c r="F170" s="2">
        <v>6</v>
      </c>
      <c r="G170" s="2" t="b">
        <v>0</v>
      </c>
      <c r="H170" s="2">
        <v>6</v>
      </c>
      <c r="I170" s="2">
        <v>3</v>
      </c>
      <c r="J170" s="2">
        <v>0.2</v>
      </c>
      <c r="K170" s="2">
        <v>0.2576</v>
      </c>
      <c r="L170" s="2">
        <v>1</v>
      </c>
      <c r="M170" s="2">
        <v>0</v>
      </c>
      <c r="N170" s="2">
        <v>0</v>
      </c>
      <c r="O170" s="2">
        <v>4</v>
      </c>
      <c r="P170" s="2">
        <v>4</v>
      </c>
    </row>
    <row r="171" spans="1:16" x14ac:dyDescent="0.3">
      <c r="A171" s="2">
        <v>789</v>
      </c>
      <c r="B171" s="3">
        <v>40579</v>
      </c>
      <c r="C171" s="2">
        <v>1</v>
      </c>
      <c r="D171" s="2">
        <v>0</v>
      </c>
      <c r="E171" s="2">
        <v>2</v>
      </c>
      <c r="F171" s="2">
        <v>7</v>
      </c>
      <c r="G171" s="2" t="b">
        <v>0</v>
      </c>
      <c r="H171" s="2">
        <v>6</v>
      </c>
      <c r="I171" s="2">
        <v>3</v>
      </c>
      <c r="J171" s="2">
        <v>0.22</v>
      </c>
      <c r="K171" s="2">
        <v>0.2576</v>
      </c>
      <c r="L171" s="2">
        <v>0.93</v>
      </c>
      <c r="M171" s="2">
        <v>8.9599999999999999E-2</v>
      </c>
      <c r="N171" s="2">
        <v>0</v>
      </c>
      <c r="O171" s="2">
        <v>4</v>
      </c>
      <c r="P171" s="2">
        <v>4</v>
      </c>
    </row>
    <row r="172" spans="1:16" x14ac:dyDescent="0.3">
      <c r="A172" s="2">
        <v>790</v>
      </c>
      <c r="B172" s="3">
        <v>40579</v>
      </c>
      <c r="C172" s="2">
        <v>1</v>
      </c>
      <c r="D172" s="2">
        <v>0</v>
      </c>
      <c r="E172" s="2">
        <v>2</v>
      </c>
      <c r="F172" s="2">
        <v>8</v>
      </c>
      <c r="G172" s="2" t="b">
        <v>0</v>
      </c>
      <c r="H172" s="2">
        <v>6</v>
      </c>
      <c r="I172" s="2">
        <v>3</v>
      </c>
      <c r="J172" s="2">
        <v>0.2</v>
      </c>
      <c r="K172" s="2">
        <v>0.2273</v>
      </c>
      <c r="L172" s="2">
        <v>1</v>
      </c>
      <c r="M172" s="2">
        <v>8.9599999999999999E-2</v>
      </c>
      <c r="N172" s="2">
        <v>0</v>
      </c>
      <c r="O172" s="2">
        <v>10</v>
      </c>
      <c r="P172" s="2">
        <v>10</v>
      </c>
    </row>
    <row r="173" spans="1:16" x14ac:dyDescent="0.3">
      <c r="A173" s="2">
        <v>791</v>
      </c>
      <c r="B173" s="3">
        <v>40579</v>
      </c>
      <c r="C173" s="2">
        <v>1</v>
      </c>
      <c r="D173" s="2">
        <v>0</v>
      </c>
      <c r="E173" s="2">
        <v>2</v>
      </c>
      <c r="F173" s="2">
        <v>9</v>
      </c>
      <c r="G173" s="2" t="b">
        <v>0</v>
      </c>
      <c r="H173" s="2">
        <v>6</v>
      </c>
      <c r="I173" s="2">
        <v>3</v>
      </c>
      <c r="J173" s="2">
        <v>0.2</v>
      </c>
      <c r="K173" s="2">
        <v>0.2273</v>
      </c>
      <c r="L173" s="2">
        <v>1</v>
      </c>
      <c r="M173" s="2">
        <v>8.9599999999999999E-2</v>
      </c>
      <c r="N173" s="2">
        <v>3</v>
      </c>
      <c r="O173" s="2">
        <v>17</v>
      </c>
      <c r="P173" s="2">
        <v>20</v>
      </c>
    </row>
    <row r="174" spans="1:16" x14ac:dyDescent="0.3">
      <c r="A174" s="2">
        <v>792</v>
      </c>
      <c r="B174" s="3">
        <v>40579</v>
      </c>
      <c r="C174" s="2">
        <v>1</v>
      </c>
      <c r="D174" s="2">
        <v>0</v>
      </c>
      <c r="E174" s="2">
        <v>2</v>
      </c>
      <c r="F174" s="2">
        <v>10</v>
      </c>
      <c r="G174" s="2" t="b">
        <v>0</v>
      </c>
      <c r="H174" s="2">
        <v>6</v>
      </c>
      <c r="I174" s="2">
        <v>3</v>
      </c>
      <c r="J174" s="2">
        <v>0.2</v>
      </c>
      <c r="K174" s="2">
        <v>0.21210000000000001</v>
      </c>
      <c r="L174" s="2">
        <v>1</v>
      </c>
      <c r="M174" s="2">
        <v>0.1343</v>
      </c>
      <c r="N174" s="2">
        <v>3</v>
      </c>
      <c r="O174" s="2">
        <v>31</v>
      </c>
      <c r="P174" s="2">
        <v>34</v>
      </c>
    </row>
    <row r="175" spans="1:16" x14ac:dyDescent="0.3">
      <c r="A175" s="2">
        <v>793</v>
      </c>
      <c r="B175" s="3">
        <v>40579</v>
      </c>
      <c r="C175" s="2">
        <v>1</v>
      </c>
      <c r="D175" s="2">
        <v>0</v>
      </c>
      <c r="E175" s="2">
        <v>2</v>
      </c>
      <c r="F175" s="2">
        <v>11</v>
      </c>
      <c r="G175" s="2" t="b">
        <v>0</v>
      </c>
      <c r="H175" s="2">
        <v>6</v>
      </c>
      <c r="I175" s="2">
        <v>3</v>
      </c>
      <c r="J175" s="2">
        <v>0.22</v>
      </c>
      <c r="K175" s="2">
        <v>0.2273</v>
      </c>
      <c r="L175" s="2">
        <v>1</v>
      </c>
      <c r="M175" s="2">
        <v>0.1343</v>
      </c>
      <c r="N175" s="2">
        <v>1</v>
      </c>
      <c r="O175" s="2">
        <v>46</v>
      </c>
      <c r="P175" s="2">
        <v>47</v>
      </c>
    </row>
    <row r="176" spans="1:16" x14ac:dyDescent="0.3">
      <c r="A176" s="2">
        <v>794</v>
      </c>
      <c r="B176" s="3">
        <v>40579</v>
      </c>
      <c r="C176" s="2">
        <v>1</v>
      </c>
      <c r="D176" s="2">
        <v>0</v>
      </c>
      <c r="E176" s="2">
        <v>2</v>
      </c>
      <c r="F176" s="2">
        <v>12</v>
      </c>
      <c r="G176" s="2" t="b">
        <v>0</v>
      </c>
      <c r="H176" s="2">
        <v>6</v>
      </c>
      <c r="I176" s="2">
        <v>3</v>
      </c>
      <c r="J176" s="2">
        <v>0.22</v>
      </c>
      <c r="K176" s="2">
        <v>0.2273</v>
      </c>
      <c r="L176" s="2">
        <v>1</v>
      </c>
      <c r="M176" s="2">
        <v>0.16420000000000001</v>
      </c>
      <c r="N176" s="2">
        <v>10</v>
      </c>
      <c r="O176" s="2">
        <v>42</v>
      </c>
      <c r="P176" s="2">
        <v>52</v>
      </c>
    </row>
    <row r="177" spans="1:16" x14ac:dyDescent="0.3">
      <c r="A177" s="2">
        <v>795</v>
      </c>
      <c r="B177" s="3">
        <v>40579</v>
      </c>
      <c r="C177" s="2">
        <v>1</v>
      </c>
      <c r="D177" s="2">
        <v>0</v>
      </c>
      <c r="E177" s="2">
        <v>2</v>
      </c>
      <c r="F177" s="2">
        <v>13</v>
      </c>
      <c r="G177" s="2" t="b">
        <v>0</v>
      </c>
      <c r="H177" s="2">
        <v>6</v>
      </c>
      <c r="I177" s="2">
        <v>3</v>
      </c>
      <c r="J177" s="2">
        <v>0.22</v>
      </c>
      <c r="K177" s="2">
        <v>0.2273</v>
      </c>
      <c r="L177" s="2">
        <v>1</v>
      </c>
      <c r="M177" s="2">
        <v>0.16420000000000001</v>
      </c>
      <c r="N177" s="2">
        <v>10</v>
      </c>
      <c r="O177" s="2">
        <v>62</v>
      </c>
      <c r="P177" s="2">
        <v>72</v>
      </c>
    </row>
    <row r="178" spans="1:16" x14ac:dyDescent="0.3">
      <c r="A178" s="2">
        <v>796</v>
      </c>
      <c r="B178" s="3">
        <v>40579</v>
      </c>
      <c r="C178" s="2">
        <v>1</v>
      </c>
      <c r="D178" s="2">
        <v>0</v>
      </c>
      <c r="E178" s="2">
        <v>2</v>
      </c>
      <c r="F178" s="2">
        <v>14</v>
      </c>
      <c r="G178" s="2" t="b">
        <v>0</v>
      </c>
      <c r="H178" s="2">
        <v>6</v>
      </c>
      <c r="I178" s="2">
        <v>3</v>
      </c>
      <c r="J178" s="2">
        <v>0.22</v>
      </c>
      <c r="K178" s="2">
        <v>0.2727</v>
      </c>
      <c r="L178" s="2">
        <v>1</v>
      </c>
      <c r="M178" s="2">
        <v>0</v>
      </c>
      <c r="N178" s="2">
        <v>5</v>
      </c>
      <c r="O178" s="2">
        <v>50</v>
      </c>
      <c r="P178" s="2">
        <v>55</v>
      </c>
    </row>
    <row r="179" spans="1:16" x14ac:dyDescent="0.3">
      <c r="A179" s="2">
        <v>797</v>
      </c>
      <c r="B179" s="3">
        <v>40579</v>
      </c>
      <c r="C179" s="2">
        <v>1</v>
      </c>
      <c r="D179" s="2">
        <v>0</v>
      </c>
      <c r="E179" s="2">
        <v>2</v>
      </c>
      <c r="F179" s="2">
        <v>15</v>
      </c>
      <c r="G179" s="2" t="b">
        <v>0</v>
      </c>
      <c r="H179" s="2">
        <v>6</v>
      </c>
      <c r="I179" s="2">
        <v>3</v>
      </c>
      <c r="J179" s="2">
        <v>0.22</v>
      </c>
      <c r="K179" s="2">
        <v>0.2727</v>
      </c>
      <c r="L179" s="2">
        <v>1</v>
      </c>
      <c r="M179" s="2">
        <v>0</v>
      </c>
      <c r="N179" s="2">
        <v>11</v>
      </c>
      <c r="O179" s="2">
        <v>49</v>
      </c>
      <c r="P179" s="2">
        <v>60</v>
      </c>
    </row>
    <row r="180" spans="1:16" x14ac:dyDescent="0.3">
      <c r="A180" s="2">
        <v>798</v>
      </c>
      <c r="B180" s="3">
        <v>40579</v>
      </c>
      <c r="C180" s="2">
        <v>1</v>
      </c>
      <c r="D180" s="2">
        <v>0</v>
      </c>
      <c r="E180" s="2">
        <v>2</v>
      </c>
      <c r="F180" s="2">
        <v>16</v>
      </c>
      <c r="G180" s="2" t="b">
        <v>0</v>
      </c>
      <c r="H180" s="2">
        <v>6</v>
      </c>
      <c r="I180" s="2">
        <v>3</v>
      </c>
      <c r="J180" s="2">
        <v>0.22</v>
      </c>
      <c r="K180" s="2">
        <v>0.2273</v>
      </c>
      <c r="L180" s="2">
        <v>1</v>
      </c>
      <c r="M180" s="2">
        <v>0.1343</v>
      </c>
      <c r="N180" s="2">
        <v>8</v>
      </c>
      <c r="O180" s="2">
        <v>63</v>
      </c>
      <c r="P180" s="2">
        <v>71</v>
      </c>
    </row>
    <row r="181" spans="1:16" x14ac:dyDescent="0.3">
      <c r="A181" s="2">
        <v>799</v>
      </c>
      <c r="B181" s="3">
        <v>40579</v>
      </c>
      <c r="C181" s="2">
        <v>1</v>
      </c>
      <c r="D181" s="2">
        <v>0</v>
      </c>
      <c r="E181" s="2">
        <v>2</v>
      </c>
      <c r="F181" s="2">
        <v>17</v>
      </c>
      <c r="G181" s="2" t="b">
        <v>0</v>
      </c>
      <c r="H181" s="2">
        <v>6</v>
      </c>
      <c r="I181" s="2">
        <v>2</v>
      </c>
      <c r="J181" s="2">
        <v>0.24</v>
      </c>
      <c r="K181" s="2">
        <v>0.21210000000000001</v>
      </c>
      <c r="L181" s="2">
        <v>1</v>
      </c>
      <c r="M181" s="2">
        <v>0.28360000000000002</v>
      </c>
      <c r="N181" s="2">
        <v>14</v>
      </c>
      <c r="O181" s="2">
        <v>64</v>
      </c>
      <c r="P181" s="2">
        <v>78</v>
      </c>
    </row>
    <row r="182" spans="1:16" x14ac:dyDescent="0.3">
      <c r="A182" s="2">
        <v>800</v>
      </c>
      <c r="B182" s="3">
        <v>40579</v>
      </c>
      <c r="C182" s="2">
        <v>1</v>
      </c>
      <c r="D182" s="2">
        <v>0</v>
      </c>
      <c r="E182" s="2">
        <v>2</v>
      </c>
      <c r="F182" s="2">
        <v>18</v>
      </c>
      <c r="G182" s="2" t="b">
        <v>0</v>
      </c>
      <c r="H182" s="2">
        <v>6</v>
      </c>
      <c r="I182" s="2">
        <v>2</v>
      </c>
      <c r="J182" s="2">
        <v>0.28000000000000003</v>
      </c>
      <c r="K182" s="2">
        <v>0.2424</v>
      </c>
      <c r="L182" s="2">
        <v>0.93</v>
      </c>
      <c r="M182" s="2">
        <v>0.44779999999999998</v>
      </c>
      <c r="N182" s="2">
        <v>2</v>
      </c>
      <c r="O182" s="2">
        <v>81</v>
      </c>
      <c r="P182" s="2">
        <v>83</v>
      </c>
    </row>
    <row r="183" spans="1:16" x14ac:dyDescent="0.3">
      <c r="A183" s="2">
        <v>801</v>
      </c>
      <c r="B183" s="3">
        <v>40579</v>
      </c>
      <c r="C183" s="2">
        <v>1</v>
      </c>
      <c r="D183" s="2">
        <v>0</v>
      </c>
      <c r="E183" s="2">
        <v>2</v>
      </c>
      <c r="F183" s="2">
        <v>19</v>
      </c>
      <c r="G183" s="2" t="b">
        <v>0</v>
      </c>
      <c r="H183" s="2">
        <v>6</v>
      </c>
      <c r="I183" s="2">
        <v>2</v>
      </c>
      <c r="J183" s="2">
        <v>0.28000000000000003</v>
      </c>
      <c r="K183" s="2">
        <v>0.2424</v>
      </c>
      <c r="L183" s="2">
        <v>0.93</v>
      </c>
      <c r="M183" s="2">
        <v>0.44779999999999998</v>
      </c>
      <c r="N183" s="2">
        <v>6</v>
      </c>
      <c r="O183" s="2">
        <v>78</v>
      </c>
      <c r="P183" s="2">
        <v>84</v>
      </c>
    </row>
    <row r="184" spans="1:16" x14ac:dyDescent="0.3">
      <c r="A184" s="2">
        <v>802</v>
      </c>
      <c r="B184" s="3">
        <v>40579</v>
      </c>
      <c r="C184" s="2">
        <v>1</v>
      </c>
      <c r="D184" s="2">
        <v>0</v>
      </c>
      <c r="E184" s="2">
        <v>2</v>
      </c>
      <c r="F184" s="2">
        <v>20</v>
      </c>
      <c r="G184" s="2" t="b">
        <v>0</v>
      </c>
      <c r="H184" s="2">
        <v>6</v>
      </c>
      <c r="I184" s="2">
        <v>1</v>
      </c>
      <c r="J184" s="2">
        <v>0.3</v>
      </c>
      <c r="K184" s="2">
        <v>0.28789999999999999</v>
      </c>
      <c r="L184" s="2">
        <v>0.87</v>
      </c>
      <c r="M184" s="2">
        <v>0.25369999999999998</v>
      </c>
      <c r="N184" s="2">
        <v>5</v>
      </c>
      <c r="O184" s="2">
        <v>64</v>
      </c>
      <c r="P184" s="2">
        <v>69</v>
      </c>
    </row>
    <row r="185" spans="1:16" x14ac:dyDescent="0.3">
      <c r="A185" s="2">
        <v>803</v>
      </c>
      <c r="B185" s="3">
        <v>40579</v>
      </c>
      <c r="C185" s="2">
        <v>1</v>
      </c>
      <c r="D185" s="2">
        <v>0</v>
      </c>
      <c r="E185" s="2">
        <v>2</v>
      </c>
      <c r="F185" s="2">
        <v>21</v>
      </c>
      <c r="G185" s="2" t="b">
        <v>0</v>
      </c>
      <c r="H185" s="2">
        <v>6</v>
      </c>
      <c r="I185" s="2">
        <v>1</v>
      </c>
      <c r="J185" s="2">
        <v>0.26</v>
      </c>
      <c r="K185" s="2">
        <v>0.2576</v>
      </c>
      <c r="L185" s="2">
        <v>1</v>
      </c>
      <c r="M185" s="2">
        <v>0.19400000000000001</v>
      </c>
      <c r="N185" s="2">
        <v>3</v>
      </c>
      <c r="O185" s="2">
        <v>53</v>
      </c>
      <c r="P185" s="2">
        <v>56</v>
      </c>
    </row>
    <row r="186" spans="1:16" x14ac:dyDescent="0.3">
      <c r="A186" s="2">
        <v>804</v>
      </c>
      <c r="B186" s="3">
        <v>40579</v>
      </c>
      <c r="C186" s="2">
        <v>1</v>
      </c>
      <c r="D186" s="2">
        <v>0</v>
      </c>
      <c r="E186" s="2">
        <v>2</v>
      </c>
      <c r="F186" s="2">
        <v>22</v>
      </c>
      <c r="G186" s="2" t="b">
        <v>0</v>
      </c>
      <c r="H186" s="2">
        <v>6</v>
      </c>
      <c r="I186" s="2">
        <v>1</v>
      </c>
      <c r="J186" s="2">
        <v>0.26</v>
      </c>
      <c r="K186" s="2">
        <v>0.2727</v>
      </c>
      <c r="L186" s="2">
        <v>0.93</v>
      </c>
      <c r="M186" s="2">
        <v>0.1343</v>
      </c>
      <c r="N186" s="2">
        <v>2</v>
      </c>
      <c r="O186" s="2">
        <v>43</v>
      </c>
      <c r="P186" s="2">
        <v>45</v>
      </c>
    </row>
    <row r="187" spans="1:16" x14ac:dyDescent="0.3">
      <c r="A187" s="2">
        <v>805</v>
      </c>
      <c r="B187" s="3">
        <v>40579</v>
      </c>
      <c r="C187" s="2">
        <v>1</v>
      </c>
      <c r="D187" s="2">
        <v>0</v>
      </c>
      <c r="E187" s="2">
        <v>2</v>
      </c>
      <c r="F187" s="2">
        <v>23</v>
      </c>
      <c r="G187" s="2" t="b">
        <v>0</v>
      </c>
      <c r="H187" s="2">
        <v>6</v>
      </c>
      <c r="I187" s="2">
        <v>1</v>
      </c>
      <c r="J187" s="2">
        <v>0.26</v>
      </c>
      <c r="K187" s="2">
        <v>0.2576</v>
      </c>
      <c r="L187" s="2">
        <v>0.93</v>
      </c>
      <c r="M187" s="2">
        <v>0.22389999999999999</v>
      </c>
      <c r="N187" s="2">
        <v>7</v>
      </c>
      <c r="O187" s="2">
        <v>52</v>
      </c>
      <c r="P187" s="2">
        <v>59</v>
      </c>
    </row>
    <row r="188" spans="1:16" x14ac:dyDescent="0.3">
      <c r="A188" s="2">
        <v>806</v>
      </c>
      <c r="B188" s="3">
        <v>40580</v>
      </c>
      <c r="C188" s="2">
        <v>1</v>
      </c>
      <c r="D188" s="2">
        <v>0</v>
      </c>
      <c r="E188" s="2">
        <v>2</v>
      </c>
      <c r="F188" s="2">
        <v>0</v>
      </c>
      <c r="G188" s="2" t="b">
        <v>0</v>
      </c>
      <c r="H188" s="2">
        <v>0</v>
      </c>
      <c r="I188" s="2">
        <v>1</v>
      </c>
      <c r="J188" s="2">
        <v>0.26</v>
      </c>
      <c r="K188" s="2">
        <v>0.2576</v>
      </c>
      <c r="L188" s="2">
        <v>0.7</v>
      </c>
      <c r="M188" s="2">
        <v>0.19400000000000001</v>
      </c>
      <c r="N188" s="2">
        <v>2</v>
      </c>
      <c r="O188" s="2">
        <v>37</v>
      </c>
      <c r="P188" s="2">
        <v>39</v>
      </c>
    </row>
    <row r="189" spans="1:16" x14ac:dyDescent="0.3">
      <c r="A189" s="2">
        <v>807</v>
      </c>
      <c r="B189" s="3">
        <v>40580</v>
      </c>
      <c r="C189" s="2">
        <v>1</v>
      </c>
      <c r="D189" s="2">
        <v>0</v>
      </c>
      <c r="E189" s="2">
        <v>2</v>
      </c>
      <c r="F189" s="2">
        <v>1</v>
      </c>
      <c r="G189" s="2" t="b">
        <v>0</v>
      </c>
      <c r="H189" s="2">
        <v>0</v>
      </c>
      <c r="I189" s="2">
        <v>1</v>
      </c>
      <c r="J189" s="2">
        <v>0.26</v>
      </c>
      <c r="K189" s="2">
        <v>0.2273</v>
      </c>
      <c r="L189" s="2">
        <v>0.65</v>
      </c>
      <c r="M189" s="2">
        <v>0.41789999999999999</v>
      </c>
      <c r="N189" s="2">
        <v>4</v>
      </c>
      <c r="O189" s="2">
        <v>40</v>
      </c>
      <c r="P189" s="2">
        <v>44</v>
      </c>
    </row>
    <row r="190" spans="1:16" x14ac:dyDescent="0.3">
      <c r="A190" s="2">
        <v>808</v>
      </c>
      <c r="B190" s="3">
        <v>40580</v>
      </c>
      <c r="C190" s="2">
        <v>1</v>
      </c>
      <c r="D190" s="2">
        <v>0</v>
      </c>
      <c r="E190" s="2">
        <v>2</v>
      </c>
      <c r="F190" s="2">
        <v>2</v>
      </c>
      <c r="G190" s="2" t="b">
        <v>0</v>
      </c>
      <c r="H190" s="2">
        <v>0</v>
      </c>
      <c r="I190" s="2">
        <v>1</v>
      </c>
      <c r="J190" s="2">
        <v>0.26</v>
      </c>
      <c r="K190" s="2">
        <v>0.2273</v>
      </c>
      <c r="L190" s="2">
        <v>0.6</v>
      </c>
      <c r="M190" s="2">
        <v>0.32840000000000003</v>
      </c>
      <c r="N190" s="2">
        <v>0</v>
      </c>
      <c r="O190" s="2">
        <v>20</v>
      </c>
      <c r="P190" s="2">
        <v>20</v>
      </c>
    </row>
    <row r="191" spans="1:16" x14ac:dyDescent="0.3">
      <c r="A191" s="2">
        <v>809</v>
      </c>
      <c r="B191" s="3">
        <v>40580</v>
      </c>
      <c r="C191" s="2">
        <v>1</v>
      </c>
      <c r="D191" s="2">
        <v>0</v>
      </c>
      <c r="E191" s="2">
        <v>2</v>
      </c>
      <c r="F191" s="2">
        <v>3</v>
      </c>
      <c r="G191" s="2" t="b">
        <v>0</v>
      </c>
      <c r="H191" s="2">
        <v>0</v>
      </c>
      <c r="I191" s="2">
        <v>1</v>
      </c>
      <c r="J191" s="2">
        <v>0.26</v>
      </c>
      <c r="K191" s="2">
        <v>0.28789999999999999</v>
      </c>
      <c r="L191" s="2">
        <v>0.6</v>
      </c>
      <c r="M191" s="2">
        <v>8.9599999999999999E-2</v>
      </c>
      <c r="N191" s="2">
        <v>3</v>
      </c>
      <c r="O191" s="2">
        <v>10</v>
      </c>
      <c r="P191" s="2">
        <v>13</v>
      </c>
    </row>
    <row r="192" spans="1:16" x14ac:dyDescent="0.3">
      <c r="A192" s="2">
        <v>810</v>
      </c>
      <c r="B192" s="3">
        <v>40580</v>
      </c>
      <c r="C192" s="2">
        <v>1</v>
      </c>
      <c r="D192" s="2">
        <v>0</v>
      </c>
      <c r="E192" s="2">
        <v>2</v>
      </c>
      <c r="F192" s="2">
        <v>4</v>
      </c>
      <c r="G192" s="2" t="b">
        <v>0</v>
      </c>
      <c r="H192" s="2">
        <v>0</v>
      </c>
      <c r="I192" s="2">
        <v>1</v>
      </c>
      <c r="J192" s="2">
        <v>0.26</v>
      </c>
      <c r="K192" s="2">
        <v>0.2273</v>
      </c>
      <c r="L192" s="2">
        <v>0.6</v>
      </c>
      <c r="M192" s="2">
        <v>0.35820000000000002</v>
      </c>
      <c r="N192" s="2">
        <v>0</v>
      </c>
      <c r="O192" s="2">
        <v>2</v>
      </c>
      <c r="P192" s="2">
        <v>2</v>
      </c>
    </row>
    <row r="193" spans="1:16" x14ac:dyDescent="0.3">
      <c r="A193" s="2">
        <v>811</v>
      </c>
      <c r="B193" s="3">
        <v>40580</v>
      </c>
      <c r="C193" s="2">
        <v>1</v>
      </c>
      <c r="D193" s="2">
        <v>0</v>
      </c>
      <c r="E193" s="2">
        <v>2</v>
      </c>
      <c r="F193" s="2">
        <v>5</v>
      </c>
      <c r="G193" s="2" t="b">
        <v>0</v>
      </c>
      <c r="H193" s="2">
        <v>0</v>
      </c>
      <c r="I193" s="2">
        <v>1</v>
      </c>
      <c r="J193" s="2">
        <v>0.26</v>
      </c>
      <c r="K193" s="2">
        <v>0.2576</v>
      </c>
      <c r="L193" s="2">
        <v>0.6</v>
      </c>
      <c r="M193" s="2">
        <v>0.22389999999999999</v>
      </c>
      <c r="N193" s="2">
        <v>0</v>
      </c>
      <c r="O193" s="2">
        <v>1</v>
      </c>
      <c r="P193" s="2">
        <v>1</v>
      </c>
    </row>
    <row r="194" spans="1:16" x14ac:dyDescent="0.3">
      <c r="A194" s="2">
        <v>812</v>
      </c>
      <c r="B194" s="3">
        <v>40580</v>
      </c>
      <c r="C194" s="2">
        <v>1</v>
      </c>
      <c r="D194" s="2">
        <v>0</v>
      </c>
      <c r="E194" s="2">
        <v>2</v>
      </c>
      <c r="F194" s="2">
        <v>6</v>
      </c>
      <c r="G194" s="2" t="b">
        <v>0</v>
      </c>
      <c r="H194" s="2">
        <v>0</v>
      </c>
      <c r="I194" s="2">
        <v>1</v>
      </c>
      <c r="J194" s="2">
        <v>0.26</v>
      </c>
      <c r="K194" s="2">
        <v>0.2576</v>
      </c>
      <c r="L194" s="2">
        <v>0.6</v>
      </c>
      <c r="M194" s="2">
        <v>0.22389999999999999</v>
      </c>
      <c r="N194" s="2">
        <v>0</v>
      </c>
      <c r="O194" s="2">
        <v>1</v>
      </c>
      <c r="P194" s="2">
        <v>1</v>
      </c>
    </row>
    <row r="195" spans="1:16" x14ac:dyDescent="0.3">
      <c r="A195" s="2">
        <v>813</v>
      </c>
      <c r="B195" s="3">
        <v>40580</v>
      </c>
      <c r="C195" s="2">
        <v>1</v>
      </c>
      <c r="D195" s="2">
        <v>0</v>
      </c>
      <c r="E195" s="2">
        <v>2</v>
      </c>
      <c r="F195" s="2">
        <v>7</v>
      </c>
      <c r="G195" s="2" t="b">
        <v>0</v>
      </c>
      <c r="H195" s="2">
        <v>0</v>
      </c>
      <c r="I195" s="2">
        <v>1</v>
      </c>
      <c r="J195" s="2">
        <v>0.24</v>
      </c>
      <c r="K195" s="2">
        <v>0.2424</v>
      </c>
      <c r="L195" s="2">
        <v>0.65</v>
      </c>
      <c r="M195" s="2">
        <v>0.16420000000000001</v>
      </c>
      <c r="N195" s="2">
        <v>0</v>
      </c>
      <c r="O195" s="2">
        <v>8</v>
      </c>
      <c r="P195" s="2">
        <v>8</v>
      </c>
    </row>
    <row r="196" spans="1:16" x14ac:dyDescent="0.3">
      <c r="A196" s="2">
        <v>814</v>
      </c>
      <c r="B196" s="3">
        <v>40580</v>
      </c>
      <c r="C196" s="2">
        <v>1</v>
      </c>
      <c r="D196" s="2">
        <v>0</v>
      </c>
      <c r="E196" s="2">
        <v>2</v>
      </c>
      <c r="F196" s="2">
        <v>8</v>
      </c>
      <c r="G196" s="2" t="b">
        <v>0</v>
      </c>
      <c r="H196" s="2">
        <v>0</v>
      </c>
      <c r="I196" s="2">
        <v>1</v>
      </c>
      <c r="J196" s="2">
        <v>0.24</v>
      </c>
      <c r="K196" s="2">
        <v>0.2576</v>
      </c>
      <c r="L196" s="2">
        <v>0.65</v>
      </c>
      <c r="M196" s="2">
        <v>0.1045</v>
      </c>
      <c r="N196" s="2">
        <v>2</v>
      </c>
      <c r="O196" s="2">
        <v>21</v>
      </c>
      <c r="P196" s="2">
        <v>23</v>
      </c>
    </row>
    <row r="197" spans="1:16" x14ac:dyDescent="0.3">
      <c r="A197" s="2">
        <v>815</v>
      </c>
      <c r="B197" s="3">
        <v>40580</v>
      </c>
      <c r="C197" s="2">
        <v>1</v>
      </c>
      <c r="D197" s="2">
        <v>0</v>
      </c>
      <c r="E197" s="2">
        <v>2</v>
      </c>
      <c r="F197" s="2">
        <v>9</v>
      </c>
      <c r="G197" s="2" t="b">
        <v>0</v>
      </c>
      <c r="H197" s="2">
        <v>0</v>
      </c>
      <c r="I197" s="2">
        <v>1</v>
      </c>
      <c r="J197" s="2">
        <v>0.28000000000000003</v>
      </c>
      <c r="K197" s="2">
        <v>0.28789999999999999</v>
      </c>
      <c r="L197" s="2">
        <v>0.56000000000000005</v>
      </c>
      <c r="M197" s="2">
        <v>0.1045</v>
      </c>
      <c r="N197" s="2">
        <v>7</v>
      </c>
      <c r="O197" s="2">
        <v>38</v>
      </c>
      <c r="P197" s="2">
        <v>45</v>
      </c>
    </row>
    <row r="198" spans="1:16" x14ac:dyDescent="0.3">
      <c r="A198" s="2">
        <v>816</v>
      </c>
      <c r="B198" s="3">
        <v>40580</v>
      </c>
      <c r="C198" s="2">
        <v>1</v>
      </c>
      <c r="D198" s="2">
        <v>0</v>
      </c>
      <c r="E198" s="2">
        <v>2</v>
      </c>
      <c r="F198" s="2">
        <v>10</v>
      </c>
      <c r="G198" s="2" t="b">
        <v>0</v>
      </c>
      <c r="H198" s="2">
        <v>0</v>
      </c>
      <c r="I198" s="2">
        <v>1</v>
      </c>
      <c r="J198" s="2">
        <v>0.3</v>
      </c>
      <c r="K198" s="2">
        <v>0.28789999999999999</v>
      </c>
      <c r="L198" s="2">
        <v>0.52</v>
      </c>
      <c r="M198" s="2">
        <v>0.25369999999999998</v>
      </c>
      <c r="N198" s="2">
        <v>15</v>
      </c>
      <c r="O198" s="2">
        <v>74</v>
      </c>
      <c r="P198" s="2">
        <v>89</v>
      </c>
    </row>
    <row r="199" spans="1:16" x14ac:dyDescent="0.3">
      <c r="A199" s="2">
        <v>817</v>
      </c>
      <c r="B199" s="3">
        <v>40580</v>
      </c>
      <c r="C199" s="2">
        <v>1</v>
      </c>
      <c r="D199" s="2">
        <v>0</v>
      </c>
      <c r="E199" s="2">
        <v>2</v>
      </c>
      <c r="F199" s="2">
        <v>11</v>
      </c>
      <c r="G199" s="2" t="b">
        <v>0</v>
      </c>
      <c r="H199" s="2">
        <v>0</v>
      </c>
      <c r="I199" s="2">
        <v>1</v>
      </c>
      <c r="J199" s="2">
        <v>0.32</v>
      </c>
      <c r="K199" s="2">
        <v>0.30299999999999999</v>
      </c>
      <c r="L199" s="2">
        <v>0.49</v>
      </c>
      <c r="M199" s="2">
        <v>0.25369999999999998</v>
      </c>
      <c r="N199" s="2">
        <v>28</v>
      </c>
      <c r="O199" s="2">
        <v>89</v>
      </c>
      <c r="P199" s="2">
        <v>117</v>
      </c>
    </row>
    <row r="200" spans="1:16" x14ac:dyDescent="0.3">
      <c r="A200" s="2">
        <v>818</v>
      </c>
      <c r="B200" s="3">
        <v>40580</v>
      </c>
      <c r="C200" s="2">
        <v>1</v>
      </c>
      <c r="D200" s="2">
        <v>0</v>
      </c>
      <c r="E200" s="2">
        <v>2</v>
      </c>
      <c r="F200" s="2">
        <v>12</v>
      </c>
      <c r="G200" s="2" t="b">
        <v>0</v>
      </c>
      <c r="H200" s="2">
        <v>0</v>
      </c>
      <c r="I200" s="2">
        <v>1</v>
      </c>
      <c r="J200" s="2">
        <v>0.34</v>
      </c>
      <c r="K200" s="2">
        <v>0.33329999999999999</v>
      </c>
      <c r="L200" s="2">
        <v>0.46</v>
      </c>
      <c r="M200" s="2">
        <v>0</v>
      </c>
      <c r="N200" s="2">
        <v>48</v>
      </c>
      <c r="O200" s="2">
        <v>126</v>
      </c>
      <c r="P200" s="2">
        <v>174</v>
      </c>
    </row>
    <row r="201" spans="1:16" x14ac:dyDescent="0.3">
      <c r="A201" s="2">
        <v>819</v>
      </c>
      <c r="B201" s="3">
        <v>40580</v>
      </c>
      <c r="C201" s="2">
        <v>1</v>
      </c>
      <c r="D201" s="2">
        <v>0</v>
      </c>
      <c r="E201" s="2">
        <v>2</v>
      </c>
      <c r="F201" s="2">
        <v>13</v>
      </c>
      <c r="G201" s="2" t="b">
        <v>0</v>
      </c>
      <c r="H201" s="2">
        <v>0</v>
      </c>
      <c r="I201" s="2">
        <v>1</v>
      </c>
      <c r="J201" s="2">
        <v>0.34</v>
      </c>
      <c r="K201" s="2">
        <v>0.36359999999999998</v>
      </c>
      <c r="L201" s="2">
        <v>0.46</v>
      </c>
      <c r="M201" s="2">
        <v>0</v>
      </c>
      <c r="N201" s="2">
        <v>47</v>
      </c>
      <c r="O201" s="2">
        <v>135</v>
      </c>
      <c r="P201" s="2">
        <v>182</v>
      </c>
    </row>
    <row r="202" spans="1:16" x14ac:dyDescent="0.3">
      <c r="A202" s="2">
        <v>820</v>
      </c>
      <c r="B202" s="3">
        <v>40580</v>
      </c>
      <c r="C202" s="2">
        <v>1</v>
      </c>
      <c r="D202" s="2">
        <v>0</v>
      </c>
      <c r="E202" s="2">
        <v>2</v>
      </c>
      <c r="F202" s="2">
        <v>14</v>
      </c>
      <c r="G202" s="2" t="b">
        <v>0</v>
      </c>
      <c r="H202" s="2">
        <v>0</v>
      </c>
      <c r="I202" s="2">
        <v>1</v>
      </c>
      <c r="J202" s="2">
        <v>0.34</v>
      </c>
      <c r="K202" s="2">
        <v>0.34849999999999998</v>
      </c>
      <c r="L202" s="2">
        <v>0.46</v>
      </c>
      <c r="M202" s="2">
        <v>8.9599999999999999E-2</v>
      </c>
      <c r="N202" s="2">
        <v>47</v>
      </c>
      <c r="O202" s="2">
        <v>114</v>
      </c>
      <c r="P202" s="2">
        <v>161</v>
      </c>
    </row>
    <row r="203" spans="1:16" x14ac:dyDescent="0.3">
      <c r="A203" s="2">
        <v>821</v>
      </c>
      <c r="B203" s="3">
        <v>40580</v>
      </c>
      <c r="C203" s="2">
        <v>1</v>
      </c>
      <c r="D203" s="2">
        <v>0</v>
      </c>
      <c r="E203" s="2">
        <v>2</v>
      </c>
      <c r="F203" s="2">
        <v>15</v>
      </c>
      <c r="G203" s="2" t="b">
        <v>0</v>
      </c>
      <c r="H203" s="2">
        <v>0</v>
      </c>
      <c r="I203" s="2">
        <v>1</v>
      </c>
      <c r="J203" s="2">
        <v>0.34</v>
      </c>
      <c r="K203" s="2">
        <v>0.34849999999999998</v>
      </c>
      <c r="L203" s="2">
        <v>0.46</v>
      </c>
      <c r="M203" s="2">
        <v>8.9599999999999999E-2</v>
      </c>
      <c r="N203" s="2">
        <v>52</v>
      </c>
      <c r="O203" s="2">
        <v>130</v>
      </c>
      <c r="P203" s="2">
        <v>182</v>
      </c>
    </row>
    <row r="204" spans="1:16" x14ac:dyDescent="0.3">
      <c r="A204" s="2">
        <v>822</v>
      </c>
      <c r="B204" s="3">
        <v>40580</v>
      </c>
      <c r="C204" s="2">
        <v>1</v>
      </c>
      <c r="D204" s="2">
        <v>0</v>
      </c>
      <c r="E204" s="2">
        <v>2</v>
      </c>
      <c r="F204" s="2">
        <v>16</v>
      </c>
      <c r="G204" s="2" t="b">
        <v>0</v>
      </c>
      <c r="H204" s="2">
        <v>0</v>
      </c>
      <c r="I204" s="2">
        <v>1</v>
      </c>
      <c r="J204" s="2">
        <v>0.34</v>
      </c>
      <c r="K204" s="2">
        <v>0.34849999999999998</v>
      </c>
      <c r="L204" s="2">
        <v>0.49</v>
      </c>
      <c r="M204" s="2">
        <v>0.1045</v>
      </c>
      <c r="N204" s="2">
        <v>42</v>
      </c>
      <c r="O204" s="2">
        <v>115</v>
      </c>
      <c r="P204" s="2">
        <v>157</v>
      </c>
    </row>
    <row r="205" spans="1:16" x14ac:dyDescent="0.3">
      <c r="A205" s="2">
        <v>823</v>
      </c>
      <c r="B205" s="3">
        <v>40580</v>
      </c>
      <c r="C205" s="2">
        <v>1</v>
      </c>
      <c r="D205" s="2">
        <v>0</v>
      </c>
      <c r="E205" s="2">
        <v>2</v>
      </c>
      <c r="F205" s="2">
        <v>17</v>
      </c>
      <c r="G205" s="2" t="b">
        <v>0</v>
      </c>
      <c r="H205" s="2">
        <v>0</v>
      </c>
      <c r="I205" s="2">
        <v>1</v>
      </c>
      <c r="J205" s="2">
        <v>0.34</v>
      </c>
      <c r="K205" s="2">
        <v>0.36359999999999998</v>
      </c>
      <c r="L205" s="2">
        <v>0.46</v>
      </c>
      <c r="M205" s="2">
        <v>0</v>
      </c>
      <c r="N205" s="2">
        <v>24</v>
      </c>
      <c r="O205" s="2">
        <v>97</v>
      </c>
      <c r="P205" s="2">
        <v>121</v>
      </c>
    </row>
    <row r="206" spans="1:16" x14ac:dyDescent="0.3">
      <c r="A206" s="2">
        <v>824</v>
      </c>
      <c r="B206" s="3">
        <v>40580</v>
      </c>
      <c r="C206" s="2">
        <v>1</v>
      </c>
      <c r="D206" s="2">
        <v>0</v>
      </c>
      <c r="E206" s="2">
        <v>2</v>
      </c>
      <c r="F206" s="2">
        <v>18</v>
      </c>
      <c r="G206" s="2" t="b">
        <v>0</v>
      </c>
      <c r="H206" s="2">
        <v>0</v>
      </c>
      <c r="I206" s="2">
        <v>1</v>
      </c>
      <c r="J206" s="2">
        <v>0.3</v>
      </c>
      <c r="K206" s="2">
        <v>0.30299999999999999</v>
      </c>
      <c r="L206" s="2">
        <v>0.56000000000000005</v>
      </c>
      <c r="M206" s="2">
        <v>0.16420000000000001</v>
      </c>
      <c r="N206" s="2">
        <v>13</v>
      </c>
      <c r="O206" s="2">
        <v>65</v>
      </c>
      <c r="P206" s="2">
        <v>78</v>
      </c>
    </row>
    <row r="207" spans="1:16" x14ac:dyDescent="0.3">
      <c r="A207" s="2">
        <v>825</v>
      </c>
      <c r="B207" s="3">
        <v>40580</v>
      </c>
      <c r="C207" s="2">
        <v>1</v>
      </c>
      <c r="D207" s="2">
        <v>0</v>
      </c>
      <c r="E207" s="2">
        <v>2</v>
      </c>
      <c r="F207" s="2">
        <v>19</v>
      </c>
      <c r="G207" s="2" t="b">
        <v>0</v>
      </c>
      <c r="H207" s="2">
        <v>0</v>
      </c>
      <c r="I207" s="2">
        <v>1</v>
      </c>
      <c r="J207" s="2">
        <v>0.28000000000000003</v>
      </c>
      <c r="K207" s="2">
        <v>0.28789999999999999</v>
      </c>
      <c r="L207" s="2">
        <v>0.61</v>
      </c>
      <c r="M207" s="2">
        <v>0.1343</v>
      </c>
      <c r="N207" s="2">
        <v>1</v>
      </c>
      <c r="O207" s="2">
        <v>20</v>
      </c>
      <c r="P207" s="2">
        <v>21</v>
      </c>
    </row>
    <row r="208" spans="1:16" x14ac:dyDescent="0.3">
      <c r="A208" s="2">
        <v>826</v>
      </c>
      <c r="B208" s="3">
        <v>40580</v>
      </c>
      <c r="C208" s="2">
        <v>1</v>
      </c>
      <c r="D208" s="2">
        <v>0</v>
      </c>
      <c r="E208" s="2">
        <v>2</v>
      </c>
      <c r="F208" s="2">
        <v>20</v>
      </c>
      <c r="G208" s="2" t="b">
        <v>0</v>
      </c>
      <c r="H208" s="2">
        <v>0</v>
      </c>
      <c r="I208" s="2">
        <v>1</v>
      </c>
      <c r="J208" s="2">
        <v>0.28000000000000003</v>
      </c>
      <c r="K208" s="2">
        <v>0.28789999999999999</v>
      </c>
      <c r="L208" s="2">
        <v>0.61</v>
      </c>
      <c r="M208" s="2">
        <v>0.1045</v>
      </c>
      <c r="N208" s="2">
        <v>5</v>
      </c>
      <c r="O208" s="2">
        <v>21</v>
      </c>
      <c r="P208" s="2">
        <v>26</v>
      </c>
    </row>
    <row r="209" spans="1:16" x14ac:dyDescent="0.3">
      <c r="A209" s="2">
        <v>827</v>
      </c>
      <c r="B209" s="3">
        <v>40580</v>
      </c>
      <c r="C209" s="2">
        <v>1</v>
      </c>
      <c r="D209" s="2">
        <v>0</v>
      </c>
      <c r="E209" s="2">
        <v>2</v>
      </c>
      <c r="F209" s="2">
        <v>21</v>
      </c>
      <c r="G209" s="2" t="b">
        <v>0</v>
      </c>
      <c r="H209" s="2">
        <v>0</v>
      </c>
      <c r="I209" s="2">
        <v>1</v>
      </c>
      <c r="J209" s="2">
        <v>0.26</v>
      </c>
      <c r="K209" s="2">
        <v>0.30299999999999999</v>
      </c>
      <c r="L209" s="2">
        <v>0.6</v>
      </c>
      <c r="M209" s="2">
        <v>0</v>
      </c>
      <c r="N209" s="2">
        <v>5</v>
      </c>
      <c r="O209" s="2">
        <v>22</v>
      </c>
      <c r="P209" s="2">
        <v>27</v>
      </c>
    </row>
    <row r="210" spans="1:16" x14ac:dyDescent="0.3">
      <c r="A210" s="2">
        <v>828</v>
      </c>
      <c r="B210" s="3">
        <v>40580</v>
      </c>
      <c r="C210" s="2">
        <v>1</v>
      </c>
      <c r="D210" s="2">
        <v>0</v>
      </c>
      <c r="E210" s="2">
        <v>2</v>
      </c>
      <c r="F210" s="2">
        <v>22</v>
      </c>
      <c r="G210" s="2" t="b">
        <v>0</v>
      </c>
      <c r="H210" s="2">
        <v>0</v>
      </c>
      <c r="I210" s="2">
        <v>1</v>
      </c>
      <c r="J210" s="2">
        <v>0.26</v>
      </c>
      <c r="K210" s="2">
        <v>0.30299999999999999</v>
      </c>
      <c r="L210" s="2">
        <v>0.6</v>
      </c>
      <c r="M210" s="2">
        <v>0</v>
      </c>
      <c r="N210" s="2">
        <v>5</v>
      </c>
      <c r="O210" s="2">
        <v>57</v>
      </c>
      <c r="P210" s="2">
        <v>62</v>
      </c>
    </row>
    <row r="211" spans="1:16" x14ac:dyDescent="0.3">
      <c r="A211" s="2">
        <v>829</v>
      </c>
      <c r="B211" s="3">
        <v>40580</v>
      </c>
      <c r="C211" s="2">
        <v>1</v>
      </c>
      <c r="D211" s="2">
        <v>0</v>
      </c>
      <c r="E211" s="2">
        <v>2</v>
      </c>
      <c r="F211" s="2">
        <v>23</v>
      </c>
      <c r="G211" s="2" t="b">
        <v>0</v>
      </c>
      <c r="H211" s="2">
        <v>0</v>
      </c>
      <c r="I211" s="2">
        <v>1</v>
      </c>
      <c r="J211" s="2">
        <v>0.24</v>
      </c>
      <c r="K211" s="2">
        <v>0.28789999999999999</v>
      </c>
      <c r="L211" s="2">
        <v>0.65</v>
      </c>
      <c r="M211" s="2">
        <v>0</v>
      </c>
      <c r="N211" s="2">
        <v>4</v>
      </c>
      <c r="O211" s="2">
        <v>26</v>
      </c>
      <c r="P211" s="2">
        <v>30</v>
      </c>
    </row>
    <row r="212" spans="1:16" x14ac:dyDescent="0.3">
      <c r="A212" s="2">
        <v>830</v>
      </c>
      <c r="B212" s="3">
        <v>40581</v>
      </c>
      <c r="C212" s="2">
        <v>1</v>
      </c>
      <c r="D212" s="2">
        <v>0</v>
      </c>
      <c r="E212" s="2">
        <v>2</v>
      </c>
      <c r="F212" s="2">
        <v>0</v>
      </c>
      <c r="G212" s="2" t="b">
        <v>0</v>
      </c>
      <c r="H212" s="2">
        <v>1</v>
      </c>
      <c r="I212" s="2">
        <v>1</v>
      </c>
      <c r="J212" s="2">
        <v>0.24</v>
      </c>
      <c r="K212" s="2">
        <v>0.28789999999999999</v>
      </c>
      <c r="L212" s="2">
        <v>0.65</v>
      </c>
      <c r="M212" s="2">
        <v>0</v>
      </c>
      <c r="N212" s="2">
        <v>1</v>
      </c>
      <c r="O212" s="2">
        <v>14</v>
      </c>
      <c r="P212" s="2">
        <v>15</v>
      </c>
    </row>
    <row r="213" spans="1:16" x14ac:dyDescent="0.3">
      <c r="A213" s="2">
        <v>831</v>
      </c>
      <c r="B213" s="3">
        <v>40581</v>
      </c>
      <c r="C213" s="2">
        <v>1</v>
      </c>
      <c r="D213" s="2">
        <v>0</v>
      </c>
      <c r="E213" s="2">
        <v>2</v>
      </c>
      <c r="F213" s="2">
        <v>1</v>
      </c>
      <c r="G213" s="2" t="b">
        <v>0</v>
      </c>
      <c r="H213" s="2">
        <v>1</v>
      </c>
      <c r="I213" s="2">
        <v>1</v>
      </c>
      <c r="J213" s="2">
        <v>0.22</v>
      </c>
      <c r="K213" s="2">
        <v>0.2727</v>
      </c>
      <c r="L213" s="2">
        <v>0.75</v>
      </c>
      <c r="M213" s="2">
        <v>0</v>
      </c>
      <c r="N213" s="2">
        <v>1</v>
      </c>
      <c r="O213" s="2">
        <v>4</v>
      </c>
      <c r="P213" s="2">
        <v>5</v>
      </c>
    </row>
    <row r="214" spans="1:16" x14ac:dyDescent="0.3">
      <c r="A214" s="2">
        <v>832</v>
      </c>
      <c r="B214" s="3">
        <v>40581</v>
      </c>
      <c r="C214" s="2">
        <v>1</v>
      </c>
      <c r="D214" s="2">
        <v>0</v>
      </c>
      <c r="E214" s="2">
        <v>2</v>
      </c>
      <c r="F214" s="2">
        <v>2</v>
      </c>
      <c r="G214" s="2" t="b">
        <v>0</v>
      </c>
      <c r="H214" s="2">
        <v>1</v>
      </c>
      <c r="I214" s="2">
        <v>1</v>
      </c>
      <c r="J214" s="2">
        <v>0.2</v>
      </c>
      <c r="K214" s="2">
        <v>0.2576</v>
      </c>
      <c r="L214" s="2">
        <v>0.8</v>
      </c>
      <c r="M214" s="2">
        <v>0</v>
      </c>
      <c r="N214" s="2">
        <v>0</v>
      </c>
      <c r="O214" s="2">
        <v>3</v>
      </c>
      <c r="P214" s="2">
        <v>3</v>
      </c>
    </row>
    <row r="215" spans="1:16" x14ac:dyDescent="0.3">
      <c r="A215" s="2">
        <v>833</v>
      </c>
      <c r="B215" s="3">
        <v>40581</v>
      </c>
      <c r="C215" s="2">
        <v>1</v>
      </c>
      <c r="D215" s="2">
        <v>0</v>
      </c>
      <c r="E215" s="2">
        <v>2</v>
      </c>
      <c r="F215" s="2">
        <v>3</v>
      </c>
      <c r="G215" s="2" t="b">
        <v>0</v>
      </c>
      <c r="H215" s="2">
        <v>1</v>
      </c>
      <c r="I215" s="2">
        <v>1</v>
      </c>
      <c r="J215" s="2">
        <v>0.2</v>
      </c>
      <c r="K215" s="2">
        <v>0.2576</v>
      </c>
      <c r="L215" s="2">
        <v>0.86</v>
      </c>
      <c r="M215" s="2">
        <v>0</v>
      </c>
      <c r="N215" s="2">
        <v>0</v>
      </c>
      <c r="O215" s="2">
        <v>1</v>
      </c>
      <c r="P215" s="2">
        <v>1</v>
      </c>
    </row>
    <row r="216" spans="1:16" x14ac:dyDescent="0.3">
      <c r="A216" s="2">
        <v>834</v>
      </c>
      <c r="B216" s="3">
        <v>40581</v>
      </c>
      <c r="C216" s="2">
        <v>1</v>
      </c>
      <c r="D216" s="2">
        <v>0</v>
      </c>
      <c r="E216" s="2">
        <v>2</v>
      </c>
      <c r="F216" s="2">
        <v>4</v>
      </c>
      <c r="G216" s="2" t="b">
        <v>0</v>
      </c>
      <c r="H216" s="2">
        <v>1</v>
      </c>
      <c r="I216" s="2">
        <v>1</v>
      </c>
      <c r="J216" s="2">
        <v>0.2</v>
      </c>
      <c r="K216" s="2">
        <v>0.2576</v>
      </c>
      <c r="L216" s="2">
        <v>0.86</v>
      </c>
      <c r="M216" s="2">
        <v>0</v>
      </c>
      <c r="N216" s="2">
        <v>1</v>
      </c>
      <c r="O216" s="2">
        <v>1</v>
      </c>
      <c r="P216" s="2">
        <v>2</v>
      </c>
    </row>
    <row r="217" spans="1:16" x14ac:dyDescent="0.3">
      <c r="A217" s="2">
        <v>835</v>
      </c>
      <c r="B217" s="3">
        <v>40581</v>
      </c>
      <c r="C217" s="2">
        <v>1</v>
      </c>
      <c r="D217" s="2">
        <v>0</v>
      </c>
      <c r="E217" s="2">
        <v>2</v>
      </c>
      <c r="F217" s="2">
        <v>5</v>
      </c>
      <c r="G217" s="2" t="b">
        <v>0</v>
      </c>
      <c r="H217" s="2">
        <v>1</v>
      </c>
      <c r="I217" s="2">
        <v>1</v>
      </c>
      <c r="J217" s="2">
        <v>0.2</v>
      </c>
      <c r="K217" s="2">
        <v>0.2576</v>
      </c>
      <c r="L217" s="2">
        <v>0.86</v>
      </c>
      <c r="M217" s="2">
        <v>0</v>
      </c>
      <c r="N217" s="2">
        <v>1</v>
      </c>
      <c r="O217" s="2">
        <v>9</v>
      </c>
      <c r="P217" s="2">
        <v>10</v>
      </c>
    </row>
    <row r="218" spans="1:16" x14ac:dyDescent="0.3">
      <c r="A218" s="2">
        <v>836</v>
      </c>
      <c r="B218" s="3">
        <v>40581</v>
      </c>
      <c r="C218" s="2">
        <v>1</v>
      </c>
      <c r="D218" s="2">
        <v>0</v>
      </c>
      <c r="E218" s="2">
        <v>2</v>
      </c>
      <c r="F218" s="2">
        <v>6</v>
      </c>
      <c r="G218" s="2" t="b">
        <v>0</v>
      </c>
      <c r="H218" s="2">
        <v>1</v>
      </c>
      <c r="I218" s="2">
        <v>1</v>
      </c>
      <c r="J218" s="2">
        <v>0.18</v>
      </c>
      <c r="K218" s="2">
        <v>0.2424</v>
      </c>
      <c r="L218" s="2">
        <v>0.93</v>
      </c>
      <c r="M218" s="2">
        <v>0</v>
      </c>
      <c r="N218" s="2">
        <v>1</v>
      </c>
      <c r="O218" s="2">
        <v>29</v>
      </c>
      <c r="P218" s="2">
        <v>30</v>
      </c>
    </row>
    <row r="219" spans="1:16" x14ac:dyDescent="0.3">
      <c r="A219" s="2">
        <v>837</v>
      </c>
      <c r="B219" s="3">
        <v>40581</v>
      </c>
      <c r="C219" s="2">
        <v>1</v>
      </c>
      <c r="D219" s="2">
        <v>0</v>
      </c>
      <c r="E219" s="2">
        <v>2</v>
      </c>
      <c r="F219" s="2">
        <v>7</v>
      </c>
      <c r="G219" s="2" t="b">
        <v>0</v>
      </c>
      <c r="H219" s="2">
        <v>1</v>
      </c>
      <c r="I219" s="2">
        <v>1</v>
      </c>
      <c r="J219" s="2">
        <v>0.18</v>
      </c>
      <c r="K219" s="2">
        <v>0.2424</v>
      </c>
      <c r="L219" s="2">
        <v>0.86</v>
      </c>
      <c r="M219" s="2">
        <v>0</v>
      </c>
      <c r="N219" s="2">
        <v>6</v>
      </c>
      <c r="O219" s="2">
        <v>89</v>
      </c>
      <c r="P219" s="2">
        <v>95</v>
      </c>
    </row>
    <row r="220" spans="1:16" x14ac:dyDescent="0.3">
      <c r="A220" s="2">
        <v>838</v>
      </c>
      <c r="B220" s="3">
        <v>40581</v>
      </c>
      <c r="C220" s="2">
        <v>1</v>
      </c>
      <c r="D220" s="2">
        <v>0</v>
      </c>
      <c r="E220" s="2">
        <v>2</v>
      </c>
      <c r="F220" s="2">
        <v>8</v>
      </c>
      <c r="G220" s="2" t="b">
        <v>0</v>
      </c>
      <c r="H220" s="2">
        <v>1</v>
      </c>
      <c r="I220" s="2">
        <v>2</v>
      </c>
      <c r="J220" s="2">
        <v>0.16</v>
      </c>
      <c r="K220" s="2">
        <v>0.2273</v>
      </c>
      <c r="L220" s="2">
        <v>1</v>
      </c>
      <c r="M220" s="2">
        <v>0</v>
      </c>
      <c r="N220" s="2">
        <v>7</v>
      </c>
      <c r="O220" s="2">
        <v>223</v>
      </c>
      <c r="P220" s="2">
        <v>230</v>
      </c>
    </row>
    <row r="221" spans="1:16" x14ac:dyDescent="0.3">
      <c r="A221" s="2">
        <v>839</v>
      </c>
      <c r="B221" s="3">
        <v>40581</v>
      </c>
      <c r="C221" s="2">
        <v>1</v>
      </c>
      <c r="D221" s="2">
        <v>0</v>
      </c>
      <c r="E221" s="2">
        <v>2</v>
      </c>
      <c r="F221" s="2">
        <v>9</v>
      </c>
      <c r="G221" s="2" t="b">
        <v>0</v>
      </c>
      <c r="H221" s="2">
        <v>1</v>
      </c>
      <c r="I221" s="2">
        <v>1</v>
      </c>
      <c r="J221" s="2">
        <v>0.22</v>
      </c>
      <c r="K221" s="2">
        <v>0.2727</v>
      </c>
      <c r="L221" s="2">
        <v>0.8</v>
      </c>
      <c r="M221" s="2">
        <v>0</v>
      </c>
      <c r="N221" s="2">
        <v>3</v>
      </c>
      <c r="O221" s="2">
        <v>115</v>
      </c>
      <c r="P221" s="2">
        <v>118</v>
      </c>
    </row>
    <row r="222" spans="1:16" x14ac:dyDescent="0.3">
      <c r="A222" s="2">
        <v>840</v>
      </c>
      <c r="B222" s="3">
        <v>40581</v>
      </c>
      <c r="C222" s="2">
        <v>1</v>
      </c>
      <c r="D222" s="2">
        <v>0</v>
      </c>
      <c r="E222" s="2">
        <v>2</v>
      </c>
      <c r="F222" s="2">
        <v>10</v>
      </c>
      <c r="G222" s="2" t="b">
        <v>0</v>
      </c>
      <c r="H222" s="2">
        <v>1</v>
      </c>
      <c r="I222" s="2">
        <v>1</v>
      </c>
      <c r="J222" s="2">
        <v>0.24</v>
      </c>
      <c r="K222" s="2">
        <v>0.2576</v>
      </c>
      <c r="L222" s="2">
        <v>0.75</v>
      </c>
      <c r="M222" s="2">
        <v>0.1045</v>
      </c>
      <c r="N222" s="2">
        <v>6</v>
      </c>
      <c r="O222" s="2">
        <v>49</v>
      </c>
      <c r="P222" s="2">
        <v>55</v>
      </c>
    </row>
    <row r="223" spans="1:16" x14ac:dyDescent="0.3">
      <c r="A223" s="2">
        <v>841</v>
      </c>
      <c r="B223" s="3">
        <v>40581</v>
      </c>
      <c r="C223" s="2">
        <v>1</v>
      </c>
      <c r="D223" s="2">
        <v>0</v>
      </c>
      <c r="E223" s="2">
        <v>2</v>
      </c>
      <c r="F223" s="2">
        <v>11</v>
      </c>
      <c r="G223" s="2" t="b">
        <v>0</v>
      </c>
      <c r="H223" s="2">
        <v>1</v>
      </c>
      <c r="I223" s="2">
        <v>1</v>
      </c>
      <c r="J223" s="2">
        <v>0.3</v>
      </c>
      <c r="K223" s="2">
        <v>0.31819999999999998</v>
      </c>
      <c r="L223" s="2">
        <v>0.65</v>
      </c>
      <c r="M223" s="2">
        <v>8.9599999999999999E-2</v>
      </c>
      <c r="N223" s="2">
        <v>11</v>
      </c>
      <c r="O223" s="2">
        <v>36</v>
      </c>
      <c r="P223" s="2">
        <v>47</v>
      </c>
    </row>
    <row r="224" spans="1:16" x14ac:dyDescent="0.3">
      <c r="A224" s="2">
        <v>842</v>
      </c>
      <c r="B224" s="3">
        <v>40581</v>
      </c>
      <c r="C224" s="2">
        <v>1</v>
      </c>
      <c r="D224" s="2">
        <v>0</v>
      </c>
      <c r="E224" s="2">
        <v>2</v>
      </c>
      <c r="F224" s="2">
        <v>12</v>
      </c>
      <c r="G224" s="2" t="b">
        <v>0</v>
      </c>
      <c r="H224" s="2">
        <v>1</v>
      </c>
      <c r="I224" s="2">
        <v>2</v>
      </c>
      <c r="J224" s="2">
        <v>0.32</v>
      </c>
      <c r="K224" s="2">
        <v>0.34849999999999998</v>
      </c>
      <c r="L224" s="2">
        <v>0.62</v>
      </c>
      <c r="M224" s="2">
        <v>0</v>
      </c>
      <c r="N224" s="2">
        <v>7</v>
      </c>
      <c r="O224" s="2">
        <v>59</v>
      </c>
      <c r="P224" s="2">
        <v>66</v>
      </c>
    </row>
    <row r="225" spans="1:16" x14ac:dyDescent="0.3">
      <c r="A225" s="2">
        <v>843</v>
      </c>
      <c r="B225" s="3">
        <v>40581</v>
      </c>
      <c r="C225" s="2">
        <v>1</v>
      </c>
      <c r="D225" s="2">
        <v>0</v>
      </c>
      <c r="E225" s="2">
        <v>2</v>
      </c>
      <c r="F225" s="2">
        <v>13</v>
      </c>
      <c r="G225" s="2" t="b">
        <v>0</v>
      </c>
      <c r="H225" s="2">
        <v>1</v>
      </c>
      <c r="I225" s="2">
        <v>2</v>
      </c>
      <c r="J225" s="2">
        <v>0.36</v>
      </c>
      <c r="K225" s="2">
        <v>0.36359999999999998</v>
      </c>
      <c r="L225" s="2">
        <v>0.56999999999999995</v>
      </c>
      <c r="M225" s="2">
        <v>8.9599999999999999E-2</v>
      </c>
      <c r="N225" s="2">
        <v>10</v>
      </c>
      <c r="O225" s="2">
        <v>54</v>
      </c>
      <c r="P225" s="2">
        <v>64</v>
      </c>
    </row>
    <row r="226" spans="1:16" x14ac:dyDescent="0.3">
      <c r="A226" s="2">
        <v>844</v>
      </c>
      <c r="B226" s="3">
        <v>40581</v>
      </c>
      <c r="C226" s="2">
        <v>1</v>
      </c>
      <c r="D226" s="2">
        <v>0</v>
      </c>
      <c r="E226" s="2">
        <v>2</v>
      </c>
      <c r="F226" s="2">
        <v>14</v>
      </c>
      <c r="G226" s="2" t="b">
        <v>0</v>
      </c>
      <c r="H226" s="2">
        <v>1</v>
      </c>
      <c r="I226" s="2">
        <v>2</v>
      </c>
      <c r="J226" s="2">
        <v>0.36</v>
      </c>
      <c r="K226" s="2">
        <v>0.36359999999999998</v>
      </c>
      <c r="L226" s="2">
        <v>0.56999999999999995</v>
      </c>
      <c r="M226" s="2">
        <v>8.9599999999999999E-2</v>
      </c>
      <c r="N226" s="2">
        <v>8</v>
      </c>
      <c r="O226" s="2">
        <v>52</v>
      </c>
      <c r="P226" s="2">
        <v>60</v>
      </c>
    </row>
    <row r="227" spans="1:16" x14ac:dyDescent="0.3">
      <c r="A227" s="2">
        <v>845</v>
      </c>
      <c r="B227" s="3">
        <v>40581</v>
      </c>
      <c r="C227" s="2">
        <v>1</v>
      </c>
      <c r="D227" s="2">
        <v>0</v>
      </c>
      <c r="E227" s="2">
        <v>2</v>
      </c>
      <c r="F227" s="2">
        <v>15</v>
      </c>
      <c r="G227" s="2" t="b">
        <v>0</v>
      </c>
      <c r="H227" s="2">
        <v>1</v>
      </c>
      <c r="I227" s="2">
        <v>2</v>
      </c>
      <c r="J227" s="2">
        <v>0.38</v>
      </c>
      <c r="K227" s="2">
        <v>0.39389999999999997</v>
      </c>
      <c r="L227" s="2">
        <v>0.54</v>
      </c>
      <c r="M227" s="2">
        <v>8.9599999999999999E-2</v>
      </c>
      <c r="N227" s="2">
        <v>4</v>
      </c>
      <c r="O227" s="2">
        <v>46</v>
      </c>
      <c r="P227" s="2">
        <v>50</v>
      </c>
    </row>
    <row r="228" spans="1:16" x14ac:dyDescent="0.3">
      <c r="A228" s="2">
        <v>846</v>
      </c>
      <c r="B228" s="3">
        <v>40581</v>
      </c>
      <c r="C228" s="2">
        <v>1</v>
      </c>
      <c r="D228" s="2">
        <v>0</v>
      </c>
      <c r="E228" s="2">
        <v>2</v>
      </c>
      <c r="F228" s="2">
        <v>16</v>
      </c>
      <c r="G228" s="2" t="b">
        <v>0</v>
      </c>
      <c r="H228" s="2">
        <v>1</v>
      </c>
      <c r="I228" s="2">
        <v>2</v>
      </c>
      <c r="J228" s="2">
        <v>0.36</v>
      </c>
      <c r="K228" s="2">
        <v>0.34849999999999998</v>
      </c>
      <c r="L228" s="2">
        <v>0.56999999999999995</v>
      </c>
      <c r="M228" s="2">
        <v>0.1343</v>
      </c>
      <c r="N228" s="2">
        <v>16</v>
      </c>
      <c r="O228" s="2">
        <v>98</v>
      </c>
      <c r="P228" s="2">
        <v>114</v>
      </c>
    </row>
    <row r="229" spans="1:16" x14ac:dyDescent="0.3">
      <c r="A229" s="2">
        <v>847</v>
      </c>
      <c r="B229" s="3">
        <v>40581</v>
      </c>
      <c r="C229" s="2">
        <v>1</v>
      </c>
      <c r="D229" s="2">
        <v>0</v>
      </c>
      <c r="E229" s="2">
        <v>2</v>
      </c>
      <c r="F229" s="2">
        <v>17</v>
      </c>
      <c r="G229" s="2" t="b">
        <v>0</v>
      </c>
      <c r="H229" s="2">
        <v>1</v>
      </c>
      <c r="I229" s="2">
        <v>2</v>
      </c>
      <c r="J229" s="2">
        <v>0.32</v>
      </c>
      <c r="K229" s="2">
        <v>0.31819999999999998</v>
      </c>
      <c r="L229" s="2">
        <v>0.7</v>
      </c>
      <c r="M229" s="2">
        <v>0.16420000000000001</v>
      </c>
      <c r="N229" s="2">
        <v>9</v>
      </c>
      <c r="O229" s="2">
        <v>207</v>
      </c>
      <c r="P229" s="2">
        <v>216</v>
      </c>
    </row>
    <row r="230" spans="1:16" x14ac:dyDescent="0.3">
      <c r="A230" s="2">
        <v>848</v>
      </c>
      <c r="B230" s="3">
        <v>40581</v>
      </c>
      <c r="C230" s="2">
        <v>1</v>
      </c>
      <c r="D230" s="2">
        <v>0</v>
      </c>
      <c r="E230" s="2">
        <v>2</v>
      </c>
      <c r="F230" s="2">
        <v>18</v>
      </c>
      <c r="G230" s="2" t="b">
        <v>0</v>
      </c>
      <c r="H230" s="2">
        <v>1</v>
      </c>
      <c r="I230" s="2">
        <v>2</v>
      </c>
      <c r="J230" s="2">
        <v>0.34</v>
      </c>
      <c r="K230" s="2">
        <v>0.33329999999999999</v>
      </c>
      <c r="L230" s="2">
        <v>0.66</v>
      </c>
      <c r="M230" s="2">
        <v>0.1343</v>
      </c>
      <c r="N230" s="2">
        <v>5</v>
      </c>
      <c r="O230" s="2">
        <v>170</v>
      </c>
      <c r="P230" s="2">
        <v>175</v>
      </c>
    </row>
    <row r="231" spans="1:16" x14ac:dyDescent="0.3">
      <c r="A231" s="2">
        <v>849</v>
      </c>
      <c r="B231" s="3">
        <v>40581</v>
      </c>
      <c r="C231" s="2">
        <v>1</v>
      </c>
      <c r="D231" s="2">
        <v>0</v>
      </c>
      <c r="E231" s="2">
        <v>2</v>
      </c>
      <c r="F231" s="2">
        <v>19</v>
      </c>
      <c r="G231" s="2" t="b">
        <v>0</v>
      </c>
      <c r="H231" s="2">
        <v>1</v>
      </c>
      <c r="I231" s="2">
        <v>2</v>
      </c>
      <c r="J231" s="2">
        <v>0.32</v>
      </c>
      <c r="K231" s="2">
        <v>0.34849999999999998</v>
      </c>
      <c r="L231" s="2">
        <v>0.7</v>
      </c>
      <c r="M231" s="2">
        <v>0</v>
      </c>
      <c r="N231" s="2">
        <v>5</v>
      </c>
      <c r="O231" s="2">
        <v>123</v>
      </c>
      <c r="P231" s="2">
        <v>128</v>
      </c>
    </row>
    <row r="232" spans="1:16" x14ac:dyDescent="0.3">
      <c r="A232" s="2">
        <v>850</v>
      </c>
      <c r="B232" s="3">
        <v>40581</v>
      </c>
      <c r="C232" s="2">
        <v>1</v>
      </c>
      <c r="D232" s="2">
        <v>0</v>
      </c>
      <c r="E232" s="2">
        <v>2</v>
      </c>
      <c r="F232" s="2">
        <v>20</v>
      </c>
      <c r="G232" s="2" t="b">
        <v>0</v>
      </c>
      <c r="H232" s="2">
        <v>1</v>
      </c>
      <c r="I232" s="2">
        <v>2</v>
      </c>
      <c r="J232" s="2">
        <v>0.32</v>
      </c>
      <c r="K232" s="2">
        <v>0.33329999999999999</v>
      </c>
      <c r="L232" s="2">
        <v>0.7</v>
      </c>
      <c r="M232" s="2">
        <v>0.1045</v>
      </c>
      <c r="N232" s="2">
        <v>6</v>
      </c>
      <c r="O232" s="2">
        <v>82</v>
      </c>
      <c r="P232" s="2">
        <v>88</v>
      </c>
    </row>
    <row r="233" spans="1:16" x14ac:dyDescent="0.3">
      <c r="A233" s="2">
        <v>851</v>
      </c>
      <c r="B233" s="3">
        <v>40581</v>
      </c>
      <c r="C233" s="2">
        <v>1</v>
      </c>
      <c r="D233" s="2">
        <v>0</v>
      </c>
      <c r="E233" s="2">
        <v>2</v>
      </c>
      <c r="F233" s="2">
        <v>21</v>
      </c>
      <c r="G233" s="2" t="b">
        <v>0</v>
      </c>
      <c r="H233" s="2">
        <v>1</v>
      </c>
      <c r="I233" s="2">
        <v>1</v>
      </c>
      <c r="J233" s="2">
        <v>0.32</v>
      </c>
      <c r="K233" s="2">
        <v>0.34849999999999998</v>
      </c>
      <c r="L233" s="2">
        <v>0.7</v>
      </c>
      <c r="M233" s="2">
        <v>0</v>
      </c>
      <c r="N233" s="2">
        <v>3</v>
      </c>
      <c r="O233" s="2">
        <v>75</v>
      </c>
      <c r="P233" s="2">
        <v>78</v>
      </c>
    </row>
    <row r="234" spans="1:16" x14ac:dyDescent="0.3">
      <c r="A234" s="2">
        <v>852</v>
      </c>
      <c r="B234" s="3">
        <v>40581</v>
      </c>
      <c r="C234" s="2">
        <v>1</v>
      </c>
      <c r="D234" s="2">
        <v>0</v>
      </c>
      <c r="E234" s="2">
        <v>2</v>
      </c>
      <c r="F234" s="2">
        <v>22</v>
      </c>
      <c r="G234" s="2" t="b">
        <v>0</v>
      </c>
      <c r="H234" s="2">
        <v>1</v>
      </c>
      <c r="I234" s="2">
        <v>1</v>
      </c>
      <c r="J234" s="2">
        <v>0.28000000000000003</v>
      </c>
      <c r="K234" s="2">
        <v>0.30299999999999999</v>
      </c>
      <c r="L234" s="2">
        <v>0.81</v>
      </c>
      <c r="M234" s="2">
        <v>8.9599999999999999E-2</v>
      </c>
      <c r="N234" s="2">
        <v>3</v>
      </c>
      <c r="O234" s="2">
        <v>34</v>
      </c>
      <c r="P234" s="2">
        <v>37</v>
      </c>
    </row>
    <row r="235" spans="1:16" x14ac:dyDescent="0.3">
      <c r="A235" s="2">
        <v>853</v>
      </c>
      <c r="B235" s="3">
        <v>40581</v>
      </c>
      <c r="C235" s="2">
        <v>1</v>
      </c>
      <c r="D235" s="2">
        <v>0</v>
      </c>
      <c r="E235" s="2">
        <v>2</v>
      </c>
      <c r="F235" s="2">
        <v>23</v>
      </c>
      <c r="G235" s="2" t="b">
        <v>0</v>
      </c>
      <c r="H235" s="2">
        <v>1</v>
      </c>
      <c r="I235" s="2">
        <v>2</v>
      </c>
      <c r="J235" s="2">
        <v>0.3</v>
      </c>
      <c r="K235" s="2">
        <v>0.33329999999999999</v>
      </c>
      <c r="L235" s="2">
        <v>0.81</v>
      </c>
      <c r="M235" s="2">
        <v>0</v>
      </c>
      <c r="N235" s="2">
        <v>6</v>
      </c>
      <c r="O235" s="2">
        <v>19</v>
      </c>
      <c r="P235" s="2">
        <v>25</v>
      </c>
    </row>
    <row r="236" spans="1:16" x14ac:dyDescent="0.3">
      <c r="A236" s="2">
        <v>854</v>
      </c>
      <c r="B236" s="3">
        <v>40582</v>
      </c>
      <c r="C236" s="2">
        <v>1</v>
      </c>
      <c r="D236" s="2">
        <v>0</v>
      </c>
      <c r="E236" s="2">
        <v>2</v>
      </c>
      <c r="F236" s="2">
        <v>0</v>
      </c>
      <c r="G236" s="2" t="b">
        <v>0</v>
      </c>
      <c r="H236" s="2">
        <v>2</v>
      </c>
      <c r="I236" s="2">
        <v>2</v>
      </c>
      <c r="J236" s="2">
        <v>0.28000000000000003</v>
      </c>
      <c r="K236" s="2">
        <v>0.31819999999999998</v>
      </c>
      <c r="L236" s="2">
        <v>0.87</v>
      </c>
      <c r="M236" s="2">
        <v>0</v>
      </c>
      <c r="N236" s="2">
        <v>4</v>
      </c>
      <c r="O236" s="2">
        <v>6</v>
      </c>
      <c r="P236" s="2">
        <v>10</v>
      </c>
    </row>
    <row r="237" spans="1:16" x14ac:dyDescent="0.3">
      <c r="A237" s="2">
        <v>855</v>
      </c>
      <c r="B237" s="3">
        <v>40582</v>
      </c>
      <c r="C237" s="2">
        <v>1</v>
      </c>
      <c r="D237" s="2">
        <v>0</v>
      </c>
      <c r="E237" s="2">
        <v>2</v>
      </c>
      <c r="F237" s="2">
        <v>1</v>
      </c>
      <c r="G237" s="2" t="b">
        <v>0</v>
      </c>
      <c r="H237" s="2">
        <v>2</v>
      </c>
      <c r="I237" s="2">
        <v>2</v>
      </c>
      <c r="J237" s="2">
        <v>0.28000000000000003</v>
      </c>
      <c r="K237" s="2">
        <v>0.31819999999999998</v>
      </c>
      <c r="L237" s="2">
        <v>0.87</v>
      </c>
      <c r="M237" s="2">
        <v>0</v>
      </c>
      <c r="N237" s="2">
        <v>0</v>
      </c>
      <c r="O237" s="2">
        <v>4</v>
      </c>
      <c r="P237" s="2">
        <v>4</v>
      </c>
    </row>
    <row r="238" spans="1:16" x14ac:dyDescent="0.3">
      <c r="A238" s="2">
        <v>856</v>
      </c>
      <c r="B238" s="3">
        <v>40582</v>
      </c>
      <c r="C238" s="2">
        <v>1</v>
      </c>
      <c r="D238" s="2">
        <v>0</v>
      </c>
      <c r="E238" s="2">
        <v>2</v>
      </c>
      <c r="F238" s="2">
        <v>2</v>
      </c>
      <c r="G238" s="2" t="b">
        <v>0</v>
      </c>
      <c r="H238" s="2">
        <v>2</v>
      </c>
      <c r="I238" s="2">
        <v>2</v>
      </c>
      <c r="J238" s="2">
        <v>0.26</v>
      </c>
      <c r="K238" s="2">
        <v>0.2727</v>
      </c>
      <c r="L238" s="2">
        <v>0.93</v>
      </c>
      <c r="M238" s="2">
        <v>0.1045</v>
      </c>
      <c r="N238" s="2">
        <v>1</v>
      </c>
      <c r="O238" s="2">
        <v>1</v>
      </c>
      <c r="P238" s="2">
        <v>2</v>
      </c>
    </row>
    <row r="239" spans="1:16" x14ac:dyDescent="0.3">
      <c r="A239" s="2">
        <v>857</v>
      </c>
      <c r="B239" s="3">
        <v>40582</v>
      </c>
      <c r="C239" s="2">
        <v>1</v>
      </c>
      <c r="D239" s="2">
        <v>0</v>
      </c>
      <c r="E239" s="2">
        <v>2</v>
      </c>
      <c r="F239" s="2">
        <v>3</v>
      </c>
      <c r="G239" s="2" t="b">
        <v>0</v>
      </c>
      <c r="H239" s="2">
        <v>2</v>
      </c>
      <c r="I239" s="2">
        <v>3</v>
      </c>
      <c r="J239" s="2">
        <v>0.28000000000000003</v>
      </c>
      <c r="K239" s="2">
        <v>0.2727</v>
      </c>
      <c r="L239" s="2">
        <v>0.93</v>
      </c>
      <c r="M239" s="2">
        <v>0.16420000000000001</v>
      </c>
      <c r="N239" s="2">
        <v>0</v>
      </c>
      <c r="O239" s="2">
        <v>1</v>
      </c>
      <c r="P239" s="2">
        <v>1</v>
      </c>
    </row>
    <row r="240" spans="1:16" x14ac:dyDescent="0.3">
      <c r="A240" s="2">
        <v>858</v>
      </c>
      <c r="B240" s="3">
        <v>40582</v>
      </c>
      <c r="C240" s="2">
        <v>1</v>
      </c>
      <c r="D240" s="2">
        <v>0</v>
      </c>
      <c r="E240" s="2">
        <v>2</v>
      </c>
      <c r="F240" s="2">
        <v>4</v>
      </c>
      <c r="G240" s="2" t="b">
        <v>0</v>
      </c>
      <c r="H240" s="2">
        <v>2</v>
      </c>
      <c r="I240" s="2">
        <v>1</v>
      </c>
      <c r="J240" s="2">
        <v>0.26</v>
      </c>
      <c r="K240" s="2">
        <v>0.2576</v>
      </c>
      <c r="L240" s="2">
        <v>0.93</v>
      </c>
      <c r="M240" s="2">
        <v>0.16420000000000001</v>
      </c>
      <c r="N240" s="2">
        <v>0</v>
      </c>
      <c r="O240" s="2">
        <v>3</v>
      </c>
      <c r="P240" s="2">
        <v>3</v>
      </c>
    </row>
    <row r="241" spans="1:16" x14ac:dyDescent="0.3">
      <c r="A241" s="2">
        <v>859</v>
      </c>
      <c r="B241" s="3">
        <v>40582</v>
      </c>
      <c r="C241" s="2">
        <v>1</v>
      </c>
      <c r="D241" s="2">
        <v>0</v>
      </c>
      <c r="E241" s="2">
        <v>2</v>
      </c>
      <c r="F241" s="2">
        <v>5</v>
      </c>
      <c r="G241" s="2" t="b">
        <v>0</v>
      </c>
      <c r="H241" s="2">
        <v>2</v>
      </c>
      <c r="I241" s="2">
        <v>1</v>
      </c>
      <c r="J241" s="2">
        <v>0.26</v>
      </c>
      <c r="K241" s="2">
        <v>0.2273</v>
      </c>
      <c r="L241" s="2">
        <v>0.81</v>
      </c>
      <c r="M241" s="2">
        <v>0.32840000000000003</v>
      </c>
      <c r="N241" s="2">
        <v>0</v>
      </c>
      <c r="O241" s="2">
        <v>2</v>
      </c>
      <c r="P241" s="2">
        <v>2</v>
      </c>
    </row>
    <row r="242" spans="1:16" x14ac:dyDescent="0.3">
      <c r="A242" s="2">
        <v>860</v>
      </c>
      <c r="B242" s="3">
        <v>40582</v>
      </c>
      <c r="C242" s="2">
        <v>1</v>
      </c>
      <c r="D242" s="2">
        <v>0</v>
      </c>
      <c r="E242" s="2">
        <v>2</v>
      </c>
      <c r="F242" s="2">
        <v>6</v>
      </c>
      <c r="G242" s="2" t="b">
        <v>0</v>
      </c>
      <c r="H242" s="2">
        <v>2</v>
      </c>
      <c r="I242" s="2">
        <v>1</v>
      </c>
      <c r="J242" s="2">
        <v>0.26</v>
      </c>
      <c r="K242" s="2">
        <v>0.2273</v>
      </c>
      <c r="L242" s="2">
        <v>0.7</v>
      </c>
      <c r="M242" s="2">
        <v>0.32840000000000003</v>
      </c>
      <c r="N242" s="2">
        <v>0</v>
      </c>
      <c r="O242" s="2">
        <v>39</v>
      </c>
      <c r="P242" s="2">
        <v>39</v>
      </c>
    </row>
    <row r="243" spans="1:16" x14ac:dyDescent="0.3">
      <c r="A243" s="2">
        <v>861</v>
      </c>
      <c r="B243" s="3">
        <v>40582</v>
      </c>
      <c r="C243" s="2">
        <v>1</v>
      </c>
      <c r="D243" s="2">
        <v>0</v>
      </c>
      <c r="E243" s="2">
        <v>2</v>
      </c>
      <c r="F243" s="2">
        <v>7</v>
      </c>
      <c r="G243" s="2" t="b">
        <v>0</v>
      </c>
      <c r="H243" s="2">
        <v>2</v>
      </c>
      <c r="I243" s="2">
        <v>1</v>
      </c>
      <c r="J243" s="2">
        <v>0.24</v>
      </c>
      <c r="K243" s="2">
        <v>0.19700000000000001</v>
      </c>
      <c r="L243" s="2">
        <v>0.65</v>
      </c>
      <c r="M243" s="2">
        <v>0.41789999999999999</v>
      </c>
      <c r="N243" s="2">
        <v>3</v>
      </c>
      <c r="O243" s="2">
        <v>97</v>
      </c>
      <c r="P243" s="2">
        <v>100</v>
      </c>
    </row>
    <row r="244" spans="1:16" x14ac:dyDescent="0.3">
      <c r="A244" s="2">
        <v>862</v>
      </c>
      <c r="B244" s="3">
        <v>40582</v>
      </c>
      <c r="C244" s="2">
        <v>1</v>
      </c>
      <c r="D244" s="2">
        <v>0</v>
      </c>
      <c r="E244" s="2">
        <v>2</v>
      </c>
      <c r="F244" s="2">
        <v>8</v>
      </c>
      <c r="G244" s="2" t="b">
        <v>0</v>
      </c>
      <c r="H244" s="2">
        <v>2</v>
      </c>
      <c r="I244" s="2">
        <v>1</v>
      </c>
      <c r="J244" s="2">
        <v>0.24</v>
      </c>
      <c r="K244" s="2">
        <v>0.19700000000000001</v>
      </c>
      <c r="L244" s="2">
        <v>0.56000000000000005</v>
      </c>
      <c r="M244" s="2">
        <v>0.49249999999999999</v>
      </c>
      <c r="N244" s="2">
        <v>7</v>
      </c>
      <c r="O244" s="2">
        <v>236</v>
      </c>
      <c r="P244" s="2">
        <v>243</v>
      </c>
    </row>
    <row r="245" spans="1:16" x14ac:dyDescent="0.3">
      <c r="A245" s="2">
        <v>863</v>
      </c>
      <c r="B245" s="3">
        <v>40582</v>
      </c>
      <c r="C245" s="2">
        <v>1</v>
      </c>
      <c r="D245" s="2">
        <v>0</v>
      </c>
      <c r="E245" s="2">
        <v>2</v>
      </c>
      <c r="F245" s="2">
        <v>9</v>
      </c>
      <c r="G245" s="2" t="b">
        <v>0</v>
      </c>
      <c r="H245" s="2">
        <v>2</v>
      </c>
      <c r="I245" s="2">
        <v>1</v>
      </c>
      <c r="J245" s="2">
        <v>0.24</v>
      </c>
      <c r="K245" s="2">
        <v>0.19700000000000001</v>
      </c>
      <c r="L245" s="2">
        <v>0.52</v>
      </c>
      <c r="M245" s="2">
        <v>0.49249999999999999</v>
      </c>
      <c r="N245" s="2">
        <v>7</v>
      </c>
      <c r="O245" s="2">
        <v>128</v>
      </c>
      <c r="P245" s="2">
        <v>135</v>
      </c>
    </row>
    <row r="246" spans="1:16" x14ac:dyDescent="0.3">
      <c r="A246" s="2">
        <v>864</v>
      </c>
      <c r="B246" s="3">
        <v>40582</v>
      </c>
      <c r="C246" s="2">
        <v>1</v>
      </c>
      <c r="D246" s="2">
        <v>0</v>
      </c>
      <c r="E246" s="2">
        <v>2</v>
      </c>
      <c r="F246" s="2">
        <v>10</v>
      </c>
      <c r="G246" s="2" t="b">
        <v>0</v>
      </c>
      <c r="H246" s="2">
        <v>2</v>
      </c>
      <c r="I246" s="2">
        <v>1</v>
      </c>
      <c r="J246" s="2">
        <v>0.22</v>
      </c>
      <c r="K246" s="2">
        <v>0.18179999999999999</v>
      </c>
      <c r="L246" s="2">
        <v>0.47</v>
      </c>
      <c r="M246" s="2">
        <v>0.55220000000000002</v>
      </c>
      <c r="N246" s="2">
        <v>4</v>
      </c>
      <c r="O246" s="2">
        <v>44</v>
      </c>
      <c r="P246" s="2">
        <v>48</v>
      </c>
    </row>
    <row r="247" spans="1:16" x14ac:dyDescent="0.3">
      <c r="A247" s="2">
        <v>865</v>
      </c>
      <c r="B247" s="3">
        <v>40582</v>
      </c>
      <c r="C247" s="2">
        <v>1</v>
      </c>
      <c r="D247" s="2">
        <v>0</v>
      </c>
      <c r="E247" s="2">
        <v>2</v>
      </c>
      <c r="F247" s="2">
        <v>11</v>
      </c>
      <c r="G247" s="2" t="b">
        <v>0</v>
      </c>
      <c r="H247" s="2">
        <v>2</v>
      </c>
      <c r="I247" s="2">
        <v>1</v>
      </c>
      <c r="J247" s="2">
        <v>0.22</v>
      </c>
      <c r="K247" s="2">
        <v>0.18179999999999999</v>
      </c>
      <c r="L247" s="2">
        <v>0.47</v>
      </c>
      <c r="M247" s="2">
        <v>0.4627</v>
      </c>
      <c r="N247" s="2">
        <v>1</v>
      </c>
      <c r="O247" s="2">
        <v>49</v>
      </c>
      <c r="P247" s="2">
        <v>50</v>
      </c>
    </row>
    <row r="248" spans="1:16" x14ac:dyDescent="0.3">
      <c r="A248" s="2">
        <v>866</v>
      </c>
      <c r="B248" s="3">
        <v>40582</v>
      </c>
      <c r="C248" s="2">
        <v>1</v>
      </c>
      <c r="D248" s="2">
        <v>0</v>
      </c>
      <c r="E248" s="2">
        <v>2</v>
      </c>
      <c r="F248" s="2">
        <v>12</v>
      </c>
      <c r="G248" s="2" t="b">
        <v>0</v>
      </c>
      <c r="H248" s="2">
        <v>2</v>
      </c>
      <c r="I248" s="2">
        <v>1</v>
      </c>
      <c r="J248" s="2">
        <v>0.24</v>
      </c>
      <c r="K248" s="2">
        <v>0.19700000000000001</v>
      </c>
      <c r="L248" s="2">
        <v>0.38</v>
      </c>
      <c r="M248" s="2">
        <v>0.49249999999999999</v>
      </c>
      <c r="N248" s="2">
        <v>2</v>
      </c>
      <c r="O248" s="2">
        <v>63</v>
      </c>
      <c r="P248" s="2">
        <v>65</v>
      </c>
    </row>
    <row r="249" spans="1:16" x14ac:dyDescent="0.3">
      <c r="A249" s="2">
        <v>867</v>
      </c>
      <c r="B249" s="3">
        <v>40582</v>
      </c>
      <c r="C249" s="2">
        <v>1</v>
      </c>
      <c r="D249" s="2">
        <v>0</v>
      </c>
      <c r="E249" s="2">
        <v>2</v>
      </c>
      <c r="F249" s="2">
        <v>13</v>
      </c>
      <c r="G249" s="2" t="b">
        <v>0</v>
      </c>
      <c r="H249" s="2">
        <v>2</v>
      </c>
      <c r="I249" s="2">
        <v>2</v>
      </c>
      <c r="J249" s="2">
        <v>0.24</v>
      </c>
      <c r="K249" s="2">
        <v>0.19700000000000001</v>
      </c>
      <c r="L249" s="2">
        <v>0.32</v>
      </c>
      <c r="M249" s="2">
        <v>0.44779999999999998</v>
      </c>
      <c r="N249" s="2">
        <v>2</v>
      </c>
      <c r="O249" s="2">
        <v>48</v>
      </c>
      <c r="P249" s="2">
        <v>50</v>
      </c>
    </row>
    <row r="250" spans="1:16" x14ac:dyDescent="0.3">
      <c r="A250" s="2">
        <v>868</v>
      </c>
      <c r="B250" s="3">
        <v>40582</v>
      </c>
      <c r="C250" s="2">
        <v>1</v>
      </c>
      <c r="D250" s="2">
        <v>0</v>
      </c>
      <c r="E250" s="2">
        <v>2</v>
      </c>
      <c r="F250" s="2">
        <v>14</v>
      </c>
      <c r="G250" s="2" t="b">
        <v>0</v>
      </c>
      <c r="H250" s="2">
        <v>2</v>
      </c>
      <c r="I250" s="2">
        <v>1</v>
      </c>
      <c r="J250" s="2">
        <v>0.22</v>
      </c>
      <c r="K250" s="2">
        <v>0.19700000000000001</v>
      </c>
      <c r="L250" s="2">
        <v>0.37</v>
      </c>
      <c r="M250" s="2">
        <v>0.41789999999999999</v>
      </c>
      <c r="N250" s="2">
        <v>3</v>
      </c>
      <c r="O250" s="2">
        <v>61</v>
      </c>
      <c r="P250" s="2">
        <v>64</v>
      </c>
    </row>
    <row r="251" spans="1:16" x14ac:dyDescent="0.3">
      <c r="A251" s="2">
        <v>869</v>
      </c>
      <c r="B251" s="3">
        <v>40582</v>
      </c>
      <c r="C251" s="2">
        <v>1</v>
      </c>
      <c r="D251" s="2">
        <v>0</v>
      </c>
      <c r="E251" s="2">
        <v>2</v>
      </c>
      <c r="F251" s="2">
        <v>15</v>
      </c>
      <c r="G251" s="2" t="b">
        <v>0</v>
      </c>
      <c r="H251" s="2">
        <v>2</v>
      </c>
      <c r="I251" s="2">
        <v>1</v>
      </c>
      <c r="J251" s="2">
        <v>0.22</v>
      </c>
      <c r="K251" s="2">
        <v>0.19700000000000001</v>
      </c>
      <c r="L251" s="2">
        <v>0.35</v>
      </c>
      <c r="M251" s="2">
        <v>0.3881</v>
      </c>
      <c r="N251" s="2">
        <v>6</v>
      </c>
      <c r="O251" s="2">
        <v>45</v>
      </c>
      <c r="P251" s="2">
        <v>51</v>
      </c>
    </row>
    <row r="252" spans="1:16" x14ac:dyDescent="0.3">
      <c r="A252" s="2">
        <v>870</v>
      </c>
      <c r="B252" s="3">
        <v>40582</v>
      </c>
      <c r="C252" s="2">
        <v>1</v>
      </c>
      <c r="D252" s="2">
        <v>0</v>
      </c>
      <c r="E252" s="2">
        <v>2</v>
      </c>
      <c r="F252" s="2">
        <v>16</v>
      </c>
      <c r="G252" s="2" t="b">
        <v>0</v>
      </c>
      <c r="H252" s="2">
        <v>2</v>
      </c>
      <c r="I252" s="2">
        <v>1</v>
      </c>
      <c r="J252" s="2">
        <v>0.22</v>
      </c>
      <c r="K252" s="2">
        <v>0.18179999999999999</v>
      </c>
      <c r="L252" s="2">
        <v>0.35</v>
      </c>
      <c r="M252" s="2">
        <v>0.52239999999999998</v>
      </c>
      <c r="N252" s="2">
        <v>4</v>
      </c>
      <c r="O252" s="2">
        <v>79</v>
      </c>
      <c r="P252" s="2">
        <v>83</v>
      </c>
    </row>
    <row r="253" spans="1:16" x14ac:dyDescent="0.3">
      <c r="A253" s="2">
        <v>871</v>
      </c>
      <c r="B253" s="3">
        <v>40582</v>
      </c>
      <c r="C253" s="2">
        <v>1</v>
      </c>
      <c r="D253" s="2">
        <v>0</v>
      </c>
      <c r="E253" s="2">
        <v>2</v>
      </c>
      <c r="F253" s="2">
        <v>17</v>
      </c>
      <c r="G253" s="2" t="b">
        <v>0</v>
      </c>
      <c r="H253" s="2">
        <v>2</v>
      </c>
      <c r="I253" s="2">
        <v>1</v>
      </c>
      <c r="J253" s="2">
        <v>0.22</v>
      </c>
      <c r="K253" s="2">
        <v>0.18179999999999999</v>
      </c>
      <c r="L253" s="2">
        <v>0.32</v>
      </c>
      <c r="M253" s="2">
        <v>0.58209999999999995</v>
      </c>
      <c r="N253" s="2">
        <v>4</v>
      </c>
      <c r="O253" s="2">
        <v>172</v>
      </c>
      <c r="P253" s="2">
        <v>176</v>
      </c>
    </row>
    <row r="254" spans="1:16" x14ac:dyDescent="0.3">
      <c r="A254" s="2">
        <v>872</v>
      </c>
      <c r="B254" s="3">
        <v>40582</v>
      </c>
      <c r="C254" s="2">
        <v>1</v>
      </c>
      <c r="D254" s="2">
        <v>0</v>
      </c>
      <c r="E254" s="2">
        <v>2</v>
      </c>
      <c r="F254" s="2">
        <v>18</v>
      </c>
      <c r="G254" s="2" t="b">
        <v>0</v>
      </c>
      <c r="H254" s="2">
        <v>2</v>
      </c>
      <c r="I254" s="2">
        <v>1</v>
      </c>
      <c r="J254" s="2">
        <v>0.2</v>
      </c>
      <c r="K254" s="2">
        <v>0.18179999999999999</v>
      </c>
      <c r="L254" s="2">
        <v>0.32</v>
      </c>
      <c r="M254" s="2">
        <v>0.3881</v>
      </c>
      <c r="N254" s="2">
        <v>1</v>
      </c>
      <c r="O254" s="2">
        <v>151</v>
      </c>
      <c r="P254" s="2">
        <v>152</v>
      </c>
    </row>
    <row r="255" spans="1:16" x14ac:dyDescent="0.3">
      <c r="A255" s="2">
        <v>873</v>
      </c>
      <c r="B255" s="3">
        <v>40582</v>
      </c>
      <c r="C255" s="2">
        <v>1</v>
      </c>
      <c r="D255" s="2">
        <v>0</v>
      </c>
      <c r="E255" s="2">
        <v>2</v>
      </c>
      <c r="F255" s="2">
        <v>19</v>
      </c>
      <c r="G255" s="2" t="b">
        <v>0</v>
      </c>
      <c r="H255" s="2">
        <v>2</v>
      </c>
      <c r="I255" s="2">
        <v>1</v>
      </c>
      <c r="J255" s="2">
        <v>0.16</v>
      </c>
      <c r="K255" s="2">
        <v>0.1212</v>
      </c>
      <c r="L255" s="2">
        <v>0.4</v>
      </c>
      <c r="M255" s="2">
        <v>0.4627</v>
      </c>
      <c r="N255" s="2">
        <v>1</v>
      </c>
      <c r="O255" s="2">
        <v>100</v>
      </c>
      <c r="P255" s="2">
        <v>101</v>
      </c>
    </row>
    <row r="256" spans="1:16" x14ac:dyDescent="0.3">
      <c r="A256" s="2">
        <v>874</v>
      </c>
      <c r="B256" s="3">
        <v>40582</v>
      </c>
      <c r="C256" s="2">
        <v>1</v>
      </c>
      <c r="D256" s="2">
        <v>0</v>
      </c>
      <c r="E256" s="2">
        <v>2</v>
      </c>
      <c r="F256" s="2">
        <v>20</v>
      </c>
      <c r="G256" s="2" t="b">
        <v>0</v>
      </c>
      <c r="H256" s="2">
        <v>2</v>
      </c>
      <c r="I256" s="2">
        <v>1</v>
      </c>
      <c r="J256" s="2">
        <v>0.16</v>
      </c>
      <c r="K256" s="2">
        <v>0.13639999999999999</v>
      </c>
      <c r="L256" s="2">
        <v>0.4</v>
      </c>
      <c r="M256" s="2">
        <v>0.32840000000000003</v>
      </c>
      <c r="N256" s="2">
        <v>3</v>
      </c>
      <c r="O256" s="2">
        <v>53</v>
      </c>
      <c r="P256" s="2">
        <v>56</v>
      </c>
    </row>
    <row r="257" spans="1:16" x14ac:dyDescent="0.3">
      <c r="A257" s="2">
        <v>875</v>
      </c>
      <c r="B257" s="3">
        <v>40582</v>
      </c>
      <c r="C257" s="2">
        <v>1</v>
      </c>
      <c r="D257" s="2">
        <v>0</v>
      </c>
      <c r="E257" s="2">
        <v>2</v>
      </c>
      <c r="F257" s="2">
        <v>21</v>
      </c>
      <c r="G257" s="2" t="b">
        <v>0</v>
      </c>
      <c r="H257" s="2">
        <v>2</v>
      </c>
      <c r="I257" s="2">
        <v>1</v>
      </c>
      <c r="J257" s="2">
        <v>0.14000000000000001</v>
      </c>
      <c r="K257" s="2">
        <v>0.1061</v>
      </c>
      <c r="L257" s="2">
        <v>0.33</v>
      </c>
      <c r="M257" s="2">
        <v>0.4627</v>
      </c>
      <c r="N257" s="2">
        <v>8</v>
      </c>
      <c r="O257" s="2">
        <v>46</v>
      </c>
      <c r="P257" s="2">
        <v>54</v>
      </c>
    </row>
    <row r="258" spans="1:16" x14ac:dyDescent="0.3">
      <c r="A258" s="2">
        <v>876</v>
      </c>
      <c r="B258" s="3">
        <v>40582</v>
      </c>
      <c r="C258" s="2">
        <v>1</v>
      </c>
      <c r="D258" s="2">
        <v>0</v>
      </c>
      <c r="E258" s="2">
        <v>2</v>
      </c>
      <c r="F258" s="2">
        <v>22</v>
      </c>
      <c r="G258" s="2" t="b">
        <v>0</v>
      </c>
      <c r="H258" s="2">
        <v>2</v>
      </c>
      <c r="I258" s="2">
        <v>1</v>
      </c>
      <c r="J258" s="2">
        <v>0.12</v>
      </c>
      <c r="K258" s="2">
        <v>0.1061</v>
      </c>
      <c r="L258" s="2">
        <v>0.33</v>
      </c>
      <c r="M258" s="2">
        <v>0.35820000000000002</v>
      </c>
      <c r="N258" s="2">
        <v>0</v>
      </c>
      <c r="O258" s="2">
        <v>29</v>
      </c>
      <c r="P258" s="2">
        <v>29</v>
      </c>
    </row>
    <row r="259" spans="1:16" x14ac:dyDescent="0.3">
      <c r="A259" s="2">
        <v>877</v>
      </c>
      <c r="B259" s="3">
        <v>40582</v>
      </c>
      <c r="C259" s="2">
        <v>1</v>
      </c>
      <c r="D259" s="2">
        <v>0</v>
      </c>
      <c r="E259" s="2">
        <v>2</v>
      </c>
      <c r="F259" s="2">
        <v>23</v>
      </c>
      <c r="G259" s="2" t="b">
        <v>0</v>
      </c>
      <c r="H259" s="2">
        <v>2</v>
      </c>
      <c r="I259" s="2">
        <v>1</v>
      </c>
      <c r="J259" s="2">
        <v>0.12</v>
      </c>
      <c r="K259" s="2">
        <v>0.1061</v>
      </c>
      <c r="L259" s="2">
        <v>0.33</v>
      </c>
      <c r="M259" s="2">
        <v>0.32840000000000003</v>
      </c>
      <c r="N259" s="2">
        <v>3</v>
      </c>
      <c r="O259" s="2">
        <v>9</v>
      </c>
      <c r="P259" s="2">
        <v>12</v>
      </c>
    </row>
    <row r="260" spans="1:16" x14ac:dyDescent="0.3">
      <c r="A260" s="2">
        <v>878</v>
      </c>
      <c r="B260" s="3">
        <v>40583</v>
      </c>
      <c r="C260" s="2">
        <v>1</v>
      </c>
      <c r="D260" s="2">
        <v>0</v>
      </c>
      <c r="E260" s="2">
        <v>2</v>
      </c>
      <c r="F260" s="2">
        <v>0</v>
      </c>
      <c r="G260" s="2" t="b">
        <v>0</v>
      </c>
      <c r="H260" s="2">
        <v>3</v>
      </c>
      <c r="I260" s="2">
        <v>1</v>
      </c>
      <c r="J260" s="2">
        <v>0.1</v>
      </c>
      <c r="K260" s="2">
        <v>7.5800000000000006E-2</v>
      </c>
      <c r="L260" s="2">
        <v>0.36</v>
      </c>
      <c r="M260" s="2">
        <v>0.35820000000000002</v>
      </c>
      <c r="N260" s="2">
        <v>0</v>
      </c>
      <c r="O260" s="2">
        <v>17</v>
      </c>
      <c r="P260" s="2">
        <v>17</v>
      </c>
    </row>
    <row r="261" spans="1:16" x14ac:dyDescent="0.3">
      <c r="A261" s="2">
        <v>879</v>
      </c>
      <c r="B261" s="3">
        <v>40583</v>
      </c>
      <c r="C261" s="2">
        <v>1</v>
      </c>
      <c r="D261" s="2">
        <v>0</v>
      </c>
      <c r="E261" s="2">
        <v>2</v>
      </c>
      <c r="F261" s="2">
        <v>1</v>
      </c>
      <c r="G261" s="2" t="b">
        <v>0</v>
      </c>
      <c r="H261" s="2">
        <v>3</v>
      </c>
      <c r="I261" s="2">
        <v>1</v>
      </c>
      <c r="J261" s="2">
        <v>0.1</v>
      </c>
      <c r="K261" s="2">
        <v>0.1061</v>
      </c>
      <c r="L261" s="2">
        <v>0.36</v>
      </c>
      <c r="M261" s="2">
        <v>0.22389999999999999</v>
      </c>
      <c r="N261" s="2">
        <v>0</v>
      </c>
      <c r="O261" s="2">
        <v>7</v>
      </c>
      <c r="P261" s="2">
        <v>7</v>
      </c>
    </row>
    <row r="262" spans="1:16" x14ac:dyDescent="0.3">
      <c r="A262" s="2">
        <v>880</v>
      </c>
      <c r="B262" s="3">
        <v>40583</v>
      </c>
      <c r="C262" s="2">
        <v>1</v>
      </c>
      <c r="D262" s="2">
        <v>0</v>
      </c>
      <c r="E262" s="2">
        <v>2</v>
      </c>
      <c r="F262" s="2">
        <v>2</v>
      </c>
      <c r="G262" s="2" t="b">
        <v>0</v>
      </c>
      <c r="H262" s="2">
        <v>3</v>
      </c>
      <c r="I262" s="2">
        <v>1</v>
      </c>
      <c r="J262" s="2">
        <v>0.08</v>
      </c>
      <c r="K262" s="2">
        <v>7.5800000000000006E-2</v>
      </c>
      <c r="L262" s="2">
        <v>0.38</v>
      </c>
      <c r="M262" s="2">
        <v>0.28360000000000002</v>
      </c>
      <c r="N262" s="2">
        <v>1</v>
      </c>
      <c r="O262" s="2">
        <v>2</v>
      </c>
      <c r="P262" s="2">
        <v>3</v>
      </c>
    </row>
    <row r="263" spans="1:16" x14ac:dyDescent="0.3">
      <c r="A263" s="2">
        <v>881</v>
      </c>
      <c r="B263" s="3">
        <v>40583</v>
      </c>
      <c r="C263" s="2">
        <v>1</v>
      </c>
      <c r="D263" s="2">
        <v>0</v>
      </c>
      <c r="E263" s="2">
        <v>2</v>
      </c>
      <c r="F263" s="2">
        <v>3</v>
      </c>
      <c r="G263" s="2" t="b">
        <v>0</v>
      </c>
      <c r="H263" s="2">
        <v>3</v>
      </c>
      <c r="I263" s="2">
        <v>1</v>
      </c>
      <c r="J263" s="2">
        <v>0.06</v>
      </c>
      <c r="K263" s="2">
        <v>7.5800000000000006E-2</v>
      </c>
      <c r="L263" s="2">
        <v>0.45</v>
      </c>
      <c r="M263" s="2">
        <v>0.1343</v>
      </c>
      <c r="N263" s="2">
        <v>0</v>
      </c>
      <c r="O263" s="2">
        <v>2</v>
      </c>
      <c r="P263" s="2">
        <v>2</v>
      </c>
    </row>
    <row r="264" spans="1:16" x14ac:dyDescent="0.3">
      <c r="A264" s="2">
        <v>882</v>
      </c>
      <c r="B264" s="3">
        <v>40583</v>
      </c>
      <c r="C264" s="2">
        <v>1</v>
      </c>
      <c r="D264" s="2">
        <v>0</v>
      </c>
      <c r="E264" s="2">
        <v>2</v>
      </c>
      <c r="F264" s="2">
        <v>5</v>
      </c>
      <c r="G264" s="2" t="b">
        <v>0</v>
      </c>
      <c r="H264" s="2">
        <v>3</v>
      </c>
      <c r="I264" s="2">
        <v>1</v>
      </c>
      <c r="J264" s="2">
        <v>0.06</v>
      </c>
      <c r="K264" s="2">
        <v>0.1061</v>
      </c>
      <c r="L264" s="2">
        <v>0.45</v>
      </c>
      <c r="M264" s="2">
        <v>0.1045</v>
      </c>
      <c r="N264" s="2">
        <v>0</v>
      </c>
      <c r="O264" s="2">
        <v>7</v>
      </c>
      <c r="P264" s="2">
        <v>7</v>
      </c>
    </row>
    <row r="265" spans="1:16" x14ac:dyDescent="0.3">
      <c r="A265" s="2">
        <v>883</v>
      </c>
      <c r="B265" s="3">
        <v>40583</v>
      </c>
      <c r="C265" s="2">
        <v>1</v>
      </c>
      <c r="D265" s="2">
        <v>0</v>
      </c>
      <c r="E265" s="2">
        <v>2</v>
      </c>
      <c r="F265" s="2">
        <v>6</v>
      </c>
      <c r="G265" s="2" t="b">
        <v>0</v>
      </c>
      <c r="H265" s="2">
        <v>3</v>
      </c>
      <c r="I265" s="2">
        <v>1</v>
      </c>
      <c r="J265" s="2">
        <v>0.06</v>
      </c>
      <c r="K265" s="2">
        <v>0.1515</v>
      </c>
      <c r="L265" s="2">
        <v>0.45</v>
      </c>
      <c r="M265" s="2">
        <v>0</v>
      </c>
      <c r="N265" s="2">
        <v>0</v>
      </c>
      <c r="O265" s="2">
        <v>43</v>
      </c>
      <c r="P265" s="2">
        <v>43</v>
      </c>
    </row>
    <row r="266" spans="1:16" x14ac:dyDescent="0.3">
      <c r="A266" s="2">
        <v>884</v>
      </c>
      <c r="B266" s="3">
        <v>40583</v>
      </c>
      <c r="C266" s="2">
        <v>1</v>
      </c>
      <c r="D266" s="2">
        <v>0</v>
      </c>
      <c r="E266" s="2">
        <v>2</v>
      </c>
      <c r="F266" s="2">
        <v>7</v>
      </c>
      <c r="G266" s="2" t="b">
        <v>0</v>
      </c>
      <c r="H266" s="2">
        <v>3</v>
      </c>
      <c r="I266" s="2">
        <v>1</v>
      </c>
      <c r="J266" s="2">
        <v>0.06</v>
      </c>
      <c r="K266" s="2">
        <v>0.1061</v>
      </c>
      <c r="L266" s="2">
        <v>0.49</v>
      </c>
      <c r="M266" s="2">
        <v>0.1045</v>
      </c>
      <c r="N266" s="2">
        <v>4</v>
      </c>
      <c r="O266" s="2">
        <v>95</v>
      </c>
      <c r="P266" s="2">
        <v>99</v>
      </c>
    </row>
    <row r="267" spans="1:16" x14ac:dyDescent="0.3">
      <c r="A267" s="2">
        <v>885</v>
      </c>
      <c r="B267" s="3">
        <v>40583</v>
      </c>
      <c r="C267" s="2">
        <v>1</v>
      </c>
      <c r="D267" s="2">
        <v>0</v>
      </c>
      <c r="E267" s="2">
        <v>2</v>
      </c>
      <c r="F267" s="2">
        <v>8</v>
      </c>
      <c r="G267" s="2" t="b">
        <v>0</v>
      </c>
      <c r="H267" s="2">
        <v>3</v>
      </c>
      <c r="I267" s="2">
        <v>1</v>
      </c>
      <c r="J267" s="2">
        <v>0.1</v>
      </c>
      <c r="K267" s="2">
        <v>0.13639999999999999</v>
      </c>
      <c r="L267" s="2">
        <v>0.42</v>
      </c>
      <c r="M267" s="2">
        <v>0</v>
      </c>
      <c r="N267" s="2">
        <v>1</v>
      </c>
      <c r="O267" s="2">
        <v>198</v>
      </c>
      <c r="P267" s="2">
        <v>199</v>
      </c>
    </row>
    <row r="268" spans="1:16" x14ac:dyDescent="0.3">
      <c r="A268" s="2">
        <v>886</v>
      </c>
      <c r="B268" s="3">
        <v>40583</v>
      </c>
      <c r="C268" s="2">
        <v>1</v>
      </c>
      <c r="D268" s="2">
        <v>0</v>
      </c>
      <c r="E268" s="2">
        <v>2</v>
      </c>
      <c r="F268" s="2">
        <v>9</v>
      </c>
      <c r="G268" s="2" t="b">
        <v>0</v>
      </c>
      <c r="H268" s="2">
        <v>3</v>
      </c>
      <c r="I268" s="2">
        <v>1</v>
      </c>
      <c r="J268" s="2">
        <v>0.12</v>
      </c>
      <c r="K268" s="2">
        <v>0.13639999999999999</v>
      </c>
      <c r="L268" s="2">
        <v>0.39</v>
      </c>
      <c r="M268" s="2">
        <v>0.16420000000000001</v>
      </c>
      <c r="N268" s="2">
        <v>4</v>
      </c>
      <c r="O268" s="2">
        <v>119</v>
      </c>
      <c r="P268" s="2">
        <v>123</v>
      </c>
    </row>
    <row r="269" spans="1:16" x14ac:dyDescent="0.3">
      <c r="A269" s="2">
        <v>887</v>
      </c>
      <c r="B269" s="3">
        <v>40583</v>
      </c>
      <c r="C269" s="2">
        <v>1</v>
      </c>
      <c r="D269" s="2">
        <v>0</v>
      </c>
      <c r="E269" s="2">
        <v>2</v>
      </c>
      <c r="F269" s="2">
        <v>10</v>
      </c>
      <c r="G269" s="2" t="b">
        <v>0</v>
      </c>
      <c r="H269" s="2">
        <v>3</v>
      </c>
      <c r="I269" s="2">
        <v>1</v>
      </c>
      <c r="J269" s="2">
        <v>0.14000000000000001</v>
      </c>
      <c r="K269" s="2">
        <v>0.18179999999999999</v>
      </c>
      <c r="L269" s="2">
        <v>0.36</v>
      </c>
      <c r="M269" s="2">
        <v>0</v>
      </c>
      <c r="N269" s="2">
        <v>8</v>
      </c>
      <c r="O269" s="2">
        <v>51</v>
      </c>
      <c r="P269" s="2">
        <v>59</v>
      </c>
    </row>
    <row r="270" spans="1:16" x14ac:dyDescent="0.3">
      <c r="A270" s="2">
        <v>888</v>
      </c>
      <c r="B270" s="3">
        <v>40583</v>
      </c>
      <c r="C270" s="2">
        <v>1</v>
      </c>
      <c r="D270" s="2">
        <v>0</v>
      </c>
      <c r="E270" s="2">
        <v>2</v>
      </c>
      <c r="F270" s="2">
        <v>11</v>
      </c>
      <c r="G270" s="2" t="b">
        <v>0</v>
      </c>
      <c r="H270" s="2">
        <v>3</v>
      </c>
      <c r="I270" s="2">
        <v>2</v>
      </c>
      <c r="J270" s="2">
        <v>0.14000000000000001</v>
      </c>
      <c r="K270" s="2">
        <v>0.1515</v>
      </c>
      <c r="L270" s="2">
        <v>0.43</v>
      </c>
      <c r="M270" s="2">
        <v>0.16420000000000001</v>
      </c>
      <c r="N270" s="2">
        <v>1</v>
      </c>
      <c r="O270" s="2">
        <v>40</v>
      </c>
      <c r="P270" s="2">
        <v>41</v>
      </c>
    </row>
    <row r="271" spans="1:16" x14ac:dyDescent="0.3">
      <c r="A271" s="2">
        <v>889</v>
      </c>
      <c r="B271" s="3">
        <v>40583</v>
      </c>
      <c r="C271" s="2">
        <v>1</v>
      </c>
      <c r="D271" s="2">
        <v>0</v>
      </c>
      <c r="E271" s="2">
        <v>2</v>
      </c>
      <c r="F271" s="2">
        <v>12</v>
      </c>
      <c r="G271" s="2" t="b">
        <v>0</v>
      </c>
      <c r="H271" s="2">
        <v>3</v>
      </c>
      <c r="I271" s="2">
        <v>2</v>
      </c>
      <c r="J271" s="2">
        <v>0.18</v>
      </c>
      <c r="K271" s="2">
        <v>0.18179999999999999</v>
      </c>
      <c r="L271" s="2">
        <v>0.4</v>
      </c>
      <c r="M271" s="2">
        <v>0.22389999999999999</v>
      </c>
      <c r="N271" s="2">
        <v>4</v>
      </c>
      <c r="O271" s="2">
        <v>57</v>
      </c>
      <c r="P271" s="2">
        <v>61</v>
      </c>
    </row>
    <row r="272" spans="1:16" x14ac:dyDescent="0.3">
      <c r="A272" s="2">
        <v>890</v>
      </c>
      <c r="B272" s="3">
        <v>40583</v>
      </c>
      <c r="C272" s="2">
        <v>1</v>
      </c>
      <c r="D272" s="2">
        <v>0</v>
      </c>
      <c r="E272" s="2">
        <v>2</v>
      </c>
      <c r="F272" s="2">
        <v>13</v>
      </c>
      <c r="G272" s="2" t="b">
        <v>0</v>
      </c>
      <c r="H272" s="2">
        <v>3</v>
      </c>
      <c r="I272" s="2">
        <v>1</v>
      </c>
      <c r="J272" s="2">
        <v>0.18</v>
      </c>
      <c r="K272" s="2">
        <v>0.16669999999999999</v>
      </c>
      <c r="L272" s="2">
        <v>0.4</v>
      </c>
      <c r="M272" s="2">
        <v>0.25369999999999998</v>
      </c>
      <c r="N272" s="2">
        <v>2</v>
      </c>
      <c r="O272" s="2">
        <v>67</v>
      </c>
      <c r="P272" s="2">
        <v>69</v>
      </c>
    </row>
    <row r="273" spans="1:16" x14ac:dyDescent="0.3">
      <c r="A273" s="2">
        <v>891</v>
      </c>
      <c r="B273" s="3">
        <v>40583</v>
      </c>
      <c r="C273" s="2">
        <v>1</v>
      </c>
      <c r="D273" s="2">
        <v>0</v>
      </c>
      <c r="E273" s="2">
        <v>2</v>
      </c>
      <c r="F273" s="2">
        <v>14</v>
      </c>
      <c r="G273" s="2" t="b">
        <v>0</v>
      </c>
      <c r="H273" s="2">
        <v>3</v>
      </c>
      <c r="I273" s="2">
        <v>1</v>
      </c>
      <c r="J273" s="2">
        <v>0.2</v>
      </c>
      <c r="K273" s="2">
        <v>0.18179999999999999</v>
      </c>
      <c r="L273" s="2">
        <v>0.34</v>
      </c>
      <c r="M273" s="2">
        <v>0.29849999999999999</v>
      </c>
      <c r="N273" s="2">
        <v>2</v>
      </c>
      <c r="O273" s="2">
        <v>56</v>
      </c>
      <c r="P273" s="2">
        <v>58</v>
      </c>
    </row>
    <row r="274" spans="1:16" x14ac:dyDescent="0.3">
      <c r="A274" s="2">
        <v>892</v>
      </c>
      <c r="B274" s="3">
        <v>40583</v>
      </c>
      <c r="C274" s="2">
        <v>1</v>
      </c>
      <c r="D274" s="2">
        <v>0</v>
      </c>
      <c r="E274" s="2">
        <v>2</v>
      </c>
      <c r="F274" s="2">
        <v>15</v>
      </c>
      <c r="G274" s="2" t="b">
        <v>0</v>
      </c>
      <c r="H274" s="2">
        <v>3</v>
      </c>
      <c r="I274" s="2">
        <v>2</v>
      </c>
      <c r="J274" s="2">
        <v>0.2</v>
      </c>
      <c r="K274" s="2">
        <v>0.18179999999999999</v>
      </c>
      <c r="L274" s="2">
        <v>0.34</v>
      </c>
      <c r="M274" s="2">
        <v>0.28360000000000002</v>
      </c>
      <c r="N274" s="2">
        <v>3</v>
      </c>
      <c r="O274" s="2">
        <v>61</v>
      </c>
      <c r="P274" s="2">
        <v>64</v>
      </c>
    </row>
    <row r="275" spans="1:16" x14ac:dyDescent="0.3">
      <c r="A275" s="2">
        <v>893</v>
      </c>
      <c r="B275" s="3">
        <v>40583</v>
      </c>
      <c r="C275" s="2">
        <v>1</v>
      </c>
      <c r="D275" s="2">
        <v>0</v>
      </c>
      <c r="E275" s="2">
        <v>2</v>
      </c>
      <c r="F275" s="2">
        <v>16</v>
      </c>
      <c r="G275" s="2" t="b">
        <v>0</v>
      </c>
      <c r="H275" s="2">
        <v>3</v>
      </c>
      <c r="I275" s="2">
        <v>2</v>
      </c>
      <c r="J275" s="2">
        <v>0.2</v>
      </c>
      <c r="K275" s="2">
        <v>0.19700000000000001</v>
      </c>
      <c r="L275" s="2">
        <v>0.37</v>
      </c>
      <c r="M275" s="2">
        <v>0.25369999999999998</v>
      </c>
      <c r="N275" s="2">
        <v>7</v>
      </c>
      <c r="O275" s="2">
        <v>72</v>
      </c>
      <c r="P275" s="2">
        <v>79</v>
      </c>
    </row>
    <row r="276" spans="1:16" x14ac:dyDescent="0.3">
      <c r="A276" s="2">
        <v>894</v>
      </c>
      <c r="B276" s="3">
        <v>40583</v>
      </c>
      <c r="C276" s="2">
        <v>1</v>
      </c>
      <c r="D276" s="2">
        <v>0</v>
      </c>
      <c r="E276" s="2">
        <v>2</v>
      </c>
      <c r="F276" s="2">
        <v>17</v>
      </c>
      <c r="G276" s="2" t="b">
        <v>0</v>
      </c>
      <c r="H276" s="2">
        <v>3</v>
      </c>
      <c r="I276" s="2">
        <v>2</v>
      </c>
      <c r="J276" s="2">
        <v>0.2</v>
      </c>
      <c r="K276" s="2">
        <v>0.19700000000000001</v>
      </c>
      <c r="L276" s="2">
        <v>0.34</v>
      </c>
      <c r="M276" s="2">
        <v>0.25369999999999998</v>
      </c>
      <c r="N276" s="2">
        <v>9</v>
      </c>
      <c r="O276" s="2">
        <v>157</v>
      </c>
      <c r="P276" s="2">
        <v>166</v>
      </c>
    </row>
    <row r="277" spans="1:16" x14ac:dyDescent="0.3">
      <c r="A277" s="2">
        <v>895</v>
      </c>
      <c r="B277" s="3">
        <v>40583</v>
      </c>
      <c r="C277" s="2">
        <v>1</v>
      </c>
      <c r="D277" s="2">
        <v>0</v>
      </c>
      <c r="E277" s="2">
        <v>2</v>
      </c>
      <c r="F277" s="2">
        <v>18</v>
      </c>
      <c r="G277" s="2" t="b">
        <v>0</v>
      </c>
      <c r="H277" s="2">
        <v>3</v>
      </c>
      <c r="I277" s="2">
        <v>2</v>
      </c>
      <c r="J277" s="2">
        <v>0.18</v>
      </c>
      <c r="K277" s="2">
        <v>0.16669999999999999</v>
      </c>
      <c r="L277" s="2">
        <v>0.47</v>
      </c>
      <c r="M277" s="2">
        <v>0.29849999999999999</v>
      </c>
      <c r="N277" s="2">
        <v>2</v>
      </c>
      <c r="O277" s="2">
        <v>168</v>
      </c>
      <c r="P277" s="2">
        <v>170</v>
      </c>
    </row>
    <row r="278" spans="1:16" x14ac:dyDescent="0.3">
      <c r="A278" s="2">
        <v>896</v>
      </c>
      <c r="B278" s="3">
        <v>40583</v>
      </c>
      <c r="C278" s="2">
        <v>1</v>
      </c>
      <c r="D278" s="2">
        <v>0</v>
      </c>
      <c r="E278" s="2">
        <v>2</v>
      </c>
      <c r="F278" s="2">
        <v>19</v>
      </c>
      <c r="G278" s="2" t="b">
        <v>0</v>
      </c>
      <c r="H278" s="2">
        <v>3</v>
      </c>
      <c r="I278" s="2">
        <v>3</v>
      </c>
      <c r="J278" s="2">
        <v>0.14000000000000001</v>
      </c>
      <c r="K278" s="2">
        <v>0.1212</v>
      </c>
      <c r="L278" s="2">
        <v>0.86</v>
      </c>
      <c r="M278" s="2">
        <v>0.25369999999999998</v>
      </c>
      <c r="N278" s="2">
        <v>1</v>
      </c>
      <c r="O278" s="2">
        <v>87</v>
      </c>
      <c r="P278" s="2">
        <v>88</v>
      </c>
    </row>
    <row r="279" spans="1:16" x14ac:dyDescent="0.3">
      <c r="A279" s="2">
        <v>897</v>
      </c>
      <c r="B279" s="3">
        <v>40583</v>
      </c>
      <c r="C279" s="2">
        <v>1</v>
      </c>
      <c r="D279" s="2">
        <v>0</v>
      </c>
      <c r="E279" s="2">
        <v>2</v>
      </c>
      <c r="F279" s="2">
        <v>20</v>
      </c>
      <c r="G279" s="2" t="b">
        <v>0</v>
      </c>
      <c r="H279" s="2">
        <v>3</v>
      </c>
      <c r="I279" s="2">
        <v>3</v>
      </c>
      <c r="J279" s="2">
        <v>0.14000000000000001</v>
      </c>
      <c r="K279" s="2">
        <v>0.1515</v>
      </c>
      <c r="L279" s="2">
        <v>0.86</v>
      </c>
      <c r="M279" s="2">
        <v>0.16420000000000001</v>
      </c>
      <c r="N279" s="2">
        <v>0</v>
      </c>
      <c r="O279" s="2">
        <v>84</v>
      </c>
      <c r="P279" s="2">
        <v>84</v>
      </c>
    </row>
    <row r="280" spans="1:16" x14ac:dyDescent="0.3">
      <c r="A280" s="2">
        <v>898</v>
      </c>
      <c r="B280" s="3">
        <v>40583</v>
      </c>
      <c r="C280" s="2">
        <v>1</v>
      </c>
      <c r="D280" s="2">
        <v>0</v>
      </c>
      <c r="E280" s="2">
        <v>2</v>
      </c>
      <c r="F280" s="2">
        <v>21</v>
      </c>
      <c r="G280" s="2" t="b">
        <v>0</v>
      </c>
      <c r="H280" s="2">
        <v>3</v>
      </c>
      <c r="I280" s="2">
        <v>2</v>
      </c>
      <c r="J280" s="2">
        <v>0.14000000000000001</v>
      </c>
      <c r="K280" s="2">
        <v>0.1515</v>
      </c>
      <c r="L280" s="2">
        <v>0.86</v>
      </c>
      <c r="M280" s="2">
        <v>0.16420000000000001</v>
      </c>
      <c r="N280" s="2">
        <v>0</v>
      </c>
      <c r="O280" s="2">
        <v>83</v>
      </c>
      <c r="P280" s="2">
        <v>83</v>
      </c>
    </row>
    <row r="281" spans="1:16" x14ac:dyDescent="0.3">
      <c r="A281" s="2">
        <v>899</v>
      </c>
      <c r="B281" s="3">
        <v>40583</v>
      </c>
      <c r="C281" s="2">
        <v>1</v>
      </c>
      <c r="D281" s="2">
        <v>0</v>
      </c>
      <c r="E281" s="2">
        <v>2</v>
      </c>
      <c r="F281" s="2">
        <v>22</v>
      </c>
      <c r="G281" s="2" t="b">
        <v>0</v>
      </c>
      <c r="H281" s="2">
        <v>3</v>
      </c>
      <c r="I281" s="2">
        <v>3</v>
      </c>
      <c r="J281" s="2">
        <v>0.16</v>
      </c>
      <c r="K281" s="2">
        <v>0.16669999999999999</v>
      </c>
      <c r="L281" s="2">
        <v>0.8</v>
      </c>
      <c r="M281" s="2">
        <v>0.16420000000000001</v>
      </c>
      <c r="N281" s="2">
        <v>4</v>
      </c>
      <c r="O281" s="2">
        <v>42</v>
      </c>
      <c r="P281" s="2">
        <v>46</v>
      </c>
    </row>
    <row r="282" spans="1:16" x14ac:dyDescent="0.3">
      <c r="A282" s="2">
        <v>900</v>
      </c>
      <c r="B282" s="3">
        <v>40583</v>
      </c>
      <c r="C282" s="2">
        <v>1</v>
      </c>
      <c r="D282" s="2">
        <v>0</v>
      </c>
      <c r="E282" s="2">
        <v>2</v>
      </c>
      <c r="F282" s="2">
        <v>23</v>
      </c>
      <c r="G282" s="2" t="b">
        <v>0</v>
      </c>
      <c r="H282" s="2">
        <v>3</v>
      </c>
      <c r="I282" s="2">
        <v>3</v>
      </c>
      <c r="J282" s="2">
        <v>0.16</v>
      </c>
      <c r="K282" s="2">
        <v>0.1515</v>
      </c>
      <c r="L282" s="2">
        <v>0.8</v>
      </c>
      <c r="M282" s="2">
        <v>0.19400000000000001</v>
      </c>
      <c r="N282" s="2">
        <v>0</v>
      </c>
      <c r="O282" s="2">
        <v>37</v>
      </c>
      <c r="P282" s="2">
        <v>37</v>
      </c>
    </row>
    <row r="283" spans="1:16" x14ac:dyDescent="0.3">
      <c r="A283" s="2">
        <v>901</v>
      </c>
      <c r="B283" s="3">
        <v>40584</v>
      </c>
      <c r="C283" s="2">
        <v>1</v>
      </c>
      <c r="D283" s="2">
        <v>0</v>
      </c>
      <c r="E283" s="2">
        <v>2</v>
      </c>
      <c r="F283" s="2">
        <v>0</v>
      </c>
      <c r="G283" s="2" t="b">
        <v>0</v>
      </c>
      <c r="H283" s="2">
        <v>4</v>
      </c>
      <c r="I283" s="2">
        <v>3</v>
      </c>
      <c r="J283" s="2">
        <v>0.14000000000000001</v>
      </c>
      <c r="K283" s="2">
        <v>0.13639999999999999</v>
      </c>
      <c r="L283" s="2">
        <v>0.86</v>
      </c>
      <c r="M283" s="2">
        <v>0.19400000000000001</v>
      </c>
      <c r="N283" s="2">
        <v>0</v>
      </c>
      <c r="O283" s="2">
        <v>16</v>
      </c>
      <c r="P283" s="2">
        <v>16</v>
      </c>
    </row>
    <row r="284" spans="1:16" x14ac:dyDescent="0.3">
      <c r="A284" s="2">
        <v>902</v>
      </c>
      <c r="B284" s="3">
        <v>40584</v>
      </c>
      <c r="C284" s="2">
        <v>1</v>
      </c>
      <c r="D284" s="2">
        <v>0</v>
      </c>
      <c r="E284" s="2">
        <v>2</v>
      </c>
      <c r="F284" s="2">
        <v>1</v>
      </c>
      <c r="G284" s="2" t="b">
        <v>0</v>
      </c>
      <c r="H284" s="2">
        <v>4</v>
      </c>
      <c r="I284" s="2">
        <v>3</v>
      </c>
      <c r="J284" s="2">
        <v>0.14000000000000001</v>
      </c>
      <c r="K284" s="2">
        <v>0.1515</v>
      </c>
      <c r="L284" s="2">
        <v>0.8</v>
      </c>
      <c r="M284" s="2">
        <v>0.1343</v>
      </c>
      <c r="N284" s="2">
        <v>0</v>
      </c>
      <c r="O284" s="2">
        <v>7</v>
      </c>
      <c r="P284" s="2">
        <v>7</v>
      </c>
    </row>
    <row r="285" spans="1:16" x14ac:dyDescent="0.3">
      <c r="A285" s="2">
        <v>903</v>
      </c>
      <c r="B285" s="3">
        <v>40584</v>
      </c>
      <c r="C285" s="2">
        <v>1</v>
      </c>
      <c r="D285" s="2">
        <v>0</v>
      </c>
      <c r="E285" s="2">
        <v>2</v>
      </c>
      <c r="F285" s="2">
        <v>2</v>
      </c>
      <c r="G285" s="2" t="b">
        <v>0</v>
      </c>
      <c r="H285" s="2">
        <v>4</v>
      </c>
      <c r="I285" s="2">
        <v>3</v>
      </c>
      <c r="J285" s="2">
        <v>0.14000000000000001</v>
      </c>
      <c r="K285" s="2">
        <v>0.1515</v>
      </c>
      <c r="L285" s="2">
        <v>0.8</v>
      </c>
      <c r="M285" s="2">
        <v>0.1343</v>
      </c>
      <c r="N285" s="2">
        <v>0</v>
      </c>
      <c r="O285" s="2">
        <v>3</v>
      </c>
      <c r="P285" s="2">
        <v>3</v>
      </c>
    </row>
    <row r="286" spans="1:16" x14ac:dyDescent="0.3">
      <c r="A286" s="2">
        <v>904</v>
      </c>
      <c r="B286" s="3">
        <v>40584</v>
      </c>
      <c r="C286" s="2">
        <v>1</v>
      </c>
      <c r="D286" s="2">
        <v>0</v>
      </c>
      <c r="E286" s="2">
        <v>2</v>
      </c>
      <c r="F286" s="2">
        <v>4</v>
      </c>
      <c r="G286" s="2" t="b">
        <v>0</v>
      </c>
      <c r="H286" s="2">
        <v>4</v>
      </c>
      <c r="I286" s="2">
        <v>2</v>
      </c>
      <c r="J286" s="2">
        <v>0.14000000000000001</v>
      </c>
      <c r="K286" s="2">
        <v>0.13639999999999999</v>
      </c>
      <c r="L286" s="2">
        <v>0.59</v>
      </c>
      <c r="M286" s="2">
        <v>0.22389999999999999</v>
      </c>
      <c r="N286" s="2">
        <v>0</v>
      </c>
      <c r="O286" s="2">
        <v>1</v>
      </c>
      <c r="P286" s="2">
        <v>1</v>
      </c>
    </row>
    <row r="287" spans="1:16" x14ac:dyDescent="0.3">
      <c r="A287" s="2">
        <v>905</v>
      </c>
      <c r="B287" s="3">
        <v>40584</v>
      </c>
      <c r="C287" s="2">
        <v>1</v>
      </c>
      <c r="D287" s="2">
        <v>0</v>
      </c>
      <c r="E287" s="2">
        <v>2</v>
      </c>
      <c r="F287" s="2">
        <v>5</v>
      </c>
      <c r="G287" s="2" t="b">
        <v>0</v>
      </c>
      <c r="H287" s="2">
        <v>4</v>
      </c>
      <c r="I287" s="2">
        <v>2</v>
      </c>
      <c r="J287" s="2">
        <v>0.12</v>
      </c>
      <c r="K287" s="2">
        <v>0.1212</v>
      </c>
      <c r="L287" s="2">
        <v>0.5</v>
      </c>
      <c r="M287" s="2">
        <v>0.22389999999999999</v>
      </c>
      <c r="N287" s="2">
        <v>0</v>
      </c>
      <c r="O287" s="2">
        <v>6</v>
      </c>
      <c r="P287" s="2">
        <v>6</v>
      </c>
    </row>
    <row r="288" spans="1:16" x14ac:dyDescent="0.3">
      <c r="A288" s="2">
        <v>906</v>
      </c>
      <c r="B288" s="3">
        <v>40584</v>
      </c>
      <c r="C288" s="2">
        <v>1</v>
      </c>
      <c r="D288" s="2">
        <v>0</v>
      </c>
      <c r="E288" s="2">
        <v>2</v>
      </c>
      <c r="F288" s="2">
        <v>6</v>
      </c>
      <c r="G288" s="2" t="b">
        <v>0</v>
      </c>
      <c r="H288" s="2">
        <v>4</v>
      </c>
      <c r="I288" s="2">
        <v>2</v>
      </c>
      <c r="J288" s="2">
        <v>0.12</v>
      </c>
      <c r="K288" s="2">
        <v>0.1212</v>
      </c>
      <c r="L288" s="2">
        <v>0.54</v>
      </c>
      <c r="M288" s="2">
        <v>0.28360000000000002</v>
      </c>
      <c r="N288" s="2">
        <v>0</v>
      </c>
      <c r="O288" s="2">
        <v>26</v>
      </c>
      <c r="P288" s="2">
        <v>26</v>
      </c>
    </row>
    <row r="289" spans="1:16" x14ac:dyDescent="0.3">
      <c r="A289" s="2">
        <v>907</v>
      </c>
      <c r="B289" s="3">
        <v>40584</v>
      </c>
      <c r="C289" s="2">
        <v>1</v>
      </c>
      <c r="D289" s="2">
        <v>0</v>
      </c>
      <c r="E289" s="2">
        <v>2</v>
      </c>
      <c r="F289" s="2">
        <v>7</v>
      </c>
      <c r="G289" s="2" t="b">
        <v>0</v>
      </c>
      <c r="H289" s="2">
        <v>4</v>
      </c>
      <c r="I289" s="2">
        <v>1</v>
      </c>
      <c r="J289" s="2">
        <v>0.1</v>
      </c>
      <c r="K289" s="2">
        <v>7.5800000000000006E-2</v>
      </c>
      <c r="L289" s="2">
        <v>0.5</v>
      </c>
      <c r="M289" s="2">
        <v>0.41789999999999999</v>
      </c>
      <c r="N289" s="2">
        <v>0</v>
      </c>
      <c r="O289" s="2">
        <v>99</v>
      </c>
      <c r="P289" s="2">
        <v>99</v>
      </c>
    </row>
    <row r="290" spans="1:16" x14ac:dyDescent="0.3">
      <c r="A290" s="2">
        <v>908</v>
      </c>
      <c r="B290" s="3">
        <v>40584</v>
      </c>
      <c r="C290" s="2">
        <v>1</v>
      </c>
      <c r="D290" s="2">
        <v>0</v>
      </c>
      <c r="E290" s="2">
        <v>2</v>
      </c>
      <c r="F290" s="2">
        <v>8</v>
      </c>
      <c r="G290" s="2" t="b">
        <v>0</v>
      </c>
      <c r="H290" s="2">
        <v>4</v>
      </c>
      <c r="I290" s="2">
        <v>1</v>
      </c>
      <c r="J290" s="2">
        <v>0.1</v>
      </c>
      <c r="K290" s="2">
        <v>7.5800000000000006E-2</v>
      </c>
      <c r="L290" s="2">
        <v>0.49</v>
      </c>
      <c r="M290" s="2">
        <v>0.32840000000000003</v>
      </c>
      <c r="N290" s="2">
        <v>5</v>
      </c>
      <c r="O290" s="2">
        <v>173</v>
      </c>
      <c r="P290" s="2">
        <v>178</v>
      </c>
    </row>
    <row r="291" spans="1:16" x14ac:dyDescent="0.3">
      <c r="A291" s="2">
        <v>909</v>
      </c>
      <c r="B291" s="3">
        <v>40584</v>
      </c>
      <c r="C291" s="2">
        <v>1</v>
      </c>
      <c r="D291" s="2">
        <v>0</v>
      </c>
      <c r="E291" s="2">
        <v>2</v>
      </c>
      <c r="F291" s="2">
        <v>9</v>
      </c>
      <c r="G291" s="2" t="b">
        <v>0</v>
      </c>
      <c r="H291" s="2">
        <v>4</v>
      </c>
      <c r="I291" s="2">
        <v>1</v>
      </c>
      <c r="J291" s="2">
        <v>0.12</v>
      </c>
      <c r="K291" s="2">
        <v>0.1061</v>
      </c>
      <c r="L291" s="2">
        <v>0.42</v>
      </c>
      <c r="M291" s="2">
        <v>0.35820000000000002</v>
      </c>
      <c r="N291" s="2">
        <v>1</v>
      </c>
      <c r="O291" s="2">
        <v>121</v>
      </c>
      <c r="P291" s="2">
        <v>122</v>
      </c>
    </row>
    <row r="292" spans="1:16" x14ac:dyDescent="0.3">
      <c r="A292" s="2">
        <v>910</v>
      </c>
      <c r="B292" s="3">
        <v>40584</v>
      </c>
      <c r="C292" s="2">
        <v>1</v>
      </c>
      <c r="D292" s="2">
        <v>0</v>
      </c>
      <c r="E292" s="2">
        <v>2</v>
      </c>
      <c r="F292" s="2">
        <v>10</v>
      </c>
      <c r="G292" s="2" t="b">
        <v>0</v>
      </c>
      <c r="H292" s="2">
        <v>4</v>
      </c>
      <c r="I292" s="2">
        <v>1</v>
      </c>
      <c r="J292" s="2">
        <v>0.12</v>
      </c>
      <c r="K292" s="2">
        <v>0.1061</v>
      </c>
      <c r="L292" s="2">
        <v>0.42</v>
      </c>
      <c r="M292" s="2">
        <v>0.29849999999999999</v>
      </c>
      <c r="N292" s="2">
        <v>1</v>
      </c>
      <c r="O292" s="2">
        <v>34</v>
      </c>
      <c r="P292" s="2">
        <v>35</v>
      </c>
    </row>
    <row r="293" spans="1:16" x14ac:dyDescent="0.3">
      <c r="A293" s="2">
        <v>911</v>
      </c>
      <c r="B293" s="3">
        <v>40584</v>
      </c>
      <c r="C293" s="2">
        <v>1</v>
      </c>
      <c r="D293" s="2">
        <v>0</v>
      </c>
      <c r="E293" s="2">
        <v>2</v>
      </c>
      <c r="F293" s="2">
        <v>11</v>
      </c>
      <c r="G293" s="2" t="b">
        <v>0</v>
      </c>
      <c r="H293" s="2">
        <v>4</v>
      </c>
      <c r="I293" s="2">
        <v>1</v>
      </c>
      <c r="J293" s="2">
        <v>0.14000000000000001</v>
      </c>
      <c r="K293" s="2">
        <v>0.1212</v>
      </c>
      <c r="L293" s="2">
        <v>0.39</v>
      </c>
      <c r="M293" s="2">
        <v>0.35820000000000002</v>
      </c>
      <c r="N293" s="2">
        <v>1</v>
      </c>
      <c r="O293" s="2">
        <v>44</v>
      </c>
      <c r="P293" s="2">
        <v>45</v>
      </c>
    </row>
    <row r="294" spans="1:16" x14ac:dyDescent="0.3">
      <c r="A294" s="2">
        <v>912</v>
      </c>
      <c r="B294" s="3">
        <v>40584</v>
      </c>
      <c r="C294" s="2">
        <v>1</v>
      </c>
      <c r="D294" s="2">
        <v>0</v>
      </c>
      <c r="E294" s="2">
        <v>2</v>
      </c>
      <c r="F294" s="2">
        <v>12</v>
      </c>
      <c r="G294" s="2" t="b">
        <v>0</v>
      </c>
      <c r="H294" s="2">
        <v>4</v>
      </c>
      <c r="I294" s="2">
        <v>1</v>
      </c>
      <c r="J294" s="2">
        <v>0.16</v>
      </c>
      <c r="K294" s="2">
        <v>0.13639999999999999</v>
      </c>
      <c r="L294" s="2">
        <v>0.34</v>
      </c>
      <c r="M294" s="2">
        <v>0.3881</v>
      </c>
      <c r="N294" s="2">
        <v>4</v>
      </c>
      <c r="O294" s="2">
        <v>65</v>
      </c>
      <c r="P294" s="2">
        <v>69</v>
      </c>
    </row>
    <row r="295" spans="1:16" x14ac:dyDescent="0.3">
      <c r="A295" s="2">
        <v>913</v>
      </c>
      <c r="B295" s="3">
        <v>40584</v>
      </c>
      <c r="C295" s="2">
        <v>1</v>
      </c>
      <c r="D295" s="2">
        <v>0</v>
      </c>
      <c r="E295" s="2">
        <v>2</v>
      </c>
      <c r="F295" s="2">
        <v>13</v>
      </c>
      <c r="G295" s="2" t="b">
        <v>0</v>
      </c>
      <c r="H295" s="2">
        <v>4</v>
      </c>
      <c r="I295" s="2">
        <v>1</v>
      </c>
      <c r="J295" s="2">
        <v>0.18</v>
      </c>
      <c r="K295" s="2">
        <v>0.16669999999999999</v>
      </c>
      <c r="L295" s="2">
        <v>0.28999999999999998</v>
      </c>
      <c r="M295" s="2">
        <v>0.29849999999999999</v>
      </c>
      <c r="N295" s="2">
        <v>3</v>
      </c>
      <c r="O295" s="2">
        <v>59</v>
      </c>
      <c r="P295" s="2">
        <v>62</v>
      </c>
    </row>
    <row r="296" spans="1:16" x14ac:dyDescent="0.3">
      <c r="A296" s="2">
        <v>914</v>
      </c>
      <c r="B296" s="3">
        <v>40584</v>
      </c>
      <c r="C296" s="2">
        <v>1</v>
      </c>
      <c r="D296" s="2">
        <v>0</v>
      </c>
      <c r="E296" s="2">
        <v>2</v>
      </c>
      <c r="F296" s="2">
        <v>14</v>
      </c>
      <c r="G296" s="2" t="b">
        <v>0</v>
      </c>
      <c r="H296" s="2">
        <v>4</v>
      </c>
      <c r="I296" s="2">
        <v>1</v>
      </c>
      <c r="J296" s="2">
        <v>0.2</v>
      </c>
      <c r="K296" s="2">
        <v>0.18179999999999999</v>
      </c>
      <c r="L296" s="2">
        <v>0.27</v>
      </c>
      <c r="M296" s="2">
        <v>0.28360000000000002</v>
      </c>
      <c r="N296" s="2">
        <v>6</v>
      </c>
      <c r="O296" s="2">
        <v>42</v>
      </c>
      <c r="P296" s="2">
        <v>48</v>
      </c>
    </row>
    <row r="297" spans="1:16" x14ac:dyDescent="0.3">
      <c r="A297" s="2">
        <v>915</v>
      </c>
      <c r="B297" s="3">
        <v>40584</v>
      </c>
      <c r="C297" s="2">
        <v>1</v>
      </c>
      <c r="D297" s="2">
        <v>0</v>
      </c>
      <c r="E297" s="2">
        <v>2</v>
      </c>
      <c r="F297" s="2">
        <v>15</v>
      </c>
      <c r="G297" s="2" t="b">
        <v>0</v>
      </c>
      <c r="H297" s="2">
        <v>4</v>
      </c>
      <c r="I297" s="2">
        <v>1</v>
      </c>
      <c r="J297" s="2">
        <v>0.2</v>
      </c>
      <c r="K297" s="2">
        <v>0.19700000000000001</v>
      </c>
      <c r="L297" s="2">
        <v>0.25</v>
      </c>
      <c r="M297" s="2">
        <v>0.25369999999999998</v>
      </c>
      <c r="N297" s="2">
        <v>0</v>
      </c>
      <c r="O297" s="2">
        <v>50</v>
      </c>
      <c r="P297" s="2">
        <v>50</v>
      </c>
    </row>
    <row r="298" spans="1:16" x14ac:dyDescent="0.3">
      <c r="A298" s="2">
        <v>916</v>
      </c>
      <c r="B298" s="3">
        <v>40584</v>
      </c>
      <c r="C298" s="2">
        <v>1</v>
      </c>
      <c r="D298" s="2">
        <v>0</v>
      </c>
      <c r="E298" s="2">
        <v>2</v>
      </c>
      <c r="F298" s="2">
        <v>16</v>
      </c>
      <c r="G298" s="2" t="b">
        <v>0</v>
      </c>
      <c r="H298" s="2">
        <v>4</v>
      </c>
      <c r="I298" s="2">
        <v>1</v>
      </c>
      <c r="J298" s="2">
        <v>0.2</v>
      </c>
      <c r="K298" s="2">
        <v>0.18179999999999999</v>
      </c>
      <c r="L298" s="2">
        <v>0.27</v>
      </c>
      <c r="M298" s="2">
        <v>0.29849999999999999</v>
      </c>
      <c r="N298" s="2">
        <v>4</v>
      </c>
      <c r="O298" s="2">
        <v>76</v>
      </c>
      <c r="P298" s="2">
        <v>80</v>
      </c>
    </row>
    <row r="299" spans="1:16" x14ac:dyDescent="0.3">
      <c r="A299" s="2">
        <v>917</v>
      </c>
      <c r="B299" s="3">
        <v>40584</v>
      </c>
      <c r="C299" s="2">
        <v>1</v>
      </c>
      <c r="D299" s="2">
        <v>0</v>
      </c>
      <c r="E299" s="2">
        <v>2</v>
      </c>
      <c r="F299" s="2">
        <v>17</v>
      </c>
      <c r="G299" s="2" t="b">
        <v>0</v>
      </c>
      <c r="H299" s="2">
        <v>4</v>
      </c>
      <c r="I299" s="2">
        <v>1</v>
      </c>
      <c r="J299" s="2">
        <v>0.18</v>
      </c>
      <c r="K299" s="2">
        <v>0.18179999999999999</v>
      </c>
      <c r="L299" s="2">
        <v>0.26</v>
      </c>
      <c r="M299" s="2">
        <v>0.19400000000000001</v>
      </c>
      <c r="N299" s="2">
        <v>6</v>
      </c>
      <c r="O299" s="2">
        <v>159</v>
      </c>
      <c r="P299" s="2">
        <v>165</v>
      </c>
    </row>
    <row r="300" spans="1:16" x14ac:dyDescent="0.3">
      <c r="A300" s="2">
        <v>918</v>
      </c>
      <c r="B300" s="3">
        <v>40584</v>
      </c>
      <c r="C300" s="2">
        <v>1</v>
      </c>
      <c r="D300" s="2">
        <v>0</v>
      </c>
      <c r="E300" s="2">
        <v>2</v>
      </c>
      <c r="F300" s="2">
        <v>18</v>
      </c>
      <c r="G300" s="2" t="b">
        <v>0</v>
      </c>
      <c r="H300" s="2">
        <v>4</v>
      </c>
      <c r="I300" s="2">
        <v>1</v>
      </c>
      <c r="J300" s="2">
        <v>0.16</v>
      </c>
      <c r="K300" s="2">
        <v>0.18179999999999999</v>
      </c>
      <c r="L300" s="2">
        <v>0.28000000000000003</v>
      </c>
      <c r="M300" s="2">
        <v>0.1343</v>
      </c>
      <c r="N300" s="2">
        <v>3</v>
      </c>
      <c r="O300" s="2">
        <v>157</v>
      </c>
      <c r="P300" s="2">
        <v>160</v>
      </c>
    </row>
    <row r="301" spans="1:16" x14ac:dyDescent="0.3">
      <c r="A301" s="2">
        <v>919</v>
      </c>
      <c r="B301" s="3">
        <v>40584</v>
      </c>
      <c r="C301" s="2">
        <v>1</v>
      </c>
      <c r="D301" s="2">
        <v>0</v>
      </c>
      <c r="E301" s="2">
        <v>2</v>
      </c>
      <c r="F301" s="2">
        <v>19</v>
      </c>
      <c r="G301" s="2" t="b">
        <v>0</v>
      </c>
      <c r="H301" s="2">
        <v>4</v>
      </c>
      <c r="I301" s="2">
        <v>1</v>
      </c>
      <c r="J301" s="2">
        <v>0.14000000000000001</v>
      </c>
      <c r="K301" s="2">
        <v>0.16669999999999999</v>
      </c>
      <c r="L301" s="2">
        <v>0.28000000000000003</v>
      </c>
      <c r="M301" s="2">
        <v>0.1045</v>
      </c>
      <c r="N301" s="2">
        <v>2</v>
      </c>
      <c r="O301" s="2">
        <v>110</v>
      </c>
      <c r="P301" s="2">
        <v>112</v>
      </c>
    </row>
    <row r="302" spans="1:16" x14ac:dyDescent="0.3">
      <c r="A302" s="2">
        <v>920</v>
      </c>
      <c r="B302" s="3">
        <v>40584</v>
      </c>
      <c r="C302" s="2">
        <v>1</v>
      </c>
      <c r="D302" s="2">
        <v>0</v>
      </c>
      <c r="E302" s="2">
        <v>2</v>
      </c>
      <c r="F302" s="2">
        <v>20</v>
      </c>
      <c r="G302" s="2" t="b">
        <v>0</v>
      </c>
      <c r="H302" s="2">
        <v>4</v>
      </c>
      <c r="I302" s="2">
        <v>1</v>
      </c>
      <c r="J302" s="2">
        <v>0.14000000000000001</v>
      </c>
      <c r="K302" s="2">
        <v>0.18179999999999999</v>
      </c>
      <c r="L302" s="2">
        <v>0.31</v>
      </c>
      <c r="M302" s="2">
        <v>8.9599999999999999E-2</v>
      </c>
      <c r="N302" s="2">
        <v>4</v>
      </c>
      <c r="O302" s="2">
        <v>93</v>
      </c>
      <c r="P302" s="2">
        <v>97</v>
      </c>
    </row>
    <row r="303" spans="1:16" x14ac:dyDescent="0.3">
      <c r="A303" s="2">
        <v>921</v>
      </c>
      <c r="B303" s="3">
        <v>40584</v>
      </c>
      <c r="C303" s="2">
        <v>1</v>
      </c>
      <c r="D303" s="2">
        <v>0</v>
      </c>
      <c r="E303" s="2">
        <v>2</v>
      </c>
      <c r="F303" s="2">
        <v>21</v>
      </c>
      <c r="G303" s="2" t="b">
        <v>0</v>
      </c>
      <c r="H303" s="2">
        <v>4</v>
      </c>
      <c r="I303" s="2">
        <v>1</v>
      </c>
      <c r="J303" s="2">
        <v>0.14000000000000001</v>
      </c>
      <c r="K303" s="2">
        <v>0.21210000000000001</v>
      </c>
      <c r="L303" s="2">
        <v>0.39</v>
      </c>
      <c r="M303" s="2">
        <v>0</v>
      </c>
      <c r="N303" s="2">
        <v>2</v>
      </c>
      <c r="O303" s="2">
        <v>70</v>
      </c>
      <c r="P303" s="2">
        <v>72</v>
      </c>
    </row>
    <row r="304" spans="1:16" x14ac:dyDescent="0.3">
      <c r="A304" s="2">
        <v>922</v>
      </c>
      <c r="B304" s="3">
        <v>40584</v>
      </c>
      <c r="C304" s="2">
        <v>1</v>
      </c>
      <c r="D304" s="2">
        <v>0</v>
      </c>
      <c r="E304" s="2">
        <v>2</v>
      </c>
      <c r="F304" s="2">
        <v>22</v>
      </c>
      <c r="G304" s="2" t="b">
        <v>0</v>
      </c>
      <c r="H304" s="2">
        <v>4</v>
      </c>
      <c r="I304" s="2">
        <v>1</v>
      </c>
      <c r="J304" s="2">
        <v>0.12</v>
      </c>
      <c r="K304" s="2">
        <v>0.19700000000000001</v>
      </c>
      <c r="L304" s="2">
        <v>0.39</v>
      </c>
      <c r="M304" s="2">
        <v>0</v>
      </c>
      <c r="N304" s="2">
        <v>4</v>
      </c>
      <c r="O304" s="2">
        <v>47</v>
      </c>
      <c r="P304" s="2">
        <v>51</v>
      </c>
    </row>
    <row r="305" spans="1:16" x14ac:dyDescent="0.3">
      <c r="A305" s="2">
        <v>923</v>
      </c>
      <c r="B305" s="3">
        <v>40584</v>
      </c>
      <c r="C305" s="2">
        <v>1</v>
      </c>
      <c r="D305" s="2">
        <v>0</v>
      </c>
      <c r="E305" s="2">
        <v>2</v>
      </c>
      <c r="F305" s="2">
        <v>23</v>
      </c>
      <c r="G305" s="2" t="b">
        <v>0</v>
      </c>
      <c r="H305" s="2">
        <v>4</v>
      </c>
      <c r="I305" s="2">
        <v>1</v>
      </c>
      <c r="J305" s="2">
        <v>0.12</v>
      </c>
      <c r="K305" s="2">
        <v>0.1515</v>
      </c>
      <c r="L305" s="2">
        <v>0.42</v>
      </c>
      <c r="M305" s="2">
        <v>0.1045</v>
      </c>
      <c r="N305" s="2">
        <v>1</v>
      </c>
      <c r="O305" s="2">
        <v>33</v>
      </c>
      <c r="P305" s="2">
        <v>34</v>
      </c>
    </row>
    <row r="306" spans="1:16" x14ac:dyDescent="0.3">
      <c r="A306" s="2">
        <v>924</v>
      </c>
      <c r="B306" s="3">
        <v>40585</v>
      </c>
      <c r="C306" s="2">
        <v>1</v>
      </c>
      <c r="D306" s="2">
        <v>0</v>
      </c>
      <c r="E306" s="2">
        <v>2</v>
      </c>
      <c r="F306" s="2">
        <v>0</v>
      </c>
      <c r="G306" s="2" t="b">
        <v>0</v>
      </c>
      <c r="H306" s="2">
        <v>5</v>
      </c>
      <c r="I306" s="2">
        <v>1</v>
      </c>
      <c r="J306" s="2">
        <v>0.1</v>
      </c>
      <c r="K306" s="2">
        <v>0.13639999999999999</v>
      </c>
      <c r="L306" s="2">
        <v>0.49</v>
      </c>
      <c r="M306" s="2">
        <v>0.1045</v>
      </c>
      <c r="N306" s="2">
        <v>2</v>
      </c>
      <c r="O306" s="2">
        <v>12</v>
      </c>
      <c r="P306" s="2">
        <v>14</v>
      </c>
    </row>
    <row r="307" spans="1:16" x14ac:dyDescent="0.3">
      <c r="A307" s="2">
        <v>925</v>
      </c>
      <c r="B307" s="3">
        <v>40585</v>
      </c>
      <c r="C307" s="2">
        <v>1</v>
      </c>
      <c r="D307" s="2">
        <v>0</v>
      </c>
      <c r="E307" s="2">
        <v>2</v>
      </c>
      <c r="F307" s="2">
        <v>1</v>
      </c>
      <c r="G307" s="2" t="b">
        <v>0</v>
      </c>
      <c r="H307" s="2">
        <v>5</v>
      </c>
      <c r="I307" s="2">
        <v>1</v>
      </c>
      <c r="J307" s="2">
        <v>0.1</v>
      </c>
      <c r="K307" s="2">
        <v>0.13639999999999999</v>
      </c>
      <c r="L307" s="2">
        <v>0.54</v>
      </c>
      <c r="M307" s="2">
        <v>8.9599999999999999E-2</v>
      </c>
      <c r="N307" s="2">
        <v>1</v>
      </c>
      <c r="O307" s="2">
        <v>6</v>
      </c>
      <c r="P307" s="2">
        <v>7</v>
      </c>
    </row>
    <row r="308" spans="1:16" x14ac:dyDescent="0.3">
      <c r="A308" s="2">
        <v>926</v>
      </c>
      <c r="B308" s="3">
        <v>40585</v>
      </c>
      <c r="C308" s="2">
        <v>1</v>
      </c>
      <c r="D308" s="2">
        <v>0</v>
      </c>
      <c r="E308" s="2">
        <v>2</v>
      </c>
      <c r="F308" s="2">
        <v>2</v>
      </c>
      <c r="G308" s="2" t="b">
        <v>0</v>
      </c>
      <c r="H308" s="2">
        <v>5</v>
      </c>
      <c r="I308" s="2">
        <v>1</v>
      </c>
      <c r="J308" s="2">
        <v>0.1</v>
      </c>
      <c r="K308" s="2">
        <v>0.13639999999999999</v>
      </c>
      <c r="L308" s="2">
        <v>0.54</v>
      </c>
      <c r="M308" s="2">
        <v>8.9599999999999999E-2</v>
      </c>
      <c r="N308" s="2">
        <v>0</v>
      </c>
      <c r="O308" s="2">
        <v>3</v>
      </c>
      <c r="P308" s="2">
        <v>3</v>
      </c>
    </row>
    <row r="309" spans="1:16" x14ac:dyDescent="0.3">
      <c r="A309" s="2">
        <v>927</v>
      </c>
      <c r="B309" s="3">
        <v>40585</v>
      </c>
      <c r="C309" s="2">
        <v>1</v>
      </c>
      <c r="D309" s="2">
        <v>0</v>
      </c>
      <c r="E309" s="2">
        <v>2</v>
      </c>
      <c r="F309" s="2">
        <v>5</v>
      </c>
      <c r="G309" s="2" t="b">
        <v>0</v>
      </c>
      <c r="H309" s="2">
        <v>5</v>
      </c>
      <c r="I309" s="2">
        <v>1</v>
      </c>
      <c r="J309" s="2">
        <v>0.08</v>
      </c>
      <c r="K309" s="2">
        <v>0.1212</v>
      </c>
      <c r="L309" s="2">
        <v>0.63</v>
      </c>
      <c r="M309" s="2">
        <v>8.9599999999999999E-2</v>
      </c>
      <c r="N309" s="2">
        <v>0</v>
      </c>
      <c r="O309" s="2">
        <v>4</v>
      </c>
      <c r="P309" s="2">
        <v>4</v>
      </c>
    </row>
    <row r="310" spans="1:16" x14ac:dyDescent="0.3">
      <c r="A310" s="2">
        <v>928</v>
      </c>
      <c r="B310" s="3">
        <v>40585</v>
      </c>
      <c r="C310" s="2">
        <v>1</v>
      </c>
      <c r="D310" s="2">
        <v>0</v>
      </c>
      <c r="E310" s="2">
        <v>2</v>
      </c>
      <c r="F310" s="2">
        <v>6</v>
      </c>
      <c r="G310" s="2" t="b">
        <v>0</v>
      </c>
      <c r="H310" s="2">
        <v>5</v>
      </c>
      <c r="I310" s="2">
        <v>1</v>
      </c>
      <c r="J310" s="2">
        <v>0.1</v>
      </c>
      <c r="K310" s="2">
        <v>0.18179999999999999</v>
      </c>
      <c r="L310" s="2">
        <v>0.68</v>
      </c>
      <c r="M310" s="2">
        <v>0</v>
      </c>
      <c r="N310" s="2">
        <v>1</v>
      </c>
      <c r="O310" s="2">
        <v>23</v>
      </c>
      <c r="P310" s="2">
        <v>24</v>
      </c>
    </row>
    <row r="311" spans="1:16" x14ac:dyDescent="0.3">
      <c r="A311" s="2">
        <v>929</v>
      </c>
      <c r="B311" s="3">
        <v>40585</v>
      </c>
      <c r="C311" s="2">
        <v>1</v>
      </c>
      <c r="D311" s="2">
        <v>0</v>
      </c>
      <c r="E311" s="2">
        <v>2</v>
      </c>
      <c r="F311" s="2">
        <v>7</v>
      </c>
      <c r="G311" s="2" t="b">
        <v>0</v>
      </c>
      <c r="H311" s="2">
        <v>5</v>
      </c>
      <c r="I311" s="2">
        <v>1</v>
      </c>
      <c r="J311" s="2">
        <v>0.08</v>
      </c>
      <c r="K311" s="2">
        <v>0.16669999999999999</v>
      </c>
      <c r="L311" s="2">
        <v>0.73</v>
      </c>
      <c r="M311" s="2">
        <v>0</v>
      </c>
      <c r="N311" s="2">
        <v>1</v>
      </c>
      <c r="O311" s="2">
        <v>73</v>
      </c>
      <c r="P311" s="2">
        <v>74</v>
      </c>
    </row>
    <row r="312" spans="1:16" x14ac:dyDescent="0.3">
      <c r="A312" s="2">
        <v>930</v>
      </c>
      <c r="B312" s="3">
        <v>40585</v>
      </c>
      <c r="C312" s="2">
        <v>1</v>
      </c>
      <c r="D312" s="2">
        <v>0</v>
      </c>
      <c r="E312" s="2">
        <v>2</v>
      </c>
      <c r="F312" s="2">
        <v>8</v>
      </c>
      <c r="G312" s="2" t="b">
        <v>0</v>
      </c>
      <c r="H312" s="2">
        <v>5</v>
      </c>
      <c r="I312" s="2">
        <v>1</v>
      </c>
      <c r="J312" s="2">
        <v>0.1</v>
      </c>
      <c r="K312" s="2">
        <v>0.1212</v>
      </c>
      <c r="L312" s="2">
        <v>0.74</v>
      </c>
      <c r="M312" s="2">
        <v>0.16420000000000001</v>
      </c>
      <c r="N312" s="2">
        <v>4</v>
      </c>
      <c r="O312" s="2">
        <v>212</v>
      </c>
      <c r="P312" s="2">
        <v>216</v>
      </c>
    </row>
    <row r="313" spans="1:16" x14ac:dyDescent="0.3">
      <c r="A313" s="2">
        <v>931</v>
      </c>
      <c r="B313" s="3">
        <v>40585</v>
      </c>
      <c r="C313" s="2">
        <v>1</v>
      </c>
      <c r="D313" s="2">
        <v>0</v>
      </c>
      <c r="E313" s="2">
        <v>2</v>
      </c>
      <c r="F313" s="2">
        <v>9</v>
      </c>
      <c r="G313" s="2" t="b">
        <v>0</v>
      </c>
      <c r="H313" s="2">
        <v>5</v>
      </c>
      <c r="I313" s="2">
        <v>1</v>
      </c>
      <c r="J313" s="2">
        <v>0.12</v>
      </c>
      <c r="K313" s="2">
        <v>0.1212</v>
      </c>
      <c r="L313" s="2">
        <v>0.74</v>
      </c>
      <c r="M313" s="2">
        <v>0.22389999999999999</v>
      </c>
      <c r="N313" s="2">
        <v>8</v>
      </c>
      <c r="O313" s="2">
        <v>132</v>
      </c>
      <c r="P313" s="2">
        <v>140</v>
      </c>
    </row>
    <row r="314" spans="1:16" x14ac:dyDescent="0.3">
      <c r="A314" s="2">
        <v>932</v>
      </c>
      <c r="B314" s="3">
        <v>40585</v>
      </c>
      <c r="C314" s="2">
        <v>1</v>
      </c>
      <c r="D314" s="2">
        <v>0</v>
      </c>
      <c r="E314" s="2">
        <v>2</v>
      </c>
      <c r="F314" s="2">
        <v>10</v>
      </c>
      <c r="G314" s="2" t="b">
        <v>0</v>
      </c>
      <c r="H314" s="2">
        <v>5</v>
      </c>
      <c r="I314" s="2">
        <v>1</v>
      </c>
      <c r="J314" s="2">
        <v>0.14000000000000001</v>
      </c>
      <c r="K314" s="2">
        <v>0.13639999999999999</v>
      </c>
      <c r="L314" s="2">
        <v>0.69</v>
      </c>
      <c r="M314" s="2">
        <v>0.19400000000000001</v>
      </c>
      <c r="N314" s="2">
        <v>5</v>
      </c>
      <c r="O314" s="2">
        <v>39</v>
      </c>
      <c r="P314" s="2">
        <v>44</v>
      </c>
    </row>
    <row r="315" spans="1:16" x14ac:dyDescent="0.3">
      <c r="A315" s="2">
        <v>933</v>
      </c>
      <c r="B315" s="3">
        <v>40585</v>
      </c>
      <c r="C315" s="2">
        <v>1</v>
      </c>
      <c r="D315" s="2">
        <v>0</v>
      </c>
      <c r="E315" s="2">
        <v>2</v>
      </c>
      <c r="F315" s="2">
        <v>11</v>
      </c>
      <c r="G315" s="2" t="b">
        <v>0</v>
      </c>
      <c r="H315" s="2">
        <v>5</v>
      </c>
      <c r="I315" s="2">
        <v>1</v>
      </c>
      <c r="J315" s="2">
        <v>0.22</v>
      </c>
      <c r="K315" s="2">
        <v>0.2273</v>
      </c>
      <c r="L315" s="2">
        <v>0.47</v>
      </c>
      <c r="M315" s="2">
        <v>0.1343</v>
      </c>
      <c r="N315" s="2">
        <v>12</v>
      </c>
      <c r="O315" s="2">
        <v>52</v>
      </c>
      <c r="P315" s="2">
        <v>64</v>
      </c>
    </row>
    <row r="316" spans="1:16" x14ac:dyDescent="0.3">
      <c r="A316" s="2">
        <v>934</v>
      </c>
      <c r="B316" s="3">
        <v>40585</v>
      </c>
      <c r="C316" s="2">
        <v>1</v>
      </c>
      <c r="D316" s="2">
        <v>0</v>
      </c>
      <c r="E316" s="2">
        <v>2</v>
      </c>
      <c r="F316" s="2">
        <v>12</v>
      </c>
      <c r="G316" s="2" t="b">
        <v>0</v>
      </c>
      <c r="H316" s="2">
        <v>5</v>
      </c>
      <c r="I316" s="2">
        <v>1</v>
      </c>
      <c r="J316" s="2">
        <v>0.22</v>
      </c>
      <c r="K316" s="2">
        <v>0.2273</v>
      </c>
      <c r="L316" s="2">
        <v>0.47</v>
      </c>
      <c r="M316" s="2">
        <v>0.1343</v>
      </c>
      <c r="N316" s="2">
        <v>7</v>
      </c>
      <c r="O316" s="2">
        <v>64</v>
      </c>
      <c r="P316" s="2">
        <v>71</v>
      </c>
    </row>
    <row r="317" spans="1:16" x14ac:dyDescent="0.3">
      <c r="A317" s="2">
        <v>935</v>
      </c>
      <c r="B317" s="3">
        <v>40585</v>
      </c>
      <c r="C317" s="2">
        <v>1</v>
      </c>
      <c r="D317" s="2">
        <v>0</v>
      </c>
      <c r="E317" s="2">
        <v>2</v>
      </c>
      <c r="F317" s="2">
        <v>13</v>
      </c>
      <c r="G317" s="2" t="b">
        <v>0</v>
      </c>
      <c r="H317" s="2">
        <v>5</v>
      </c>
      <c r="I317" s="2">
        <v>1</v>
      </c>
      <c r="J317" s="2">
        <v>0.24</v>
      </c>
      <c r="K317" s="2">
        <v>0.2273</v>
      </c>
      <c r="L317" s="2">
        <v>0.35</v>
      </c>
      <c r="M317" s="2">
        <v>0.19400000000000001</v>
      </c>
      <c r="N317" s="2">
        <v>21</v>
      </c>
      <c r="O317" s="2">
        <v>89</v>
      </c>
      <c r="P317" s="2">
        <v>110</v>
      </c>
    </row>
    <row r="318" spans="1:16" x14ac:dyDescent="0.3">
      <c r="A318" s="2">
        <v>936</v>
      </c>
      <c r="B318" s="3">
        <v>40585</v>
      </c>
      <c r="C318" s="2">
        <v>1</v>
      </c>
      <c r="D318" s="2">
        <v>0</v>
      </c>
      <c r="E318" s="2">
        <v>2</v>
      </c>
      <c r="F318" s="2">
        <v>14</v>
      </c>
      <c r="G318" s="2" t="b">
        <v>0</v>
      </c>
      <c r="H318" s="2">
        <v>5</v>
      </c>
      <c r="I318" s="2">
        <v>1</v>
      </c>
      <c r="J318" s="2">
        <v>0.3</v>
      </c>
      <c r="K318" s="2">
        <v>0.28789999999999999</v>
      </c>
      <c r="L318" s="2">
        <v>0.26</v>
      </c>
      <c r="M318" s="2">
        <v>0.25369999999999998</v>
      </c>
      <c r="N318" s="2">
        <v>17</v>
      </c>
      <c r="O318" s="2">
        <v>67</v>
      </c>
      <c r="P318" s="2">
        <v>84</v>
      </c>
    </row>
    <row r="319" spans="1:16" x14ac:dyDescent="0.3">
      <c r="A319" s="2">
        <v>937</v>
      </c>
      <c r="B319" s="3">
        <v>40585</v>
      </c>
      <c r="C319" s="2">
        <v>1</v>
      </c>
      <c r="D319" s="2">
        <v>0</v>
      </c>
      <c r="E319" s="2">
        <v>2</v>
      </c>
      <c r="F319" s="2">
        <v>15</v>
      </c>
      <c r="G319" s="2" t="b">
        <v>0</v>
      </c>
      <c r="H319" s="2">
        <v>5</v>
      </c>
      <c r="I319" s="2">
        <v>1</v>
      </c>
      <c r="J319" s="2">
        <v>0.32</v>
      </c>
      <c r="K319" s="2">
        <v>0.31819999999999998</v>
      </c>
      <c r="L319" s="2">
        <v>0.21</v>
      </c>
      <c r="M319" s="2">
        <v>0.16420000000000001</v>
      </c>
      <c r="N319" s="2">
        <v>12</v>
      </c>
      <c r="O319" s="2">
        <v>62</v>
      </c>
      <c r="P319" s="2">
        <v>74</v>
      </c>
    </row>
    <row r="320" spans="1:16" x14ac:dyDescent="0.3">
      <c r="A320" s="2">
        <v>938</v>
      </c>
      <c r="B320" s="3">
        <v>40585</v>
      </c>
      <c r="C320" s="2">
        <v>1</v>
      </c>
      <c r="D320" s="2">
        <v>0</v>
      </c>
      <c r="E320" s="2">
        <v>2</v>
      </c>
      <c r="F320" s="2">
        <v>16</v>
      </c>
      <c r="G320" s="2" t="b">
        <v>0</v>
      </c>
      <c r="H320" s="2">
        <v>5</v>
      </c>
      <c r="I320" s="2">
        <v>1</v>
      </c>
      <c r="J320" s="2">
        <v>0.3</v>
      </c>
      <c r="K320" s="2">
        <v>0.28789999999999999</v>
      </c>
      <c r="L320" s="2">
        <v>0.28000000000000003</v>
      </c>
      <c r="M320" s="2">
        <v>0.19400000000000001</v>
      </c>
      <c r="N320" s="2">
        <v>14</v>
      </c>
      <c r="O320" s="2">
        <v>111</v>
      </c>
      <c r="P320" s="2">
        <v>125</v>
      </c>
    </row>
    <row r="321" spans="1:16" x14ac:dyDescent="0.3">
      <c r="A321" s="2">
        <v>939</v>
      </c>
      <c r="B321" s="3">
        <v>40585</v>
      </c>
      <c r="C321" s="2">
        <v>1</v>
      </c>
      <c r="D321" s="2">
        <v>0</v>
      </c>
      <c r="E321" s="2">
        <v>2</v>
      </c>
      <c r="F321" s="2">
        <v>17</v>
      </c>
      <c r="G321" s="2" t="b">
        <v>0</v>
      </c>
      <c r="H321" s="2">
        <v>5</v>
      </c>
      <c r="I321" s="2">
        <v>1</v>
      </c>
      <c r="J321" s="2">
        <v>0.3</v>
      </c>
      <c r="K321" s="2">
        <v>0.33329999999999999</v>
      </c>
      <c r="L321" s="2">
        <v>0.24</v>
      </c>
      <c r="M321" s="2">
        <v>0</v>
      </c>
      <c r="N321" s="2">
        <v>18</v>
      </c>
      <c r="O321" s="2">
        <v>193</v>
      </c>
      <c r="P321" s="2">
        <v>211</v>
      </c>
    </row>
    <row r="322" spans="1:16" x14ac:dyDescent="0.3">
      <c r="A322" s="2">
        <v>940</v>
      </c>
      <c r="B322" s="3">
        <v>40585</v>
      </c>
      <c r="C322" s="2">
        <v>1</v>
      </c>
      <c r="D322" s="2">
        <v>0</v>
      </c>
      <c r="E322" s="2">
        <v>2</v>
      </c>
      <c r="F322" s="2">
        <v>18</v>
      </c>
      <c r="G322" s="2" t="b">
        <v>0</v>
      </c>
      <c r="H322" s="2">
        <v>5</v>
      </c>
      <c r="I322" s="2">
        <v>1</v>
      </c>
      <c r="J322" s="2">
        <v>0.28000000000000003</v>
      </c>
      <c r="K322" s="2">
        <v>0.31819999999999998</v>
      </c>
      <c r="L322" s="2">
        <v>0.28000000000000003</v>
      </c>
      <c r="M322" s="2">
        <v>0</v>
      </c>
      <c r="N322" s="2">
        <v>9</v>
      </c>
      <c r="O322" s="2">
        <v>165</v>
      </c>
      <c r="P322" s="2">
        <v>174</v>
      </c>
    </row>
    <row r="323" spans="1:16" x14ac:dyDescent="0.3">
      <c r="A323" s="2">
        <v>941</v>
      </c>
      <c r="B323" s="3">
        <v>40585</v>
      </c>
      <c r="C323" s="2">
        <v>1</v>
      </c>
      <c r="D323" s="2">
        <v>0</v>
      </c>
      <c r="E323" s="2">
        <v>2</v>
      </c>
      <c r="F323" s="2">
        <v>19</v>
      </c>
      <c r="G323" s="2" t="b">
        <v>0</v>
      </c>
      <c r="H323" s="2">
        <v>5</v>
      </c>
      <c r="I323" s="2">
        <v>1</v>
      </c>
      <c r="J323" s="2">
        <v>0.26</v>
      </c>
      <c r="K323" s="2">
        <v>0.30299999999999999</v>
      </c>
      <c r="L323" s="2">
        <v>0.33</v>
      </c>
      <c r="M323" s="2">
        <v>0</v>
      </c>
      <c r="N323" s="2">
        <v>7</v>
      </c>
      <c r="O323" s="2">
        <v>94</v>
      </c>
      <c r="P323" s="2">
        <v>101</v>
      </c>
    </row>
    <row r="324" spans="1:16" x14ac:dyDescent="0.3">
      <c r="A324" s="2">
        <v>942</v>
      </c>
      <c r="B324" s="3">
        <v>40585</v>
      </c>
      <c r="C324" s="2">
        <v>1</v>
      </c>
      <c r="D324" s="2">
        <v>0</v>
      </c>
      <c r="E324" s="2">
        <v>2</v>
      </c>
      <c r="F324" s="2">
        <v>20</v>
      </c>
      <c r="G324" s="2" t="b">
        <v>0</v>
      </c>
      <c r="H324" s="2">
        <v>5</v>
      </c>
      <c r="I324" s="2">
        <v>1</v>
      </c>
      <c r="J324" s="2">
        <v>0.22</v>
      </c>
      <c r="K324" s="2">
        <v>0.2273</v>
      </c>
      <c r="L324" s="2">
        <v>0.55000000000000004</v>
      </c>
      <c r="M324" s="2">
        <v>0.1343</v>
      </c>
      <c r="N324" s="2">
        <v>2</v>
      </c>
      <c r="O324" s="2">
        <v>61</v>
      </c>
      <c r="P324" s="2">
        <v>63</v>
      </c>
    </row>
    <row r="325" spans="1:16" x14ac:dyDescent="0.3">
      <c r="A325" s="2">
        <v>943</v>
      </c>
      <c r="B325" s="3">
        <v>40585</v>
      </c>
      <c r="C325" s="2">
        <v>1</v>
      </c>
      <c r="D325" s="2">
        <v>0</v>
      </c>
      <c r="E325" s="2">
        <v>2</v>
      </c>
      <c r="F325" s="2">
        <v>21</v>
      </c>
      <c r="G325" s="2" t="b">
        <v>0</v>
      </c>
      <c r="H325" s="2">
        <v>5</v>
      </c>
      <c r="I325" s="2">
        <v>1</v>
      </c>
      <c r="J325" s="2">
        <v>0.2</v>
      </c>
      <c r="K325" s="2">
        <v>0.21210000000000001</v>
      </c>
      <c r="L325" s="2">
        <v>0.59</v>
      </c>
      <c r="M325" s="2">
        <v>0.1343</v>
      </c>
      <c r="N325" s="2">
        <v>1</v>
      </c>
      <c r="O325" s="2">
        <v>46</v>
      </c>
      <c r="P325" s="2">
        <v>47</v>
      </c>
    </row>
    <row r="326" spans="1:16" x14ac:dyDescent="0.3">
      <c r="A326" s="2">
        <v>944</v>
      </c>
      <c r="B326" s="3">
        <v>40585</v>
      </c>
      <c r="C326" s="2">
        <v>1</v>
      </c>
      <c r="D326" s="2">
        <v>0</v>
      </c>
      <c r="E326" s="2">
        <v>2</v>
      </c>
      <c r="F326" s="2">
        <v>22</v>
      </c>
      <c r="G326" s="2" t="b">
        <v>0</v>
      </c>
      <c r="H326" s="2">
        <v>5</v>
      </c>
      <c r="I326" s="2">
        <v>1</v>
      </c>
      <c r="J326" s="2">
        <v>0.2</v>
      </c>
      <c r="K326" s="2">
        <v>0.2273</v>
      </c>
      <c r="L326" s="2">
        <v>0.64</v>
      </c>
      <c r="M326" s="2">
        <v>8.9599999999999999E-2</v>
      </c>
      <c r="N326" s="2">
        <v>2</v>
      </c>
      <c r="O326" s="2">
        <v>41</v>
      </c>
      <c r="P326" s="2">
        <v>43</v>
      </c>
    </row>
    <row r="327" spans="1:16" x14ac:dyDescent="0.3">
      <c r="A327" s="2">
        <v>945</v>
      </c>
      <c r="B327" s="3">
        <v>40585</v>
      </c>
      <c r="C327" s="2">
        <v>1</v>
      </c>
      <c r="D327" s="2">
        <v>0</v>
      </c>
      <c r="E327" s="2">
        <v>2</v>
      </c>
      <c r="F327" s="2">
        <v>23</v>
      </c>
      <c r="G327" s="2" t="b">
        <v>0</v>
      </c>
      <c r="H327" s="2">
        <v>5</v>
      </c>
      <c r="I327" s="2">
        <v>1</v>
      </c>
      <c r="J327" s="2">
        <v>0.18</v>
      </c>
      <c r="K327" s="2">
        <v>0.2424</v>
      </c>
      <c r="L327" s="2">
        <v>0.69</v>
      </c>
      <c r="M327" s="2">
        <v>0</v>
      </c>
      <c r="N327" s="2">
        <v>5</v>
      </c>
      <c r="O327" s="2">
        <v>48</v>
      </c>
      <c r="P327" s="2">
        <v>53</v>
      </c>
    </row>
    <row r="328" spans="1:16" x14ac:dyDescent="0.3">
      <c r="A328" s="2">
        <v>946</v>
      </c>
      <c r="B328" s="3">
        <v>40586</v>
      </c>
      <c r="C328" s="2">
        <v>1</v>
      </c>
      <c r="D328" s="2">
        <v>0</v>
      </c>
      <c r="E328" s="2">
        <v>2</v>
      </c>
      <c r="F328" s="2">
        <v>0</v>
      </c>
      <c r="G328" s="2" t="b">
        <v>0</v>
      </c>
      <c r="H328" s="2">
        <v>6</v>
      </c>
      <c r="I328" s="2">
        <v>1</v>
      </c>
      <c r="J328" s="2">
        <v>0.16</v>
      </c>
      <c r="K328" s="2">
        <v>0.19700000000000001</v>
      </c>
      <c r="L328" s="2">
        <v>0.69</v>
      </c>
      <c r="M328" s="2">
        <v>8.9599999999999999E-2</v>
      </c>
      <c r="N328" s="2">
        <v>3</v>
      </c>
      <c r="O328" s="2">
        <v>27</v>
      </c>
      <c r="P328" s="2">
        <v>30</v>
      </c>
    </row>
    <row r="329" spans="1:16" x14ac:dyDescent="0.3">
      <c r="A329" s="2">
        <v>947</v>
      </c>
      <c r="B329" s="3">
        <v>40586</v>
      </c>
      <c r="C329" s="2">
        <v>1</v>
      </c>
      <c r="D329" s="2">
        <v>0</v>
      </c>
      <c r="E329" s="2">
        <v>2</v>
      </c>
      <c r="F329" s="2">
        <v>1</v>
      </c>
      <c r="G329" s="2" t="b">
        <v>0</v>
      </c>
      <c r="H329" s="2">
        <v>6</v>
      </c>
      <c r="I329" s="2">
        <v>1</v>
      </c>
      <c r="J329" s="2">
        <v>0.14000000000000001</v>
      </c>
      <c r="K329" s="2">
        <v>0.21210000000000001</v>
      </c>
      <c r="L329" s="2">
        <v>0.86</v>
      </c>
      <c r="M329" s="2">
        <v>0</v>
      </c>
      <c r="N329" s="2">
        <v>2</v>
      </c>
      <c r="O329" s="2">
        <v>22</v>
      </c>
      <c r="P329" s="2">
        <v>24</v>
      </c>
    </row>
    <row r="330" spans="1:16" x14ac:dyDescent="0.3">
      <c r="A330" s="2">
        <v>948</v>
      </c>
      <c r="B330" s="3">
        <v>40586</v>
      </c>
      <c r="C330" s="2">
        <v>1</v>
      </c>
      <c r="D330" s="2">
        <v>0</v>
      </c>
      <c r="E330" s="2">
        <v>2</v>
      </c>
      <c r="F330" s="2">
        <v>2</v>
      </c>
      <c r="G330" s="2" t="b">
        <v>0</v>
      </c>
      <c r="H330" s="2">
        <v>6</v>
      </c>
      <c r="I330" s="2">
        <v>1</v>
      </c>
      <c r="J330" s="2">
        <v>0.14000000000000001</v>
      </c>
      <c r="K330" s="2">
        <v>0.21210000000000001</v>
      </c>
      <c r="L330" s="2">
        <v>0.8</v>
      </c>
      <c r="M330" s="2">
        <v>0</v>
      </c>
      <c r="N330" s="2">
        <v>2</v>
      </c>
      <c r="O330" s="2">
        <v>13</v>
      </c>
      <c r="P330" s="2">
        <v>15</v>
      </c>
    </row>
    <row r="331" spans="1:16" x14ac:dyDescent="0.3">
      <c r="A331" s="2">
        <v>949</v>
      </c>
      <c r="B331" s="3">
        <v>40586</v>
      </c>
      <c r="C331" s="2">
        <v>1</v>
      </c>
      <c r="D331" s="2">
        <v>0</v>
      </c>
      <c r="E331" s="2">
        <v>2</v>
      </c>
      <c r="F331" s="2">
        <v>3</v>
      </c>
      <c r="G331" s="2" t="b">
        <v>0</v>
      </c>
      <c r="H331" s="2">
        <v>6</v>
      </c>
      <c r="I331" s="2">
        <v>1</v>
      </c>
      <c r="J331" s="2">
        <v>0.12</v>
      </c>
      <c r="K331" s="2">
        <v>0.19700000000000001</v>
      </c>
      <c r="L331" s="2">
        <v>0.8</v>
      </c>
      <c r="M331" s="2">
        <v>0</v>
      </c>
      <c r="N331" s="2">
        <v>3</v>
      </c>
      <c r="O331" s="2">
        <v>7</v>
      </c>
      <c r="P331" s="2">
        <v>10</v>
      </c>
    </row>
    <row r="332" spans="1:16" x14ac:dyDescent="0.3">
      <c r="A332" s="2">
        <v>950</v>
      </c>
      <c r="B332" s="3">
        <v>40586</v>
      </c>
      <c r="C332" s="2">
        <v>1</v>
      </c>
      <c r="D332" s="2">
        <v>0</v>
      </c>
      <c r="E332" s="2">
        <v>2</v>
      </c>
      <c r="F332" s="2">
        <v>4</v>
      </c>
      <c r="G332" s="2" t="b">
        <v>0</v>
      </c>
      <c r="H332" s="2">
        <v>6</v>
      </c>
      <c r="I332" s="2">
        <v>1</v>
      </c>
      <c r="J332" s="2">
        <v>0.12</v>
      </c>
      <c r="K332" s="2">
        <v>0.16669999999999999</v>
      </c>
      <c r="L332" s="2">
        <v>0.74</v>
      </c>
      <c r="M332" s="2">
        <v>8.9599999999999999E-2</v>
      </c>
      <c r="N332" s="2">
        <v>0</v>
      </c>
      <c r="O332" s="2">
        <v>4</v>
      </c>
      <c r="P332" s="2">
        <v>4</v>
      </c>
    </row>
    <row r="333" spans="1:16" x14ac:dyDescent="0.3">
      <c r="A333" s="2">
        <v>951</v>
      </c>
      <c r="B333" s="3">
        <v>40586</v>
      </c>
      <c r="C333" s="2">
        <v>1</v>
      </c>
      <c r="D333" s="2">
        <v>0</v>
      </c>
      <c r="E333" s="2">
        <v>2</v>
      </c>
      <c r="F333" s="2">
        <v>5</v>
      </c>
      <c r="G333" s="2" t="b">
        <v>0</v>
      </c>
      <c r="H333" s="2">
        <v>6</v>
      </c>
      <c r="I333" s="2">
        <v>1</v>
      </c>
      <c r="J333" s="2">
        <v>0.12</v>
      </c>
      <c r="K333" s="2">
        <v>0.16669999999999999</v>
      </c>
      <c r="L333" s="2">
        <v>0.74</v>
      </c>
      <c r="M333" s="2">
        <v>8.9599999999999999E-2</v>
      </c>
      <c r="N333" s="2">
        <v>0</v>
      </c>
      <c r="O333" s="2">
        <v>1</v>
      </c>
      <c r="P333" s="2">
        <v>1</v>
      </c>
    </row>
    <row r="334" spans="1:16" x14ac:dyDescent="0.3">
      <c r="A334" s="2">
        <v>952</v>
      </c>
      <c r="B334" s="3">
        <v>40586</v>
      </c>
      <c r="C334" s="2">
        <v>1</v>
      </c>
      <c r="D334" s="2">
        <v>0</v>
      </c>
      <c r="E334" s="2">
        <v>2</v>
      </c>
      <c r="F334" s="2">
        <v>6</v>
      </c>
      <c r="G334" s="2" t="b">
        <v>0</v>
      </c>
      <c r="H334" s="2">
        <v>6</v>
      </c>
      <c r="I334" s="2">
        <v>1</v>
      </c>
      <c r="J334" s="2">
        <v>0.12</v>
      </c>
      <c r="K334" s="2">
        <v>0.13639999999999999</v>
      </c>
      <c r="L334" s="2">
        <v>0.93</v>
      </c>
      <c r="M334" s="2">
        <v>0.19400000000000001</v>
      </c>
      <c r="N334" s="2">
        <v>1</v>
      </c>
      <c r="O334" s="2">
        <v>1</v>
      </c>
      <c r="P334" s="2">
        <v>2</v>
      </c>
    </row>
    <row r="335" spans="1:16" x14ac:dyDescent="0.3">
      <c r="A335" s="2">
        <v>953</v>
      </c>
      <c r="B335" s="3">
        <v>40586</v>
      </c>
      <c r="C335" s="2">
        <v>1</v>
      </c>
      <c r="D335" s="2">
        <v>0</v>
      </c>
      <c r="E335" s="2">
        <v>2</v>
      </c>
      <c r="F335" s="2">
        <v>7</v>
      </c>
      <c r="G335" s="2" t="b">
        <v>0</v>
      </c>
      <c r="H335" s="2">
        <v>6</v>
      </c>
      <c r="I335" s="2">
        <v>1</v>
      </c>
      <c r="J335" s="2">
        <v>0.12</v>
      </c>
      <c r="K335" s="2">
        <v>0.1515</v>
      </c>
      <c r="L335" s="2">
        <v>0.8</v>
      </c>
      <c r="M335" s="2">
        <v>0.1045</v>
      </c>
      <c r="N335" s="2">
        <v>2</v>
      </c>
      <c r="O335" s="2">
        <v>9</v>
      </c>
      <c r="P335" s="2">
        <v>11</v>
      </c>
    </row>
    <row r="336" spans="1:16" x14ac:dyDescent="0.3">
      <c r="A336" s="2">
        <v>954</v>
      </c>
      <c r="B336" s="3">
        <v>40586</v>
      </c>
      <c r="C336" s="2">
        <v>1</v>
      </c>
      <c r="D336" s="2">
        <v>0</v>
      </c>
      <c r="E336" s="2">
        <v>2</v>
      </c>
      <c r="F336" s="2">
        <v>8</v>
      </c>
      <c r="G336" s="2" t="b">
        <v>0</v>
      </c>
      <c r="H336" s="2">
        <v>6</v>
      </c>
      <c r="I336" s="2">
        <v>1</v>
      </c>
      <c r="J336" s="2">
        <v>0.14000000000000001</v>
      </c>
      <c r="K336" s="2">
        <v>0.1515</v>
      </c>
      <c r="L336" s="2">
        <v>0.86</v>
      </c>
      <c r="M336" s="2">
        <v>0.1343</v>
      </c>
      <c r="N336" s="2">
        <v>2</v>
      </c>
      <c r="O336" s="2">
        <v>28</v>
      </c>
      <c r="P336" s="2">
        <v>30</v>
      </c>
    </row>
    <row r="337" spans="1:16" x14ac:dyDescent="0.3">
      <c r="A337" s="2">
        <v>955</v>
      </c>
      <c r="B337" s="3">
        <v>40586</v>
      </c>
      <c r="C337" s="2">
        <v>1</v>
      </c>
      <c r="D337" s="2">
        <v>0</v>
      </c>
      <c r="E337" s="2">
        <v>2</v>
      </c>
      <c r="F337" s="2">
        <v>9</v>
      </c>
      <c r="G337" s="2" t="b">
        <v>0</v>
      </c>
      <c r="H337" s="2">
        <v>6</v>
      </c>
      <c r="I337" s="2">
        <v>1</v>
      </c>
      <c r="J337" s="2">
        <v>0.16</v>
      </c>
      <c r="K337" s="2">
        <v>0.18179999999999999</v>
      </c>
      <c r="L337" s="2">
        <v>0.64</v>
      </c>
      <c r="M337" s="2">
        <v>0.1343</v>
      </c>
      <c r="N337" s="2">
        <v>5</v>
      </c>
      <c r="O337" s="2">
        <v>38</v>
      </c>
      <c r="P337" s="2">
        <v>43</v>
      </c>
    </row>
    <row r="338" spans="1:16" x14ac:dyDescent="0.3">
      <c r="A338" s="2">
        <v>956</v>
      </c>
      <c r="B338" s="3">
        <v>40586</v>
      </c>
      <c r="C338" s="2">
        <v>1</v>
      </c>
      <c r="D338" s="2">
        <v>0</v>
      </c>
      <c r="E338" s="2">
        <v>2</v>
      </c>
      <c r="F338" s="2">
        <v>10</v>
      </c>
      <c r="G338" s="2" t="b">
        <v>0</v>
      </c>
      <c r="H338" s="2">
        <v>6</v>
      </c>
      <c r="I338" s="2">
        <v>1</v>
      </c>
      <c r="J338" s="2">
        <v>0.22</v>
      </c>
      <c r="K338" s="2">
        <v>0.21210000000000001</v>
      </c>
      <c r="L338" s="2">
        <v>0.41</v>
      </c>
      <c r="M338" s="2">
        <v>0.25369999999999998</v>
      </c>
      <c r="N338" s="2">
        <v>13</v>
      </c>
      <c r="O338" s="2">
        <v>71</v>
      </c>
      <c r="P338" s="2">
        <v>84</v>
      </c>
    </row>
    <row r="339" spans="1:16" x14ac:dyDescent="0.3">
      <c r="A339" s="2">
        <v>957</v>
      </c>
      <c r="B339" s="3">
        <v>40586</v>
      </c>
      <c r="C339" s="2">
        <v>1</v>
      </c>
      <c r="D339" s="2">
        <v>0</v>
      </c>
      <c r="E339" s="2">
        <v>2</v>
      </c>
      <c r="F339" s="2">
        <v>11</v>
      </c>
      <c r="G339" s="2" t="b">
        <v>0</v>
      </c>
      <c r="H339" s="2">
        <v>6</v>
      </c>
      <c r="I339" s="2">
        <v>1</v>
      </c>
      <c r="J339" s="2">
        <v>0.3</v>
      </c>
      <c r="K339" s="2">
        <v>0.2727</v>
      </c>
      <c r="L339" s="2">
        <v>0.28000000000000003</v>
      </c>
      <c r="M339" s="2">
        <v>0.32840000000000003</v>
      </c>
      <c r="N339" s="2">
        <v>30</v>
      </c>
      <c r="O339" s="2">
        <v>84</v>
      </c>
      <c r="P339" s="2">
        <v>114</v>
      </c>
    </row>
    <row r="340" spans="1:16" x14ac:dyDescent="0.3">
      <c r="A340" s="2">
        <v>958</v>
      </c>
      <c r="B340" s="3">
        <v>40586</v>
      </c>
      <c r="C340" s="2">
        <v>1</v>
      </c>
      <c r="D340" s="2">
        <v>0</v>
      </c>
      <c r="E340" s="2">
        <v>2</v>
      </c>
      <c r="F340" s="2">
        <v>12</v>
      </c>
      <c r="G340" s="2" t="b">
        <v>0</v>
      </c>
      <c r="H340" s="2">
        <v>6</v>
      </c>
      <c r="I340" s="2">
        <v>1</v>
      </c>
      <c r="J340" s="2">
        <v>0.3</v>
      </c>
      <c r="K340" s="2">
        <v>0.2727</v>
      </c>
      <c r="L340" s="2">
        <v>0.39</v>
      </c>
      <c r="M340" s="2">
        <v>0.4627</v>
      </c>
      <c r="N340" s="2">
        <v>27</v>
      </c>
      <c r="O340" s="2">
        <v>93</v>
      </c>
      <c r="P340" s="2">
        <v>120</v>
      </c>
    </row>
    <row r="341" spans="1:16" x14ac:dyDescent="0.3">
      <c r="A341" s="2">
        <v>959</v>
      </c>
      <c r="B341" s="3">
        <v>40586</v>
      </c>
      <c r="C341" s="2">
        <v>1</v>
      </c>
      <c r="D341" s="2">
        <v>0</v>
      </c>
      <c r="E341" s="2">
        <v>2</v>
      </c>
      <c r="F341" s="2">
        <v>13</v>
      </c>
      <c r="G341" s="2" t="b">
        <v>0</v>
      </c>
      <c r="H341" s="2">
        <v>6</v>
      </c>
      <c r="I341" s="2">
        <v>1</v>
      </c>
      <c r="J341" s="2">
        <v>0.3</v>
      </c>
      <c r="K341" s="2">
        <v>0.2727</v>
      </c>
      <c r="L341" s="2">
        <v>0.39</v>
      </c>
      <c r="M341" s="2">
        <v>0.41789999999999999</v>
      </c>
      <c r="N341" s="2">
        <v>32</v>
      </c>
      <c r="O341" s="2">
        <v>103</v>
      </c>
      <c r="P341" s="2">
        <v>135</v>
      </c>
    </row>
    <row r="342" spans="1:16" x14ac:dyDescent="0.3">
      <c r="A342" s="2">
        <v>960</v>
      </c>
      <c r="B342" s="3">
        <v>40586</v>
      </c>
      <c r="C342" s="2">
        <v>1</v>
      </c>
      <c r="D342" s="2">
        <v>0</v>
      </c>
      <c r="E342" s="2">
        <v>2</v>
      </c>
      <c r="F342" s="2">
        <v>14</v>
      </c>
      <c r="G342" s="2" t="b">
        <v>0</v>
      </c>
      <c r="H342" s="2">
        <v>6</v>
      </c>
      <c r="I342" s="2">
        <v>1</v>
      </c>
      <c r="J342" s="2">
        <v>0.34</v>
      </c>
      <c r="K342" s="2">
        <v>0.31819999999999998</v>
      </c>
      <c r="L342" s="2">
        <v>0.31</v>
      </c>
      <c r="M342" s="2">
        <v>0.28360000000000002</v>
      </c>
      <c r="N342" s="2">
        <v>30</v>
      </c>
      <c r="O342" s="2">
        <v>90</v>
      </c>
      <c r="P342" s="2">
        <v>120</v>
      </c>
    </row>
    <row r="343" spans="1:16" x14ac:dyDescent="0.3">
      <c r="A343" s="2">
        <v>961</v>
      </c>
      <c r="B343" s="3">
        <v>40586</v>
      </c>
      <c r="C343" s="2">
        <v>1</v>
      </c>
      <c r="D343" s="2">
        <v>0</v>
      </c>
      <c r="E343" s="2">
        <v>2</v>
      </c>
      <c r="F343" s="2">
        <v>15</v>
      </c>
      <c r="G343" s="2" t="b">
        <v>0</v>
      </c>
      <c r="H343" s="2">
        <v>6</v>
      </c>
      <c r="I343" s="2">
        <v>1</v>
      </c>
      <c r="J343" s="2">
        <v>0.34</v>
      </c>
      <c r="K343" s="2">
        <v>0.30299999999999999</v>
      </c>
      <c r="L343" s="2">
        <v>0.28999999999999998</v>
      </c>
      <c r="M343" s="2">
        <v>0.41789999999999999</v>
      </c>
      <c r="N343" s="2">
        <v>47</v>
      </c>
      <c r="O343" s="2">
        <v>127</v>
      </c>
      <c r="P343" s="2">
        <v>174</v>
      </c>
    </row>
    <row r="344" spans="1:16" x14ac:dyDescent="0.3">
      <c r="A344" s="2">
        <v>962</v>
      </c>
      <c r="B344" s="3">
        <v>40586</v>
      </c>
      <c r="C344" s="2">
        <v>1</v>
      </c>
      <c r="D344" s="2">
        <v>0</v>
      </c>
      <c r="E344" s="2">
        <v>2</v>
      </c>
      <c r="F344" s="2">
        <v>16</v>
      </c>
      <c r="G344" s="2" t="b">
        <v>0</v>
      </c>
      <c r="H344" s="2">
        <v>6</v>
      </c>
      <c r="I344" s="2">
        <v>1</v>
      </c>
      <c r="J344" s="2">
        <v>0.34</v>
      </c>
      <c r="K344" s="2">
        <v>0.30299999999999999</v>
      </c>
      <c r="L344" s="2">
        <v>0.28999999999999998</v>
      </c>
      <c r="M344" s="2">
        <v>0.41789999999999999</v>
      </c>
      <c r="N344" s="2">
        <v>42</v>
      </c>
      <c r="O344" s="2">
        <v>103</v>
      </c>
      <c r="P344" s="2">
        <v>145</v>
      </c>
    </row>
    <row r="345" spans="1:16" x14ac:dyDescent="0.3">
      <c r="A345" s="2">
        <v>963</v>
      </c>
      <c r="B345" s="3">
        <v>40586</v>
      </c>
      <c r="C345" s="2">
        <v>1</v>
      </c>
      <c r="D345" s="2">
        <v>0</v>
      </c>
      <c r="E345" s="2">
        <v>2</v>
      </c>
      <c r="F345" s="2">
        <v>17</v>
      </c>
      <c r="G345" s="2" t="b">
        <v>0</v>
      </c>
      <c r="H345" s="2">
        <v>6</v>
      </c>
      <c r="I345" s="2">
        <v>1</v>
      </c>
      <c r="J345" s="2">
        <v>0.32</v>
      </c>
      <c r="K345" s="2">
        <v>0.28789999999999999</v>
      </c>
      <c r="L345" s="2">
        <v>0.31</v>
      </c>
      <c r="M345" s="2">
        <v>0.52239999999999998</v>
      </c>
      <c r="N345" s="2">
        <v>24</v>
      </c>
      <c r="O345" s="2">
        <v>113</v>
      </c>
      <c r="P345" s="2">
        <v>137</v>
      </c>
    </row>
    <row r="346" spans="1:16" x14ac:dyDescent="0.3">
      <c r="A346" s="2">
        <v>964</v>
      </c>
      <c r="B346" s="3">
        <v>40586</v>
      </c>
      <c r="C346" s="2">
        <v>1</v>
      </c>
      <c r="D346" s="2">
        <v>0</v>
      </c>
      <c r="E346" s="2">
        <v>2</v>
      </c>
      <c r="F346" s="2">
        <v>18</v>
      </c>
      <c r="G346" s="2" t="b">
        <v>0</v>
      </c>
      <c r="H346" s="2">
        <v>6</v>
      </c>
      <c r="I346" s="2">
        <v>1</v>
      </c>
      <c r="J346" s="2">
        <v>0.28000000000000003</v>
      </c>
      <c r="K346" s="2">
        <v>0.2576</v>
      </c>
      <c r="L346" s="2">
        <v>0.38</v>
      </c>
      <c r="M346" s="2">
        <v>0.32840000000000003</v>
      </c>
      <c r="N346" s="2">
        <v>4</v>
      </c>
      <c r="O346" s="2">
        <v>60</v>
      </c>
      <c r="P346" s="2">
        <v>64</v>
      </c>
    </row>
    <row r="347" spans="1:16" x14ac:dyDescent="0.3">
      <c r="A347" s="2">
        <v>965</v>
      </c>
      <c r="B347" s="3">
        <v>40586</v>
      </c>
      <c r="C347" s="2">
        <v>1</v>
      </c>
      <c r="D347" s="2">
        <v>0</v>
      </c>
      <c r="E347" s="2">
        <v>2</v>
      </c>
      <c r="F347" s="2">
        <v>19</v>
      </c>
      <c r="G347" s="2" t="b">
        <v>0</v>
      </c>
      <c r="H347" s="2">
        <v>6</v>
      </c>
      <c r="I347" s="2">
        <v>1</v>
      </c>
      <c r="J347" s="2">
        <v>0.28000000000000003</v>
      </c>
      <c r="K347" s="2">
        <v>0.2727</v>
      </c>
      <c r="L347" s="2">
        <v>0.38</v>
      </c>
      <c r="M347" s="2">
        <v>0.16420000000000001</v>
      </c>
      <c r="N347" s="2">
        <v>2</v>
      </c>
      <c r="O347" s="2">
        <v>39</v>
      </c>
      <c r="P347" s="2">
        <v>41</v>
      </c>
    </row>
    <row r="348" spans="1:16" x14ac:dyDescent="0.3">
      <c r="A348" s="2">
        <v>966</v>
      </c>
      <c r="B348" s="3">
        <v>40586</v>
      </c>
      <c r="C348" s="2">
        <v>1</v>
      </c>
      <c r="D348" s="2">
        <v>0</v>
      </c>
      <c r="E348" s="2">
        <v>2</v>
      </c>
      <c r="F348" s="2">
        <v>20</v>
      </c>
      <c r="G348" s="2" t="b">
        <v>0</v>
      </c>
      <c r="H348" s="2">
        <v>6</v>
      </c>
      <c r="I348" s="2">
        <v>1</v>
      </c>
      <c r="J348" s="2">
        <v>0.26</v>
      </c>
      <c r="K348" s="2">
        <v>0.2576</v>
      </c>
      <c r="L348" s="2">
        <v>0.41</v>
      </c>
      <c r="M348" s="2">
        <v>0.22389999999999999</v>
      </c>
      <c r="N348" s="2">
        <v>1</v>
      </c>
      <c r="O348" s="2">
        <v>39</v>
      </c>
      <c r="P348" s="2">
        <v>40</v>
      </c>
    </row>
    <row r="349" spans="1:16" x14ac:dyDescent="0.3">
      <c r="A349" s="2">
        <v>967</v>
      </c>
      <c r="B349" s="3">
        <v>40586</v>
      </c>
      <c r="C349" s="2">
        <v>1</v>
      </c>
      <c r="D349" s="2">
        <v>0</v>
      </c>
      <c r="E349" s="2">
        <v>2</v>
      </c>
      <c r="F349" s="2">
        <v>21</v>
      </c>
      <c r="G349" s="2" t="b">
        <v>0</v>
      </c>
      <c r="H349" s="2">
        <v>6</v>
      </c>
      <c r="I349" s="2">
        <v>1</v>
      </c>
      <c r="J349" s="2">
        <v>0.26</v>
      </c>
      <c r="K349" s="2">
        <v>0.30299999999999999</v>
      </c>
      <c r="L349" s="2">
        <v>0.41</v>
      </c>
      <c r="M349" s="2">
        <v>0</v>
      </c>
      <c r="N349" s="2">
        <v>9</v>
      </c>
      <c r="O349" s="2">
        <v>42</v>
      </c>
      <c r="P349" s="2">
        <v>51</v>
      </c>
    </row>
    <row r="350" spans="1:16" x14ac:dyDescent="0.3">
      <c r="A350" s="2">
        <v>968</v>
      </c>
      <c r="B350" s="3">
        <v>40586</v>
      </c>
      <c r="C350" s="2">
        <v>1</v>
      </c>
      <c r="D350" s="2">
        <v>0</v>
      </c>
      <c r="E350" s="2">
        <v>2</v>
      </c>
      <c r="F350" s="2">
        <v>22</v>
      </c>
      <c r="G350" s="2" t="b">
        <v>0</v>
      </c>
      <c r="H350" s="2">
        <v>6</v>
      </c>
      <c r="I350" s="2">
        <v>1</v>
      </c>
      <c r="J350" s="2">
        <v>0.24</v>
      </c>
      <c r="K350" s="2">
        <v>0.2576</v>
      </c>
      <c r="L350" s="2">
        <v>0.44</v>
      </c>
      <c r="M350" s="2">
        <v>8.9599999999999999E-2</v>
      </c>
      <c r="N350" s="2">
        <v>6</v>
      </c>
      <c r="O350" s="2">
        <v>39</v>
      </c>
      <c r="P350" s="2">
        <v>45</v>
      </c>
    </row>
    <row r="351" spans="1:16" x14ac:dyDescent="0.3">
      <c r="A351" s="2">
        <v>969</v>
      </c>
      <c r="B351" s="3">
        <v>40586</v>
      </c>
      <c r="C351" s="2">
        <v>1</v>
      </c>
      <c r="D351" s="2">
        <v>0</v>
      </c>
      <c r="E351" s="2">
        <v>2</v>
      </c>
      <c r="F351" s="2">
        <v>23</v>
      </c>
      <c r="G351" s="2" t="b">
        <v>0</v>
      </c>
      <c r="H351" s="2">
        <v>6</v>
      </c>
      <c r="I351" s="2">
        <v>1</v>
      </c>
      <c r="J351" s="2">
        <v>0.22</v>
      </c>
      <c r="K351" s="2">
        <v>0.2273</v>
      </c>
      <c r="L351" s="2">
        <v>0.51</v>
      </c>
      <c r="M351" s="2">
        <v>0.1343</v>
      </c>
      <c r="N351" s="2">
        <v>1</v>
      </c>
      <c r="O351" s="2">
        <v>31</v>
      </c>
      <c r="P351" s="2">
        <v>32</v>
      </c>
    </row>
    <row r="352" spans="1:16" x14ac:dyDescent="0.3">
      <c r="A352" s="2">
        <v>970</v>
      </c>
      <c r="B352" s="3">
        <v>40587</v>
      </c>
      <c r="C352" s="2">
        <v>1</v>
      </c>
      <c r="D352" s="2">
        <v>0</v>
      </c>
      <c r="E352" s="2">
        <v>2</v>
      </c>
      <c r="F352" s="2">
        <v>0</v>
      </c>
      <c r="G352" s="2" t="b">
        <v>0</v>
      </c>
      <c r="H352" s="2">
        <v>0</v>
      </c>
      <c r="I352" s="2">
        <v>1</v>
      </c>
      <c r="J352" s="2">
        <v>0.2</v>
      </c>
      <c r="K352" s="2">
        <v>0.2273</v>
      </c>
      <c r="L352" s="2">
        <v>0.64</v>
      </c>
      <c r="M352" s="2">
        <v>0.1045</v>
      </c>
      <c r="N352" s="2">
        <v>5</v>
      </c>
      <c r="O352" s="2">
        <v>34</v>
      </c>
      <c r="P352" s="2">
        <v>39</v>
      </c>
    </row>
    <row r="353" spans="1:16" x14ac:dyDescent="0.3">
      <c r="A353" s="2">
        <v>971</v>
      </c>
      <c r="B353" s="3">
        <v>40587</v>
      </c>
      <c r="C353" s="2">
        <v>1</v>
      </c>
      <c r="D353" s="2">
        <v>0</v>
      </c>
      <c r="E353" s="2">
        <v>2</v>
      </c>
      <c r="F353" s="2">
        <v>1</v>
      </c>
      <c r="G353" s="2" t="b">
        <v>0</v>
      </c>
      <c r="H353" s="2">
        <v>0</v>
      </c>
      <c r="I353" s="2">
        <v>1</v>
      </c>
      <c r="J353" s="2">
        <v>0.2</v>
      </c>
      <c r="K353" s="2">
        <v>0.2273</v>
      </c>
      <c r="L353" s="2">
        <v>0.59</v>
      </c>
      <c r="M353" s="2">
        <v>8.9599999999999999E-2</v>
      </c>
      <c r="N353" s="2">
        <v>1</v>
      </c>
      <c r="O353" s="2">
        <v>23</v>
      </c>
      <c r="P353" s="2">
        <v>24</v>
      </c>
    </row>
    <row r="354" spans="1:16" x14ac:dyDescent="0.3">
      <c r="A354" s="2">
        <v>972</v>
      </c>
      <c r="B354" s="3">
        <v>40587</v>
      </c>
      <c r="C354" s="2">
        <v>1</v>
      </c>
      <c r="D354" s="2">
        <v>0</v>
      </c>
      <c r="E354" s="2">
        <v>2</v>
      </c>
      <c r="F354" s="2">
        <v>2</v>
      </c>
      <c r="G354" s="2" t="b">
        <v>0</v>
      </c>
      <c r="H354" s="2">
        <v>0</v>
      </c>
      <c r="I354" s="2">
        <v>2</v>
      </c>
      <c r="J354" s="2">
        <v>0.2</v>
      </c>
      <c r="K354" s="2">
        <v>0.2273</v>
      </c>
      <c r="L354" s="2">
        <v>0.75</v>
      </c>
      <c r="M354" s="2">
        <v>8.9599999999999999E-2</v>
      </c>
      <c r="N354" s="2">
        <v>1</v>
      </c>
      <c r="O354" s="2">
        <v>19</v>
      </c>
      <c r="P354" s="2">
        <v>20</v>
      </c>
    </row>
    <row r="355" spans="1:16" x14ac:dyDescent="0.3">
      <c r="A355" s="2">
        <v>973</v>
      </c>
      <c r="B355" s="3">
        <v>40587</v>
      </c>
      <c r="C355" s="2">
        <v>1</v>
      </c>
      <c r="D355" s="2">
        <v>0</v>
      </c>
      <c r="E355" s="2">
        <v>2</v>
      </c>
      <c r="F355" s="2">
        <v>3</v>
      </c>
      <c r="G355" s="2" t="b">
        <v>0</v>
      </c>
      <c r="H355" s="2">
        <v>0</v>
      </c>
      <c r="I355" s="2">
        <v>2</v>
      </c>
      <c r="J355" s="2">
        <v>0.2</v>
      </c>
      <c r="K355" s="2">
        <v>0.2273</v>
      </c>
      <c r="L355" s="2">
        <v>0.69</v>
      </c>
      <c r="M355" s="2">
        <v>0.1045</v>
      </c>
      <c r="N355" s="2">
        <v>4</v>
      </c>
      <c r="O355" s="2">
        <v>8</v>
      </c>
      <c r="P355" s="2">
        <v>12</v>
      </c>
    </row>
    <row r="356" spans="1:16" x14ac:dyDescent="0.3">
      <c r="A356" s="2">
        <v>974</v>
      </c>
      <c r="B356" s="3">
        <v>40587</v>
      </c>
      <c r="C356" s="2">
        <v>1</v>
      </c>
      <c r="D356" s="2">
        <v>0</v>
      </c>
      <c r="E356" s="2">
        <v>2</v>
      </c>
      <c r="F356" s="2">
        <v>4</v>
      </c>
      <c r="G356" s="2" t="b">
        <v>0</v>
      </c>
      <c r="H356" s="2">
        <v>0</v>
      </c>
      <c r="I356" s="2">
        <v>2</v>
      </c>
      <c r="J356" s="2">
        <v>0.2</v>
      </c>
      <c r="K356" s="2">
        <v>0.21210000000000001</v>
      </c>
      <c r="L356" s="2">
        <v>0.69</v>
      </c>
      <c r="M356" s="2">
        <v>0.16420000000000001</v>
      </c>
      <c r="N356" s="2">
        <v>0</v>
      </c>
      <c r="O356" s="2">
        <v>2</v>
      </c>
      <c r="P356" s="2">
        <v>2</v>
      </c>
    </row>
    <row r="357" spans="1:16" x14ac:dyDescent="0.3">
      <c r="A357" s="2">
        <v>975</v>
      </c>
      <c r="B357" s="3">
        <v>40587</v>
      </c>
      <c r="C357" s="2">
        <v>1</v>
      </c>
      <c r="D357" s="2">
        <v>0</v>
      </c>
      <c r="E357" s="2">
        <v>2</v>
      </c>
      <c r="F357" s="2">
        <v>6</v>
      </c>
      <c r="G357" s="2" t="b">
        <v>0</v>
      </c>
      <c r="H357" s="2">
        <v>0</v>
      </c>
      <c r="I357" s="2">
        <v>2</v>
      </c>
      <c r="J357" s="2">
        <v>0.2</v>
      </c>
      <c r="K357" s="2">
        <v>0.21210000000000001</v>
      </c>
      <c r="L357" s="2">
        <v>0.69</v>
      </c>
      <c r="M357" s="2">
        <v>0.1343</v>
      </c>
      <c r="N357" s="2">
        <v>2</v>
      </c>
      <c r="O357" s="2">
        <v>3</v>
      </c>
      <c r="P357" s="2">
        <v>5</v>
      </c>
    </row>
    <row r="358" spans="1:16" x14ac:dyDescent="0.3">
      <c r="A358" s="2">
        <v>976</v>
      </c>
      <c r="B358" s="3">
        <v>40587</v>
      </c>
      <c r="C358" s="2">
        <v>1</v>
      </c>
      <c r="D358" s="2">
        <v>0</v>
      </c>
      <c r="E358" s="2">
        <v>2</v>
      </c>
      <c r="F358" s="2">
        <v>7</v>
      </c>
      <c r="G358" s="2" t="b">
        <v>0</v>
      </c>
      <c r="H358" s="2">
        <v>0</v>
      </c>
      <c r="I358" s="2">
        <v>2</v>
      </c>
      <c r="J358" s="2">
        <v>0.22</v>
      </c>
      <c r="K358" s="2">
        <v>0.2727</v>
      </c>
      <c r="L358" s="2">
        <v>0.55000000000000004</v>
      </c>
      <c r="M358" s="2">
        <v>0</v>
      </c>
      <c r="N358" s="2">
        <v>0</v>
      </c>
      <c r="O358" s="2">
        <v>3</v>
      </c>
      <c r="P358" s="2">
        <v>3</v>
      </c>
    </row>
    <row r="359" spans="1:16" x14ac:dyDescent="0.3">
      <c r="A359" s="2">
        <v>977</v>
      </c>
      <c r="B359" s="3">
        <v>40587</v>
      </c>
      <c r="C359" s="2">
        <v>1</v>
      </c>
      <c r="D359" s="2">
        <v>0</v>
      </c>
      <c r="E359" s="2">
        <v>2</v>
      </c>
      <c r="F359" s="2">
        <v>8</v>
      </c>
      <c r="G359" s="2" t="b">
        <v>0</v>
      </c>
      <c r="H359" s="2">
        <v>0</v>
      </c>
      <c r="I359" s="2">
        <v>2</v>
      </c>
      <c r="J359" s="2">
        <v>0.22</v>
      </c>
      <c r="K359" s="2">
        <v>0.2273</v>
      </c>
      <c r="L359" s="2">
        <v>0.64</v>
      </c>
      <c r="M359" s="2">
        <v>0.19400000000000001</v>
      </c>
      <c r="N359" s="2">
        <v>1</v>
      </c>
      <c r="O359" s="2">
        <v>11</v>
      </c>
      <c r="P359" s="2">
        <v>12</v>
      </c>
    </row>
    <row r="360" spans="1:16" x14ac:dyDescent="0.3">
      <c r="A360" s="2">
        <v>978</v>
      </c>
      <c r="B360" s="3">
        <v>40587</v>
      </c>
      <c r="C360" s="2">
        <v>1</v>
      </c>
      <c r="D360" s="2">
        <v>0</v>
      </c>
      <c r="E360" s="2">
        <v>2</v>
      </c>
      <c r="F360" s="2">
        <v>9</v>
      </c>
      <c r="G360" s="2" t="b">
        <v>0</v>
      </c>
      <c r="H360" s="2">
        <v>0</v>
      </c>
      <c r="I360" s="2">
        <v>2</v>
      </c>
      <c r="J360" s="2">
        <v>0.24</v>
      </c>
      <c r="K360" s="2">
        <v>0.2273</v>
      </c>
      <c r="L360" s="2">
        <v>0.6</v>
      </c>
      <c r="M360" s="2">
        <v>0.22389999999999999</v>
      </c>
      <c r="N360" s="2">
        <v>12</v>
      </c>
      <c r="O360" s="2">
        <v>35</v>
      </c>
      <c r="P360" s="2">
        <v>47</v>
      </c>
    </row>
    <row r="361" spans="1:16" x14ac:dyDescent="0.3">
      <c r="A361" s="2">
        <v>979</v>
      </c>
      <c r="B361" s="3">
        <v>40587</v>
      </c>
      <c r="C361" s="2">
        <v>1</v>
      </c>
      <c r="D361" s="2">
        <v>0</v>
      </c>
      <c r="E361" s="2">
        <v>2</v>
      </c>
      <c r="F361" s="2">
        <v>10</v>
      </c>
      <c r="G361" s="2" t="b">
        <v>0</v>
      </c>
      <c r="H361" s="2">
        <v>0</v>
      </c>
      <c r="I361" s="2">
        <v>1</v>
      </c>
      <c r="J361" s="2">
        <v>0.3</v>
      </c>
      <c r="K361" s="2">
        <v>0.2727</v>
      </c>
      <c r="L361" s="2">
        <v>0.45</v>
      </c>
      <c r="M361" s="2">
        <v>0.32840000000000003</v>
      </c>
      <c r="N361" s="2">
        <v>19</v>
      </c>
      <c r="O361" s="2">
        <v>86</v>
      </c>
      <c r="P361" s="2">
        <v>105</v>
      </c>
    </row>
    <row r="362" spans="1:16" x14ac:dyDescent="0.3">
      <c r="A362" s="2">
        <v>980</v>
      </c>
      <c r="B362" s="3">
        <v>40587</v>
      </c>
      <c r="C362" s="2">
        <v>1</v>
      </c>
      <c r="D362" s="2">
        <v>0</v>
      </c>
      <c r="E362" s="2">
        <v>2</v>
      </c>
      <c r="F362" s="2">
        <v>11</v>
      </c>
      <c r="G362" s="2" t="b">
        <v>0</v>
      </c>
      <c r="H362" s="2">
        <v>0</v>
      </c>
      <c r="I362" s="2">
        <v>1</v>
      </c>
      <c r="J362" s="2">
        <v>0.32</v>
      </c>
      <c r="K362" s="2">
        <v>0.28789999999999999</v>
      </c>
      <c r="L362" s="2">
        <v>0.39</v>
      </c>
      <c r="M362" s="2">
        <v>0.44779999999999998</v>
      </c>
      <c r="N362" s="2">
        <v>26</v>
      </c>
      <c r="O362" s="2">
        <v>86</v>
      </c>
      <c r="P362" s="2">
        <v>112</v>
      </c>
    </row>
    <row r="363" spans="1:16" x14ac:dyDescent="0.3">
      <c r="A363" s="2">
        <v>981</v>
      </c>
      <c r="B363" s="3">
        <v>40587</v>
      </c>
      <c r="C363" s="2">
        <v>1</v>
      </c>
      <c r="D363" s="2">
        <v>0</v>
      </c>
      <c r="E363" s="2">
        <v>2</v>
      </c>
      <c r="F363" s="2">
        <v>12</v>
      </c>
      <c r="G363" s="2" t="b">
        <v>0</v>
      </c>
      <c r="H363" s="2">
        <v>0</v>
      </c>
      <c r="I363" s="2">
        <v>1</v>
      </c>
      <c r="J363" s="2">
        <v>0.36</v>
      </c>
      <c r="K363" s="2">
        <v>0.31819999999999998</v>
      </c>
      <c r="L363" s="2">
        <v>0.32</v>
      </c>
      <c r="M363" s="2">
        <v>0.4627</v>
      </c>
      <c r="N363" s="2">
        <v>58</v>
      </c>
      <c r="O363" s="2">
        <v>94</v>
      </c>
      <c r="P363" s="2">
        <v>152</v>
      </c>
    </row>
    <row r="364" spans="1:16" x14ac:dyDescent="0.3">
      <c r="A364" s="2">
        <v>982</v>
      </c>
      <c r="B364" s="3">
        <v>40587</v>
      </c>
      <c r="C364" s="2">
        <v>1</v>
      </c>
      <c r="D364" s="2">
        <v>0</v>
      </c>
      <c r="E364" s="2">
        <v>2</v>
      </c>
      <c r="F364" s="2">
        <v>13</v>
      </c>
      <c r="G364" s="2" t="b">
        <v>0</v>
      </c>
      <c r="H364" s="2">
        <v>0</v>
      </c>
      <c r="I364" s="2">
        <v>1</v>
      </c>
      <c r="J364" s="2">
        <v>0.38</v>
      </c>
      <c r="K364" s="2">
        <v>0.39389999999999997</v>
      </c>
      <c r="L364" s="2">
        <v>0.28999999999999998</v>
      </c>
      <c r="M364" s="2">
        <v>0.35820000000000002</v>
      </c>
      <c r="N364" s="2">
        <v>62</v>
      </c>
      <c r="O364" s="2">
        <v>92</v>
      </c>
      <c r="P364" s="2">
        <v>154</v>
      </c>
    </row>
    <row r="365" spans="1:16" x14ac:dyDescent="0.3">
      <c r="A365" s="2">
        <v>983</v>
      </c>
      <c r="B365" s="3">
        <v>40587</v>
      </c>
      <c r="C365" s="2">
        <v>1</v>
      </c>
      <c r="D365" s="2">
        <v>0</v>
      </c>
      <c r="E365" s="2">
        <v>2</v>
      </c>
      <c r="F365" s="2">
        <v>14</v>
      </c>
      <c r="G365" s="2" t="b">
        <v>0</v>
      </c>
      <c r="H365" s="2">
        <v>0</v>
      </c>
      <c r="I365" s="2">
        <v>2</v>
      </c>
      <c r="J365" s="2">
        <v>0.4</v>
      </c>
      <c r="K365" s="2">
        <v>0.40910000000000002</v>
      </c>
      <c r="L365" s="2">
        <v>0.3</v>
      </c>
      <c r="M365" s="2">
        <v>0.41789999999999999</v>
      </c>
      <c r="N365" s="2">
        <v>51</v>
      </c>
      <c r="O365" s="2">
        <v>110</v>
      </c>
      <c r="P365" s="2">
        <v>161</v>
      </c>
    </row>
    <row r="366" spans="1:16" x14ac:dyDescent="0.3">
      <c r="A366" s="2">
        <v>984</v>
      </c>
      <c r="B366" s="3">
        <v>40587</v>
      </c>
      <c r="C366" s="2">
        <v>1</v>
      </c>
      <c r="D366" s="2">
        <v>0</v>
      </c>
      <c r="E366" s="2">
        <v>2</v>
      </c>
      <c r="F366" s="2">
        <v>15</v>
      </c>
      <c r="G366" s="2" t="b">
        <v>0</v>
      </c>
      <c r="H366" s="2">
        <v>0</v>
      </c>
      <c r="I366" s="2">
        <v>2</v>
      </c>
      <c r="J366" s="2">
        <v>0.4</v>
      </c>
      <c r="K366" s="2">
        <v>0.40910000000000002</v>
      </c>
      <c r="L366" s="2">
        <v>0.3</v>
      </c>
      <c r="M366" s="2">
        <v>0.29849999999999999</v>
      </c>
      <c r="N366" s="2">
        <v>40</v>
      </c>
      <c r="O366" s="2">
        <v>122</v>
      </c>
      <c r="P366" s="2">
        <v>162</v>
      </c>
    </row>
    <row r="367" spans="1:16" x14ac:dyDescent="0.3">
      <c r="A367" s="2">
        <v>985</v>
      </c>
      <c r="B367" s="3">
        <v>40587</v>
      </c>
      <c r="C367" s="2">
        <v>1</v>
      </c>
      <c r="D367" s="2">
        <v>0</v>
      </c>
      <c r="E367" s="2">
        <v>2</v>
      </c>
      <c r="F367" s="2">
        <v>16</v>
      </c>
      <c r="G367" s="2" t="b">
        <v>0</v>
      </c>
      <c r="H367" s="2">
        <v>0</v>
      </c>
      <c r="I367" s="2">
        <v>2</v>
      </c>
      <c r="J367" s="2">
        <v>0.42</v>
      </c>
      <c r="K367" s="2">
        <v>0.42420000000000002</v>
      </c>
      <c r="L367" s="2">
        <v>0.28000000000000003</v>
      </c>
      <c r="M367" s="2">
        <v>0.32840000000000003</v>
      </c>
      <c r="N367" s="2">
        <v>28</v>
      </c>
      <c r="O367" s="2">
        <v>106</v>
      </c>
      <c r="P367" s="2">
        <v>134</v>
      </c>
    </row>
    <row r="368" spans="1:16" x14ac:dyDescent="0.3">
      <c r="A368" s="2">
        <v>986</v>
      </c>
      <c r="B368" s="3">
        <v>40587</v>
      </c>
      <c r="C368" s="2">
        <v>1</v>
      </c>
      <c r="D368" s="2">
        <v>0</v>
      </c>
      <c r="E368" s="2">
        <v>2</v>
      </c>
      <c r="F368" s="2">
        <v>17</v>
      </c>
      <c r="G368" s="2" t="b">
        <v>0</v>
      </c>
      <c r="H368" s="2">
        <v>0</v>
      </c>
      <c r="I368" s="2">
        <v>1</v>
      </c>
      <c r="J368" s="2">
        <v>0.42</v>
      </c>
      <c r="K368" s="2">
        <v>0.42420000000000002</v>
      </c>
      <c r="L368" s="2">
        <v>0.28000000000000003</v>
      </c>
      <c r="M368" s="2">
        <v>0.32840000000000003</v>
      </c>
      <c r="N368" s="2">
        <v>30</v>
      </c>
      <c r="O368" s="2">
        <v>95</v>
      </c>
      <c r="P368" s="2">
        <v>125</v>
      </c>
    </row>
    <row r="369" spans="1:16" x14ac:dyDescent="0.3">
      <c r="A369" s="2">
        <v>987</v>
      </c>
      <c r="B369" s="3">
        <v>40587</v>
      </c>
      <c r="C369" s="2">
        <v>1</v>
      </c>
      <c r="D369" s="2">
        <v>0</v>
      </c>
      <c r="E369" s="2">
        <v>2</v>
      </c>
      <c r="F369" s="2">
        <v>18</v>
      </c>
      <c r="G369" s="2" t="b">
        <v>0</v>
      </c>
      <c r="H369" s="2">
        <v>0</v>
      </c>
      <c r="I369" s="2">
        <v>1</v>
      </c>
      <c r="J369" s="2">
        <v>0.4</v>
      </c>
      <c r="K369" s="2">
        <v>0.40910000000000002</v>
      </c>
      <c r="L369" s="2">
        <v>0.32</v>
      </c>
      <c r="M369" s="2">
        <v>0.29849999999999999</v>
      </c>
      <c r="N369" s="2">
        <v>17</v>
      </c>
      <c r="O369" s="2">
        <v>78</v>
      </c>
      <c r="P369" s="2">
        <v>95</v>
      </c>
    </row>
    <row r="370" spans="1:16" x14ac:dyDescent="0.3">
      <c r="A370" s="2">
        <v>988</v>
      </c>
      <c r="B370" s="3">
        <v>40587</v>
      </c>
      <c r="C370" s="2">
        <v>1</v>
      </c>
      <c r="D370" s="2">
        <v>0</v>
      </c>
      <c r="E370" s="2">
        <v>2</v>
      </c>
      <c r="F370" s="2">
        <v>19</v>
      </c>
      <c r="G370" s="2" t="b">
        <v>0</v>
      </c>
      <c r="H370" s="2">
        <v>0</v>
      </c>
      <c r="I370" s="2">
        <v>1</v>
      </c>
      <c r="J370" s="2">
        <v>0.4</v>
      </c>
      <c r="K370" s="2">
        <v>0.40910000000000002</v>
      </c>
      <c r="L370" s="2">
        <v>0.35</v>
      </c>
      <c r="M370" s="2">
        <v>0.28360000000000002</v>
      </c>
      <c r="N370" s="2">
        <v>11</v>
      </c>
      <c r="O370" s="2">
        <v>50</v>
      </c>
      <c r="P370" s="2">
        <v>61</v>
      </c>
    </row>
    <row r="371" spans="1:16" x14ac:dyDescent="0.3">
      <c r="A371" s="2">
        <v>989</v>
      </c>
      <c r="B371" s="3">
        <v>40587</v>
      </c>
      <c r="C371" s="2">
        <v>1</v>
      </c>
      <c r="D371" s="2">
        <v>0</v>
      </c>
      <c r="E371" s="2">
        <v>2</v>
      </c>
      <c r="F371" s="2">
        <v>20</v>
      </c>
      <c r="G371" s="2" t="b">
        <v>0</v>
      </c>
      <c r="H371" s="2">
        <v>0</v>
      </c>
      <c r="I371" s="2">
        <v>1</v>
      </c>
      <c r="J371" s="2">
        <v>0.4</v>
      </c>
      <c r="K371" s="2">
        <v>0.40910000000000002</v>
      </c>
      <c r="L371" s="2">
        <v>0.35</v>
      </c>
      <c r="M371" s="2">
        <v>0.32840000000000003</v>
      </c>
      <c r="N371" s="2">
        <v>15</v>
      </c>
      <c r="O371" s="2">
        <v>32</v>
      </c>
      <c r="P371" s="2">
        <v>47</v>
      </c>
    </row>
    <row r="372" spans="1:16" x14ac:dyDescent="0.3">
      <c r="A372" s="2">
        <v>990</v>
      </c>
      <c r="B372" s="3">
        <v>40587</v>
      </c>
      <c r="C372" s="2">
        <v>1</v>
      </c>
      <c r="D372" s="2">
        <v>0</v>
      </c>
      <c r="E372" s="2">
        <v>2</v>
      </c>
      <c r="F372" s="2">
        <v>21</v>
      </c>
      <c r="G372" s="2" t="b">
        <v>0</v>
      </c>
      <c r="H372" s="2">
        <v>0</v>
      </c>
      <c r="I372" s="2">
        <v>1</v>
      </c>
      <c r="J372" s="2">
        <v>0.4</v>
      </c>
      <c r="K372" s="2">
        <v>0.40910000000000002</v>
      </c>
      <c r="L372" s="2">
        <v>0.35</v>
      </c>
      <c r="M372" s="2">
        <v>0.35820000000000002</v>
      </c>
      <c r="N372" s="2">
        <v>6</v>
      </c>
      <c r="O372" s="2">
        <v>45</v>
      </c>
      <c r="P372" s="2">
        <v>51</v>
      </c>
    </row>
    <row r="373" spans="1:16" x14ac:dyDescent="0.3">
      <c r="A373" s="2">
        <v>991</v>
      </c>
      <c r="B373" s="3">
        <v>40587</v>
      </c>
      <c r="C373" s="2">
        <v>1</v>
      </c>
      <c r="D373" s="2">
        <v>0</v>
      </c>
      <c r="E373" s="2">
        <v>2</v>
      </c>
      <c r="F373" s="2">
        <v>22</v>
      </c>
      <c r="G373" s="2" t="b">
        <v>0</v>
      </c>
      <c r="H373" s="2">
        <v>0</v>
      </c>
      <c r="I373" s="2">
        <v>1</v>
      </c>
      <c r="J373" s="2">
        <v>0.4</v>
      </c>
      <c r="K373" s="2">
        <v>0.40910000000000002</v>
      </c>
      <c r="L373" s="2">
        <v>0.35</v>
      </c>
      <c r="M373" s="2">
        <v>0.29849999999999999</v>
      </c>
      <c r="N373" s="2">
        <v>5</v>
      </c>
      <c r="O373" s="2">
        <v>31</v>
      </c>
      <c r="P373" s="2">
        <v>36</v>
      </c>
    </row>
    <row r="374" spans="1:16" x14ac:dyDescent="0.3">
      <c r="A374" s="2">
        <v>992</v>
      </c>
      <c r="B374" s="3">
        <v>40587</v>
      </c>
      <c r="C374" s="2">
        <v>1</v>
      </c>
      <c r="D374" s="2">
        <v>0</v>
      </c>
      <c r="E374" s="2">
        <v>2</v>
      </c>
      <c r="F374" s="2">
        <v>23</v>
      </c>
      <c r="G374" s="2" t="b">
        <v>0</v>
      </c>
      <c r="H374" s="2">
        <v>0</v>
      </c>
      <c r="I374" s="2">
        <v>1</v>
      </c>
      <c r="J374" s="2">
        <v>0.4</v>
      </c>
      <c r="K374" s="2">
        <v>0.40910000000000002</v>
      </c>
      <c r="L374" s="2">
        <v>0.35</v>
      </c>
      <c r="M374" s="2">
        <v>0.35820000000000002</v>
      </c>
      <c r="N374" s="2">
        <v>3</v>
      </c>
      <c r="O374" s="2">
        <v>27</v>
      </c>
      <c r="P374" s="2">
        <v>30</v>
      </c>
    </row>
    <row r="375" spans="1:16" x14ac:dyDescent="0.3">
      <c r="A375" s="2">
        <v>993</v>
      </c>
      <c r="B375" s="3">
        <v>40588</v>
      </c>
      <c r="C375" s="2">
        <v>1</v>
      </c>
      <c r="D375" s="2">
        <v>0</v>
      </c>
      <c r="E375" s="2">
        <v>2</v>
      </c>
      <c r="F375" s="2">
        <v>0</v>
      </c>
      <c r="G375" s="2" t="b">
        <v>0</v>
      </c>
      <c r="H375" s="2">
        <v>1</v>
      </c>
      <c r="I375" s="2">
        <v>1</v>
      </c>
      <c r="J375" s="2">
        <v>0.38</v>
      </c>
      <c r="K375" s="2">
        <v>0.39389999999999997</v>
      </c>
      <c r="L375" s="2">
        <v>0.37</v>
      </c>
      <c r="M375" s="2">
        <v>0.35820000000000002</v>
      </c>
      <c r="N375" s="2">
        <v>3</v>
      </c>
      <c r="O375" s="2">
        <v>8</v>
      </c>
      <c r="P375" s="2">
        <v>11</v>
      </c>
    </row>
    <row r="376" spans="1:16" x14ac:dyDescent="0.3">
      <c r="A376" s="2">
        <v>994</v>
      </c>
      <c r="B376" s="3">
        <v>40588</v>
      </c>
      <c r="C376" s="2">
        <v>1</v>
      </c>
      <c r="D376" s="2">
        <v>0</v>
      </c>
      <c r="E376" s="2">
        <v>2</v>
      </c>
      <c r="F376" s="2">
        <v>1</v>
      </c>
      <c r="G376" s="2" t="b">
        <v>0</v>
      </c>
      <c r="H376" s="2">
        <v>1</v>
      </c>
      <c r="I376" s="2">
        <v>1</v>
      </c>
      <c r="J376" s="2">
        <v>0.38</v>
      </c>
      <c r="K376" s="2">
        <v>0.39389999999999997</v>
      </c>
      <c r="L376" s="2">
        <v>0.37</v>
      </c>
      <c r="M376" s="2">
        <v>0.35820000000000002</v>
      </c>
      <c r="N376" s="2">
        <v>1</v>
      </c>
      <c r="O376" s="2">
        <v>6</v>
      </c>
      <c r="P376" s="2">
        <v>7</v>
      </c>
    </row>
    <row r="377" spans="1:16" x14ac:dyDescent="0.3">
      <c r="A377" s="2">
        <v>995</v>
      </c>
      <c r="B377" s="3">
        <v>40588</v>
      </c>
      <c r="C377" s="2">
        <v>1</v>
      </c>
      <c r="D377" s="2">
        <v>0</v>
      </c>
      <c r="E377" s="2">
        <v>2</v>
      </c>
      <c r="F377" s="2">
        <v>2</v>
      </c>
      <c r="G377" s="2" t="b">
        <v>0</v>
      </c>
      <c r="H377" s="2">
        <v>1</v>
      </c>
      <c r="I377" s="2">
        <v>1</v>
      </c>
      <c r="J377" s="2">
        <v>0.36</v>
      </c>
      <c r="K377" s="2">
        <v>0.33329999999999999</v>
      </c>
      <c r="L377" s="2">
        <v>0.4</v>
      </c>
      <c r="M377" s="2">
        <v>0.29849999999999999</v>
      </c>
      <c r="N377" s="2">
        <v>0</v>
      </c>
      <c r="O377" s="2">
        <v>2</v>
      </c>
      <c r="P377" s="2">
        <v>2</v>
      </c>
    </row>
    <row r="378" spans="1:16" x14ac:dyDescent="0.3">
      <c r="A378" s="2">
        <v>996</v>
      </c>
      <c r="B378" s="3">
        <v>40588</v>
      </c>
      <c r="C378" s="2">
        <v>1</v>
      </c>
      <c r="D378" s="2">
        <v>0</v>
      </c>
      <c r="E378" s="2">
        <v>2</v>
      </c>
      <c r="F378" s="2">
        <v>3</v>
      </c>
      <c r="G378" s="2" t="b">
        <v>0</v>
      </c>
      <c r="H378" s="2">
        <v>1</v>
      </c>
      <c r="I378" s="2">
        <v>1</v>
      </c>
      <c r="J378" s="2">
        <v>0.34</v>
      </c>
      <c r="K378" s="2">
        <v>0.31819999999999998</v>
      </c>
      <c r="L378" s="2">
        <v>0.46</v>
      </c>
      <c r="M378" s="2">
        <v>0.22389999999999999</v>
      </c>
      <c r="N378" s="2">
        <v>1</v>
      </c>
      <c r="O378" s="2">
        <v>1</v>
      </c>
      <c r="P378" s="2">
        <v>2</v>
      </c>
    </row>
    <row r="379" spans="1:16" x14ac:dyDescent="0.3">
      <c r="A379" s="2">
        <v>997</v>
      </c>
      <c r="B379" s="3">
        <v>40588</v>
      </c>
      <c r="C379" s="2">
        <v>1</v>
      </c>
      <c r="D379" s="2">
        <v>0</v>
      </c>
      <c r="E379" s="2">
        <v>2</v>
      </c>
      <c r="F379" s="2">
        <v>4</v>
      </c>
      <c r="G379" s="2" t="b">
        <v>0</v>
      </c>
      <c r="H379" s="2">
        <v>1</v>
      </c>
      <c r="I379" s="2">
        <v>1</v>
      </c>
      <c r="J379" s="2">
        <v>0.32</v>
      </c>
      <c r="K379" s="2">
        <v>0.30299999999999999</v>
      </c>
      <c r="L379" s="2">
        <v>0.53</v>
      </c>
      <c r="M379" s="2">
        <v>0.28360000000000002</v>
      </c>
      <c r="N379" s="2">
        <v>0</v>
      </c>
      <c r="O379" s="2">
        <v>2</v>
      </c>
      <c r="P379" s="2">
        <v>2</v>
      </c>
    </row>
    <row r="380" spans="1:16" x14ac:dyDescent="0.3">
      <c r="A380" s="2">
        <v>998</v>
      </c>
      <c r="B380" s="3">
        <v>40588</v>
      </c>
      <c r="C380" s="2">
        <v>1</v>
      </c>
      <c r="D380" s="2">
        <v>0</v>
      </c>
      <c r="E380" s="2">
        <v>2</v>
      </c>
      <c r="F380" s="2">
        <v>5</v>
      </c>
      <c r="G380" s="2" t="b">
        <v>0</v>
      </c>
      <c r="H380" s="2">
        <v>1</v>
      </c>
      <c r="I380" s="2">
        <v>1</v>
      </c>
      <c r="J380" s="2">
        <v>0.32</v>
      </c>
      <c r="K380" s="2">
        <v>0.30299999999999999</v>
      </c>
      <c r="L380" s="2">
        <v>0.53</v>
      </c>
      <c r="M380" s="2">
        <v>0.28360000000000002</v>
      </c>
      <c r="N380" s="2">
        <v>0</v>
      </c>
      <c r="O380" s="2">
        <v>3</v>
      </c>
      <c r="P380" s="2">
        <v>3</v>
      </c>
    </row>
    <row r="381" spans="1:16" x14ac:dyDescent="0.3">
      <c r="A381" s="2">
        <v>999</v>
      </c>
      <c r="B381" s="3">
        <v>40588</v>
      </c>
      <c r="C381" s="2">
        <v>1</v>
      </c>
      <c r="D381" s="2">
        <v>0</v>
      </c>
      <c r="E381" s="2">
        <v>2</v>
      </c>
      <c r="F381" s="2">
        <v>6</v>
      </c>
      <c r="G381" s="2" t="b">
        <v>0</v>
      </c>
      <c r="H381" s="2">
        <v>1</v>
      </c>
      <c r="I381" s="2">
        <v>1</v>
      </c>
      <c r="J381" s="2">
        <v>0.34</v>
      </c>
      <c r="K381" s="2">
        <v>0.30299999999999999</v>
      </c>
      <c r="L381" s="2">
        <v>0.46</v>
      </c>
      <c r="M381" s="2">
        <v>0.29849999999999999</v>
      </c>
      <c r="N381" s="2">
        <v>1</v>
      </c>
      <c r="O381" s="2">
        <v>25</v>
      </c>
      <c r="P381" s="2">
        <v>26</v>
      </c>
    </row>
    <row r="382" spans="1:16" x14ac:dyDescent="0.3">
      <c r="A382" s="2">
        <v>1000</v>
      </c>
      <c r="B382" s="3">
        <v>40588</v>
      </c>
      <c r="C382" s="2">
        <v>1</v>
      </c>
      <c r="D382" s="2">
        <v>0</v>
      </c>
      <c r="E382" s="2">
        <v>2</v>
      </c>
      <c r="F382" s="2">
        <v>7</v>
      </c>
      <c r="G382" s="2" t="b">
        <v>0</v>
      </c>
      <c r="H382" s="2">
        <v>1</v>
      </c>
      <c r="I382" s="2">
        <v>1</v>
      </c>
      <c r="J382" s="2">
        <v>0.34</v>
      </c>
      <c r="K382" s="2">
        <v>0.30299999999999999</v>
      </c>
      <c r="L382" s="2">
        <v>0.46</v>
      </c>
      <c r="M382" s="2">
        <v>0.29849999999999999</v>
      </c>
      <c r="N382" s="2">
        <v>2</v>
      </c>
      <c r="O382" s="2">
        <v>96</v>
      </c>
      <c r="P382" s="2">
        <v>98</v>
      </c>
    </row>
    <row r="383" spans="1:16" x14ac:dyDescent="0.3">
      <c r="A383" s="2">
        <v>611</v>
      </c>
      <c r="B383" s="3">
        <v>40571</v>
      </c>
      <c r="C383" s="2">
        <v>1</v>
      </c>
      <c r="D383" s="2">
        <v>0</v>
      </c>
      <c r="E383" s="2">
        <v>1</v>
      </c>
      <c r="F383" s="2">
        <v>16</v>
      </c>
      <c r="G383" s="2" t="b">
        <v>0</v>
      </c>
      <c r="H383" s="2">
        <v>5</v>
      </c>
      <c r="I383" s="2">
        <v>1</v>
      </c>
      <c r="J383" s="2">
        <v>0.22</v>
      </c>
      <c r="K383" s="2">
        <v>0.2727</v>
      </c>
      <c r="L383" s="2">
        <v>0.8</v>
      </c>
      <c r="M383" s="2">
        <v>0</v>
      </c>
      <c r="N383" s="2">
        <v>10</v>
      </c>
      <c r="O383" s="2">
        <v>70</v>
      </c>
      <c r="P383" s="2">
        <v>80</v>
      </c>
    </row>
    <row r="384" spans="1:16" x14ac:dyDescent="0.3">
      <c r="A384" s="2">
        <v>612</v>
      </c>
      <c r="B384" s="3">
        <v>40571</v>
      </c>
      <c r="C384" s="2">
        <v>1</v>
      </c>
      <c r="D384" s="2">
        <v>0</v>
      </c>
      <c r="E384" s="2">
        <v>1</v>
      </c>
      <c r="F384" s="2">
        <v>17</v>
      </c>
      <c r="G384" s="2" t="b">
        <v>0</v>
      </c>
      <c r="H384" s="2">
        <v>5</v>
      </c>
      <c r="I384" s="2">
        <v>1</v>
      </c>
      <c r="J384" s="2">
        <v>0.24</v>
      </c>
      <c r="K384" s="2">
        <v>0.2424</v>
      </c>
      <c r="L384" s="2">
        <v>0.75</v>
      </c>
      <c r="M384" s="2">
        <v>0.1343</v>
      </c>
      <c r="N384" s="2">
        <v>2</v>
      </c>
      <c r="O384" s="2">
        <v>147</v>
      </c>
      <c r="P384" s="2">
        <v>149</v>
      </c>
    </row>
    <row r="385" spans="1:16" x14ac:dyDescent="0.3">
      <c r="A385" s="2">
        <v>613</v>
      </c>
      <c r="B385" s="3">
        <v>40571</v>
      </c>
      <c r="C385" s="2">
        <v>1</v>
      </c>
      <c r="D385" s="2">
        <v>0</v>
      </c>
      <c r="E385" s="2">
        <v>1</v>
      </c>
      <c r="F385" s="2">
        <v>18</v>
      </c>
      <c r="G385" s="2" t="b">
        <v>0</v>
      </c>
      <c r="H385" s="2">
        <v>5</v>
      </c>
      <c r="I385" s="2">
        <v>1</v>
      </c>
      <c r="J385" s="2">
        <v>0.24</v>
      </c>
      <c r="K385" s="2">
        <v>0.2273</v>
      </c>
      <c r="L385" s="2">
        <v>0.75</v>
      </c>
      <c r="M385" s="2">
        <v>0.19400000000000001</v>
      </c>
      <c r="N385" s="2">
        <v>2</v>
      </c>
      <c r="O385" s="2">
        <v>107</v>
      </c>
      <c r="P385" s="2">
        <v>109</v>
      </c>
    </row>
    <row r="386" spans="1:16" x14ac:dyDescent="0.3">
      <c r="A386" s="2">
        <v>614</v>
      </c>
      <c r="B386" s="3">
        <v>40571</v>
      </c>
      <c r="C386" s="2">
        <v>1</v>
      </c>
      <c r="D386" s="2">
        <v>0</v>
      </c>
      <c r="E386" s="2">
        <v>1</v>
      </c>
      <c r="F386" s="2">
        <v>19</v>
      </c>
      <c r="G386" s="2" t="b">
        <v>0</v>
      </c>
      <c r="H386" s="2">
        <v>5</v>
      </c>
      <c r="I386" s="2">
        <v>2</v>
      </c>
      <c r="J386" s="2">
        <v>0.24</v>
      </c>
      <c r="K386" s="2">
        <v>0.2424</v>
      </c>
      <c r="L386" s="2">
        <v>0.75</v>
      </c>
      <c r="M386" s="2">
        <v>0.1343</v>
      </c>
      <c r="N386" s="2">
        <v>5</v>
      </c>
      <c r="O386" s="2">
        <v>84</v>
      </c>
      <c r="P386" s="2">
        <v>89</v>
      </c>
    </row>
    <row r="387" spans="1:16" x14ac:dyDescent="0.3">
      <c r="A387" s="2">
        <v>615</v>
      </c>
      <c r="B387" s="3">
        <v>40571</v>
      </c>
      <c r="C387" s="2">
        <v>1</v>
      </c>
      <c r="D387" s="2">
        <v>0</v>
      </c>
      <c r="E387" s="2">
        <v>1</v>
      </c>
      <c r="F387" s="2">
        <v>20</v>
      </c>
      <c r="G387" s="2" t="b">
        <v>0</v>
      </c>
      <c r="H387" s="2">
        <v>5</v>
      </c>
      <c r="I387" s="2">
        <v>2</v>
      </c>
      <c r="J387" s="2">
        <v>0.24</v>
      </c>
      <c r="K387" s="2">
        <v>0.2273</v>
      </c>
      <c r="L387" s="2">
        <v>0.7</v>
      </c>
      <c r="M387" s="2">
        <v>0.19400000000000001</v>
      </c>
      <c r="N387" s="2">
        <v>1</v>
      </c>
      <c r="O387" s="2">
        <v>61</v>
      </c>
      <c r="P387" s="2">
        <v>62</v>
      </c>
    </row>
    <row r="388" spans="1:16" x14ac:dyDescent="0.3">
      <c r="A388" s="2">
        <v>616</v>
      </c>
      <c r="B388" s="3">
        <v>40571</v>
      </c>
      <c r="C388" s="2">
        <v>1</v>
      </c>
      <c r="D388" s="2">
        <v>0</v>
      </c>
      <c r="E388" s="2">
        <v>1</v>
      </c>
      <c r="F388" s="2">
        <v>21</v>
      </c>
      <c r="G388" s="2" t="b">
        <v>0</v>
      </c>
      <c r="H388" s="2">
        <v>5</v>
      </c>
      <c r="I388" s="2">
        <v>2</v>
      </c>
      <c r="J388" s="2">
        <v>0.22</v>
      </c>
      <c r="K388" s="2">
        <v>0.2273</v>
      </c>
      <c r="L388" s="2">
        <v>0.75</v>
      </c>
      <c r="M388" s="2">
        <v>0.1343</v>
      </c>
      <c r="N388" s="2">
        <v>1</v>
      </c>
      <c r="O388" s="2">
        <v>57</v>
      </c>
      <c r="P388" s="2">
        <v>58</v>
      </c>
    </row>
    <row r="389" spans="1:16" x14ac:dyDescent="0.3">
      <c r="A389" s="2">
        <v>617</v>
      </c>
      <c r="B389" s="3">
        <v>40571</v>
      </c>
      <c r="C389" s="2">
        <v>1</v>
      </c>
      <c r="D389" s="2">
        <v>0</v>
      </c>
      <c r="E389" s="2">
        <v>1</v>
      </c>
      <c r="F389" s="2">
        <v>22</v>
      </c>
      <c r="G389" s="2" t="b">
        <v>0</v>
      </c>
      <c r="H389" s="2">
        <v>5</v>
      </c>
      <c r="I389" s="2">
        <v>1</v>
      </c>
      <c r="J389" s="2">
        <v>0.24</v>
      </c>
      <c r="K389" s="2">
        <v>0.21210000000000001</v>
      </c>
      <c r="L389" s="2">
        <v>0.65</v>
      </c>
      <c r="M389" s="2">
        <v>0.35820000000000002</v>
      </c>
      <c r="N389" s="2">
        <v>0</v>
      </c>
      <c r="O389" s="2">
        <v>26</v>
      </c>
      <c r="P389" s="2">
        <v>26</v>
      </c>
    </row>
    <row r="390" spans="1:16" x14ac:dyDescent="0.3">
      <c r="A390" s="2">
        <v>618</v>
      </c>
      <c r="B390" s="3">
        <v>40571</v>
      </c>
      <c r="C390" s="2">
        <v>1</v>
      </c>
      <c r="D390" s="2">
        <v>0</v>
      </c>
      <c r="E390" s="2">
        <v>1</v>
      </c>
      <c r="F390" s="2">
        <v>23</v>
      </c>
      <c r="G390" s="2" t="b">
        <v>0</v>
      </c>
      <c r="H390" s="2">
        <v>5</v>
      </c>
      <c r="I390" s="2">
        <v>1</v>
      </c>
      <c r="J390" s="2">
        <v>0.24</v>
      </c>
      <c r="K390" s="2">
        <v>0.2273</v>
      </c>
      <c r="L390" s="2">
        <v>0.6</v>
      </c>
      <c r="M390" s="2">
        <v>0.22389999999999999</v>
      </c>
      <c r="N390" s="2">
        <v>1</v>
      </c>
      <c r="O390" s="2">
        <v>22</v>
      </c>
      <c r="P390" s="2">
        <v>23</v>
      </c>
    </row>
    <row r="391" spans="1:16" x14ac:dyDescent="0.3">
      <c r="A391" s="2">
        <v>619</v>
      </c>
      <c r="B391" s="3">
        <v>40572</v>
      </c>
      <c r="C391" s="2">
        <v>1</v>
      </c>
      <c r="D391" s="2">
        <v>0</v>
      </c>
      <c r="E391" s="2">
        <v>1</v>
      </c>
      <c r="F391" s="2">
        <v>0</v>
      </c>
      <c r="G391" s="2" t="b">
        <v>0</v>
      </c>
      <c r="H391" s="2">
        <v>6</v>
      </c>
      <c r="I391" s="2">
        <v>1</v>
      </c>
      <c r="J391" s="2">
        <v>0.22</v>
      </c>
      <c r="K391" s="2">
        <v>0.19700000000000001</v>
      </c>
      <c r="L391" s="2">
        <v>0.64</v>
      </c>
      <c r="M391" s="2">
        <v>0.35820000000000002</v>
      </c>
      <c r="N391" s="2">
        <v>2</v>
      </c>
      <c r="O391" s="2">
        <v>26</v>
      </c>
      <c r="P391" s="2">
        <v>28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F86D7-675D-422D-8B3D-FD8DEFD2DB1A}">
  <sheetPr codeName="Sheet6"/>
  <dimension ref="A1:M391"/>
  <sheetViews>
    <sheetView workbookViewId="0">
      <selection activeCell="N11" sqref="N11"/>
    </sheetView>
  </sheetViews>
  <sheetFormatPr defaultRowHeight="14.4" x14ac:dyDescent="0.3"/>
  <cols>
    <col min="1" max="1" width="9" bestFit="1" customWidth="1"/>
    <col min="2" max="2" width="10.33203125" bestFit="1" customWidth="1"/>
    <col min="3" max="3" width="7.21875" bestFit="1" customWidth="1"/>
    <col min="4" max="4" width="9.6640625" bestFit="1" customWidth="1"/>
    <col min="5" max="5" width="10.88671875" bestFit="1" customWidth="1"/>
    <col min="6" max="6" width="12.33203125" bestFit="1" customWidth="1"/>
    <col min="7" max="7" width="7.88671875" bestFit="1" customWidth="1"/>
    <col min="8" max="8" width="16.44140625" bestFit="1" customWidth="1"/>
    <col min="9" max="9" width="11" bestFit="1" customWidth="1"/>
    <col min="10" max="10" width="12.6640625" bestFit="1" customWidth="1"/>
    <col min="11" max="11" width="18.77734375" bestFit="1" customWidth="1"/>
    <col min="12" max="12" width="22.109375" bestFit="1" customWidth="1"/>
    <col min="13" max="13" width="13" bestFit="1" customWidth="1"/>
    <col min="14" max="14" width="18.77734375" bestFit="1" customWidth="1"/>
    <col min="15" max="15" width="22.109375" bestFit="1" customWidth="1"/>
    <col min="16" max="16" width="17.21875" bestFit="1" customWidth="1"/>
    <col min="17" max="17" width="4.88671875" bestFit="1" customWidth="1"/>
    <col min="18" max="18" width="9.33203125" bestFit="1" customWidth="1"/>
    <col min="19" max="19" width="10.5546875" bestFit="1" customWidth="1"/>
    <col min="20" max="20" width="12" bestFit="1" customWidth="1"/>
    <col min="21" max="21" width="7.6640625" bestFit="1" customWidth="1"/>
    <col min="22" max="22" width="8.6640625" bestFit="1" customWidth="1"/>
    <col min="23" max="23" width="6.88671875" bestFit="1" customWidth="1"/>
    <col min="24" max="24" width="12.33203125" bestFit="1" customWidth="1"/>
    <col min="25" max="25" width="8.6640625" bestFit="1" customWidth="1"/>
    <col min="26" max="26" width="11.6640625" bestFit="1" customWidth="1"/>
    <col min="27" max="27" width="5.88671875" bestFit="1" customWidth="1"/>
  </cols>
  <sheetData>
    <row r="1" spans="1:13" x14ac:dyDescent="0.3">
      <c r="A1" t="s">
        <v>0</v>
      </c>
      <c r="B1" t="s">
        <v>16</v>
      </c>
      <c r="C1" t="s">
        <v>41</v>
      </c>
      <c r="D1" t="s">
        <v>17</v>
      </c>
      <c r="E1" t="s">
        <v>18</v>
      </c>
      <c r="F1" t="s">
        <v>19</v>
      </c>
      <c r="G1" t="s">
        <v>20</v>
      </c>
      <c r="H1" t="s">
        <v>34</v>
      </c>
      <c r="I1" t="s">
        <v>21</v>
      </c>
      <c r="J1" t="s">
        <v>22</v>
      </c>
      <c r="K1" t="s">
        <v>36</v>
      </c>
      <c r="L1" t="s">
        <v>35</v>
      </c>
      <c r="M1" t="s">
        <v>42</v>
      </c>
    </row>
    <row r="2" spans="1:13" x14ac:dyDescent="0.3">
      <c r="A2">
        <v>611</v>
      </c>
      <c r="B2" s="1">
        <v>40571</v>
      </c>
      <c r="C2">
        <v>16</v>
      </c>
      <c r="D2" t="b">
        <v>0</v>
      </c>
      <c r="E2" t="s">
        <v>28</v>
      </c>
      <c r="F2" t="s">
        <v>30</v>
      </c>
      <c r="G2">
        <v>0.22</v>
      </c>
      <c r="H2">
        <v>0.2727</v>
      </c>
      <c r="I2">
        <v>0.8</v>
      </c>
      <c r="J2">
        <v>0</v>
      </c>
      <c r="K2">
        <v>10</v>
      </c>
      <c r="L2">
        <v>70</v>
      </c>
      <c r="M2">
        <v>80</v>
      </c>
    </row>
    <row r="3" spans="1:13" x14ac:dyDescent="0.3">
      <c r="A3">
        <v>612</v>
      </c>
      <c r="B3" s="1">
        <v>40571</v>
      </c>
      <c r="C3">
        <v>17</v>
      </c>
      <c r="D3" t="b">
        <v>0</v>
      </c>
      <c r="E3" t="s">
        <v>28</v>
      </c>
      <c r="F3" t="s">
        <v>30</v>
      </c>
      <c r="G3">
        <v>0.24</v>
      </c>
      <c r="H3">
        <v>0.2424</v>
      </c>
      <c r="I3">
        <v>0.75</v>
      </c>
      <c r="J3">
        <v>0.1343</v>
      </c>
      <c r="K3">
        <v>2</v>
      </c>
      <c r="L3">
        <v>147</v>
      </c>
      <c r="M3">
        <v>149</v>
      </c>
    </row>
    <row r="4" spans="1:13" x14ac:dyDescent="0.3">
      <c r="A4">
        <v>613</v>
      </c>
      <c r="B4" s="1">
        <v>40571</v>
      </c>
      <c r="C4">
        <v>18</v>
      </c>
      <c r="D4" t="b">
        <v>0</v>
      </c>
      <c r="E4" t="s">
        <v>28</v>
      </c>
      <c r="F4" t="s">
        <v>30</v>
      </c>
      <c r="G4">
        <v>0.24</v>
      </c>
      <c r="H4">
        <v>0.2273</v>
      </c>
      <c r="I4">
        <v>0.75</v>
      </c>
      <c r="J4">
        <v>0.19400000000000001</v>
      </c>
      <c r="K4">
        <v>2</v>
      </c>
      <c r="L4">
        <v>107</v>
      </c>
      <c r="M4">
        <v>109</v>
      </c>
    </row>
    <row r="5" spans="1:13" x14ac:dyDescent="0.3">
      <c r="A5">
        <v>614</v>
      </c>
      <c r="B5" s="1">
        <v>40571</v>
      </c>
      <c r="C5">
        <v>19</v>
      </c>
      <c r="D5" t="b">
        <v>0</v>
      </c>
      <c r="E5" t="s">
        <v>28</v>
      </c>
      <c r="F5" t="s">
        <v>31</v>
      </c>
      <c r="G5">
        <v>0.24</v>
      </c>
      <c r="H5">
        <v>0.2424</v>
      </c>
      <c r="I5">
        <v>0.75</v>
      </c>
      <c r="J5">
        <v>0.1343</v>
      </c>
      <c r="K5">
        <v>5</v>
      </c>
      <c r="L5">
        <v>84</v>
      </c>
      <c r="M5">
        <v>89</v>
      </c>
    </row>
    <row r="6" spans="1:13" x14ac:dyDescent="0.3">
      <c r="A6">
        <v>615</v>
      </c>
      <c r="B6" s="1">
        <v>40571</v>
      </c>
      <c r="C6">
        <v>20</v>
      </c>
      <c r="D6" t="b">
        <v>0</v>
      </c>
      <c r="E6" t="s">
        <v>28</v>
      </c>
      <c r="F6" t="s">
        <v>31</v>
      </c>
      <c r="G6">
        <v>0.24</v>
      </c>
      <c r="H6">
        <v>0.2273</v>
      </c>
      <c r="I6">
        <v>0.7</v>
      </c>
      <c r="J6">
        <v>0.19400000000000001</v>
      </c>
      <c r="K6">
        <v>1</v>
      </c>
      <c r="L6">
        <v>61</v>
      </c>
      <c r="M6">
        <v>62</v>
      </c>
    </row>
    <row r="7" spans="1:13" x14ac:dyDescent="0.3">
      <c r="A7">
        <v>616</v>
      </c>
      <c r="B7" s="1">
        <v>40571</v>
      </c>
      <c r="C7">
        <v>21</v>
      </c>
      <c r="D7" t="b">
        <v>0</v>
      </c>
      <c r="E7" t="s">
        <v>28</v>
      </c>
      <c r="F7" t="s">
        <v>31</v>
      </c>
      <c r="G7">
        <v>0.22</v>
      </c>
      <c r="H7">
        <v>0.2273</v>
      </c>
      <c r="I7">
        <v>0.75</v>
      </c>
      <c r="J7">
        <v>0.1343</v>
      </c>
      <c r="K7">
        <v>1</v>
      </c>
      <c r="L7">
        <v>57</v>
      </c>
      <c r="M7">
        <v>58</v>
      </c>
    </row>
    <row r="8" spans="1:13" x14ac:dyDescent="0.3">
      <c r="A8">
        <v>617</v>
      </c>
      <c r="B8" s="1">
        <v>40571</v>
      </c>
      <c r="C8">
        <v>22</v>
      </c>
      <c r="D8" t="b">
        <v>0</v>
      </c>
      <c r="E8" t="s">
        <v>28</v>
      </c>
      <c r="F8" t="s">
        <v>30</v>
      </c>
      <c r="G8">
        <v>0.24</v>
      </c>
      <c r="H8">
        <v>0.21210000000000001</v>
      </c>
      <c r="I8">
        <v>0.65</v>
      </c>
      <c r="J8">
        <v>0.35820000000000002</v>
      </c>
      <c r="K8">
        <v>0</v>
      </c>
      <c r="L8">
        <v>26</v>
      </c>
      <c r="M8">
        <v>26</v>
      </c>
    </row>
    <row r="9" spans="1:13" x14ac:dyDescent="0.3">
      <c r="A9">
        <v>618</v>
      </c>
      <c r="B9" s="1">
        <v>40571</v>
      </c>
      <c r="C9">
        <v>23</v>
      </c>
      <c r="D9" t="b">
        <v>0</v>
      </c>
      <c r="E9" t="s">
        <v>28</v>
      </c>
      <c r="F9" t="s">
        <v>30</v>
      </c>
      <c r="G9">
        <v>0.24</v>
      </c>
      <c r="H9">
        <v>0.2273</v>
      </c>
      <c r="I9">
        <v>0.6</v>
      </c>
      <c r="J9">
        <v>0.22389999999999999</v>
      </c>
      <c r="K9">
        <v>1</v>
      </c>
      <c r="L9">
        <v>22</v>
      </c>
      <c r="M9">
        <v>23</v>
      </c>
    </row>
    <row r="10" spans="1:13" x14ac:dyDescent="0.3">
      <c r="A10">
        <v>619</v>
      </c>
      <c r="B10" s="1">
        <v>40572</v>
      </c>
      <c r="C10">
        <v>0</v>
      </c>
      <c r="D10" t="b">
        <v>0</v>
      </c>
      <c r="E10" t="s">
        <v>29</v>
      </c>
      <c r="F10" t="s">
        <v>30</v>
      </c>
      <c r="G10">
        <v>0.22</v>
      </c>
      <c r="H10">
        <v>0.19700000000000001</v>
      </c>
      <c r="I10">
        <v>0.64</v>
      </c>
      <c r="J10">
        <v>0.35820000000000002</v>
      </c>
      <c r="K10">
        <v>2</v>
      </c>
      <c r="L10">
        <v>26</v>
      </c>
      <c r="M10">
        <v>28</v>
      </c>
    </row>
    <row r="11" spans="1:13" x14ac:dyDescent="0.3">
      <c r="A11">
        <v>620</v>
      </c>
      <c r="B11" s="1">
        <v>40572</v>
      </c>
      <c r="C11">
        <v>1</v>
      </c>
      <c r="D11" t="b">
        <v>0</v>
      </c>
      <c r="E11" t="s">
        <v>29</v>
      </c>
      <c r="F11" t="s">
        <v>30</v>
      </c>
      <c r="G11">
        <v>0.22</v>
      </c>
      <c r="H11">
        <v>0.2273</v>
      </c>
      <c r="I11">
        <v>0.64</v>
      </c>
      <c r="J11">
        <v>0.19400000000000001</v>
      </c>
      <c r="K11">
        <v>0</v>
      </c>
      <c r="L11">
        <v>20</v>
      </c>
      <c r="M11">
        <v>20</v>
      </c>
    </row>
    <row r="12" spans="1:13" x14ac:dyDescent="0.3">
      <c r="A12">
        <v>621</v>
      </c>
      <c r="B12" s="1">
        <v>40572</v>
      </c>
      <c r="C12">
        <v>2</v>
      </c>
      <c r="D12" t="b">
        <v>0</v>
      </c>
      <c r="E12" t="s">
        <v>29</v>
      </c>
      <c r="F12" t="s">
        <v>30</v>
      </c>
      <c r="G12">
        <v>0.22</v>
      </c>
      <c r="H12">
        <v>0.2273</v>
      </c>
      <c r="I12">
        <v>0.64</v>
      </c>
      <c r="J12">
        <v>0.16420000000000001</v>
      </c>
      <c r="K12">
        <v>0</v>
      </c>
      <c r="L12">
        <v>15</v>
      </c>
      <c r="M12">
        <v>15</v>
      </c>
    </row>
    <row r="13" spans="1:13" x14ac:dyDescent="0.3">
      <c r="A13">
        <v>622</v>
      </c>
      <c r="B13" s="1">
        <v>40572</v>
      </c>
      <c r="C13">
        <v>3</v>
      </c>
      <c r="D13" t="b">
        <v>0</v>
      </c>
      <c r="E13" t="s">
        <v>29</v>
      </c>
      <c r="F13" t="s">
        <v>30</v>
      </c>
      <c r="G13">
        <v>0.2</v>
      </c>
      <c r="H13">
        <v>0.21210000000000001</v>
      </c>
      <c r="I13">
        <v>0.64</v>
      </c>
      <c r="J13">
        <v>0.1343</v>
      </c>
      <c r="K13">
        <v>3</v>
      </c>
      <c r="L13">
        <v>5</v>
      </c>
      <c r="M13">
        <v>8</v>
      </c>
    </row>
    <row r="14" spans="1:13" x14ac:dyDescent="0.3">
      <c r="A14">
        <v>623</v>
      </c>
      <c r="B14" s="1">
        <v>40572</v>
      </c>
      <c r="C14">
        <v>4</v>
      </c>
      <c r="D14" t="b">
        <v>0</v>
      </c>
      <c r="E14" t="s">
        <v>29</v>
      </c>
      <c r="F14" t="s">
        <v>30</v>
      </c>
      <c r="G14">
        <v>0.16</v>
      </c>
      <c r="H14">
        <v>0.18179999999999999</v>
      </c>
      <c r="I14">
        <v>0.69</v>
      </c>
      <c r="J14">
        <v>0.1045</v>
      </c>
      <c r="K14">
        <v>1</v>
      </c>
      <c r="L14">
        <v>2</v>
      </c>
      <c r="M14">
        <v>3</v>
      </c>
    </row>
    <row r="15" spans="1:13" x14ac:dyDescent="0.3">
      <c r="A15">
        <v>624</v>
      </c>
      <c r="B15" s="1">
        <v>40572</v>
      </c>
      <c r="C15">
        <v>6</v>
      </c>
      <c r="D15" t="b">
        <v>0</v>
      </c>
      <c r="E15" t="s">
        <v>29</v>
      </c>
      <c r="F15" t="s">
        <v>30</v>
      </c>
      <c r="G15">
        <v>0.16</v>
      </c>
      <c r="H15">
        <v>0.18179999999999999</v>
      </c>
      <c r="I15">
        <v>0.64</v>
      </c>
      <c r="J15">
        <v>0.1343</v>
      </c>
      <c r="K15">
        <v>0</v>
      </c>
      <c r="L15">
        <v>2</v>
      </c>
      <c r="M15">
        <v>2</v>
      </c>
    </row>
    <row r="16" spans="1:13" x14ac:dyDescent="0.3">
      <c r="A16">
        <v>625</v>
      </c>
      <c r="B16" s="1">
        <v>40572</v>
      </c>
      <c r="C16">
        <v>7</v>
      </c>
      <c r="D16" t="b">
        <v>0</v>
      </c>
      <c r="E16" t="s">
        <v>29</v>
      </c>
      <c r="F16" t="s">
        <v>30</v>
      </c>
      <c r="G16">
        <v>0.16</v>
      </c>
      <c r="H16">
        <v>0.18179999999999999</v>
      </c>
      <c r="I16">
        <v>0.59</v>
      </c>
      <c r="J16">
        <v>0.1045</v>
      </c>
      <c r="K16">
        <v>1</v>
      </c>
      <c r="L16">
        <v>4</v>
      </c>
      <c r="M16">
        <v>5</v>
      </c>
    </row>
    <row r="17" spans="1:13" x14ac:dyDescent="0.3">
      <c r="A17">
        <v>626</v>
      </c>
      <c r="B17" s="1">
        <v>40572</v>
      </c>
      <c r="C17">
        <v>8</v>
      </c>
      <c r="D17" t="b">
        <v>0</v>
      </c>
      <c r="E17" t="s">
        <v>29</v>
      </c>
      <c r="F17" t="s">
        <v>30</v>
      </c>
      <c r="G17">
        <v>0.18</v>
      </c>
      <c r="H17">
        <v>0.19700000000000001</v>
      </c>
      <c r="I17">
        <v>0.55000000000000004</v>
      </c>
      <c r="J17">
        <v>0.16420000000000001</v>
      </c>
      <c r="K17">
        <v>3</v>
      </c>
      <c r="L17">
        <v>31</v>
      </c>
      <c r="M17">
        <v>34</v>
      </c>
    </row>
    <row r="18" spans="1:13" x14ac:dyDescent="0.3">
      <c r="A18">
        <v>627</v>
      </c>
      <c r="B18" s="1">
        <v>40572</v>
      </c>
      <c r="C18">
        <v>9</v>
      </c>
      <c r="D18" t="b">
        <v>0</v>
      </c>
      <c r="E18" t="s">
        <v>29</v>
      </c>
      <c r="F18" t="s">
        <v>30</v>
      </c>
      <c r="G18">
        <v>0.18</v>
      </c>
      <c r="H18">
        <v>0.21210000000000001</v>
      </c>
      <c r="I18">
        <v>0.59</v>
      </c>
      <c r="J18">
        <v>8.9599999999999999E-2</v>
      </c>
      <c r="K18">
        <v>0</v>
      </c>
      <c r="L18">
        <v>34</v>
      </c>
      <c r="M18">
        <v>34</v>
      </c>
    </row>
    <row r="19" spans="1:13" x14ac:dyDescent="0.3">
      <c r="A19">
        <v>628</v>
      </c>
      <c r="B19" s="1">
        <v>40572</v>
      </c>
      <c r="C19">
        <v>10</v>
      </c>
      <c r="D19" t="b">
        <v>0</v>
      </c>
      <c r="E19" t="s">
        <v>29</v>
      </c>
      <c r="F19" t="s">
        <v>31</v>
      </c>
      <c r="G19">
        <v>0.18</v>
      </c>
      <c r="H19">
        <v>0.21210000000000001</v>
      </c>
      <c r="I19">
        <v>0.64</v>
      </c>
      <c r="J19">
        <v>0.1045</v>
      </c>
      <c r="K19">
        <v>4</v>
      </c>
      <c r="L19">
        <v>51</v>
      </c>
      <c r="M19">
        <v>55</v>
      </c>
    </row>
    <row r="20" spans="1:13" x14ac:dyDescent="0.3">
      <c r="A20">
        <v>629</v>
      </c>
      <c r="B20" s="1">
        <v>40572</v>
      </c>
      <c r="C20">
        <v>11</v>
      </c>
      <c r="D20" t="b">
        <v>0</v>
      </c>
      <c r="E20" t="s">
        <v>29</v>
      </c>
      <c r="F20" t="s">
        <v>31</v>
      </c>
      <c r="G20">
        <v>0.18</v>
      </c>
      <c r="H20">
        <v>0.19700000000000001</v>
      </c>
      <c r="I20">
        <v>0.64</v>
      </c>
      <c r="J20">
        <v>0.1343</v>
      </c>
      <c r="K20">
        <v>4</v>
      </c>
      <c r="L20">
        <v>60</v>
      </c>
      <c r="M20">
        <v>64</v>
      </c>
    </row>
    <row r="21" spans="1:13" x14ac:dyDescent="0.3">
      <c r="A21">
        <v>630</v>
      </c>
      <c r="B21" s="1">
        <v>40572</v>
      </c>
      <c r="C21">
        <v>12</v>
      </c>
      <c r="D21" t="b">
        <v>0</v>
      </c>
      <c r="E21" t="s">
        <v>29</v>
      </c>
      <c r="F21" t="s">
        <v>31</v>
      </c>
      <c r="G21">
        <v>0.2</v>
      </c>
      <c r="H21">
        <v>0.19700000000000001</v>
      </c>
      <c r="I21">
        <v>0.59</v>
      </c>
      <c r="J21">
        <v>0.19400000000000001</v>
      </c>
      <c r="K21">
        <v>12</v>
      </c>
      <c r="L21">
        <v>66</v>
      </c>
      <c r="M21">
        <v>78</v>
      </c>
    </row>
    <row r="22" spans="1:13" x14ac:dyDescent="0.3">
      <c r="A22">
        <v>631</v>
      </c>
      <c r="B22" s="1">
        <v>40572</v>
      </c>
      <c r="C22">
        <v>13</v>
      </c>
      <c r="D22" t="b">
        <v>0</v>
      </c>
      <c r="E22" t="s">
        <v>29</v>
      </c>
      <c r="F22" t="s">
        <v>31</v>
      </c>
      <c r="G22">
        <v>0.22</v>
      </c>
      <c r="H22">
        <v>0.2273</v>
      </c>
      <c r="I22">
        <v>0.55000000000000004</v>
      </c>
      <c r="J22">
        <v>0.16420000000000001</v>
      </c>
      <c r="K22">
        <v>9</v>
      </c>
      <c r="L22">
        <v>56</v>
      </c>
      <c r="M22">
        <v>65</v>
      </c>
    </row>
    <row r="23" spans="1:13" x14ac:dyDescent="0.3">
      <c r="A23">
        <v>632</v>
      </c>
      <c r="B23" s="1">
        <v>40572</v>
      </c>
      <c r="C23">
        <v>14</v>
      </c>
      <c r="D23" t="b">
        <v>0</v>
      </c>
      <c r="E23" t="s">
        <v>29</v>
      </c>
      <c r="F23" t="s">
        <v>31</v>
      </c>
      <c r="G23">
        <v>0.22</v>
      </c>
      <c r="H23">
        <v>0.2273</v>
      </c>
      <c r="I23">
        <v>0.6</v>
      </c>
      <c r="J23">
        <v>0.1343</v>
      </c>
      <c r="K23">
        <v>10</v>
      </c>
      <c r="L23">
        <v>89</v>
      </c>
      <c r="M23">
        <v>99</v>
      </c>
    </row>
    <row r="24" spans="1:13" x14ac:dyDescent="0.3">
      <c r="A24">
        <v>633</v>
      </c>
      <c r="B24" s="1">
        <v>40572</v>
      </c>
      <c r="C24">
        <v>15</v>
      </c>
      <c r="D24" t="b">
        <v>0</v>
      </c>
      <c r="E24" t="s">
        <v>29</v>
      </c>
      <c r="F24" t="s">
        <v>30</v>
      </c>
      <c r="G24">
        <v>0.22</v>
      </c>
      <c r="H24">
        <v>0.21210000000000001</v>
      </c>
      <c r="I24">
        <v>0.69</v>
      </c>
      <c r="J24">
        <v>0.25369999999999998</v>
      </c>
      <c r="K24">
        <v>22</v>
      </c>
      <c r="L24">
        <v>98</v>
      </c>
      <c r="M24">
        <v>120</v>
      </c>
    </row>
    <row r="25" spans="1:13" x14ac:dyDescent="0.3">
      <c r="A25">
        <v>634</v>
      </c>
      <c r="B25" s="1">
        <v>40572</v>
      </c>
      <c r="C25">
        <v>16</v>
      </c>
      <c r="D25" t="b">
        <v>0</v>
      </c>
      <c r="E25" t="s">
        <v>29</v>
      </c>
      <c r="F25" t="s">
        <v>30</v>
      </c>
      <c r="G25">
        <v>0.24</v>
      </c>
      <c r="H25">
        <v>0.2424</v>
      </c>
      <c r="I25">
        <v>0.6</v>
      </c>
      <c r="J25">
        <v>0.16420000000000001</v>
      </c>
      <c r="K25">
        <v>19</v>
      </c>
      <c r="L25">
        <v>88</v>
      </c>
      <c r="M25">
        <v>107</v>
      </c>
    </row>
    <row r="26" spans="1:13" x14ac:dyDescent="0.3">
      <c r="A26">
        <v>635</v>
      </c>
      <c r="B26" s="1">
        <v>40572</v>
      </c>
      <c r="C26">
        <v>17</v>
      </c>
      <c r="D26" t="b">
        <v>0</v>
      </c>
      <c r="E26" t="s">
        <v>29</v>
      </c>
      <c r="F26" t="s">
        <v>30</v>
      </c>
      <c r="G26">
        <v>0.24</v>
      </c>
      <c r="H26">
        <v>0.28789999999999999</v>
      </c>
      <c r="I26">
        <v>0.6</v>
      </c>
      <c r="J26">
        <v>0</v>
      </c>
      <c r="K26">
        <v>9</v>
      </c>
      <c r="L26">
        <v>82</v>
      </c>
      <c r="M26">
        <v>91</v>
      </c>
    </row>
    <row r="27" spans="1:13" x14ac:dyDescent="0.3">
      <c r="A27">
        <v>636</v>
      </c>
      <c r="B27" s="1">
        <v>40572</v>
      </c>
      <c r="C27">
        <v>18</v>
      </c>
      <c r="D27" t="b">
        <v>0</v>
      </c>
      <c r="E27" t="s">
        <v>29</v>
      </c>
      <c r="F27" t="s">
        <v>30</v>
      </c>
      <c r="G27">
        <v>0.22</v>
      </c>
      <c r="H27">
        <v>0.2273</v>
      </c>
      <c r="I27">
        <v>0.69</v>
      </c>
      <c r="J27">
        <v>0.1343</v>
      </c>
      <c r="K27">
        <v>9</v>
      </c>
      <c r="L27">
        <v>59</v>
      </c>
      <c r="M27">
        <v>68</v>
      </c>
    </row>
    <row r="28" spans="1:13" x14ac:dyDescent="0.3">
      <c r="A28">
        <v>637</v>
      </c>
      <c r="B28" s="1">
        <v>40572</v>
      </c>
      <c r="C28">
        <v>19</v>
      </c>
      <c r="D28" t="b">
        <v>0</v>
      </c>
      <c r="E28" t="s">
        <v>29</v>
      </c>
      <c r="F28" t="s">
        <v>31</v>
      </c>
      <c r="G28">
        <v>0.22</v>
      </c>
      <c r="H28">
        <v>0.21210000000000001</v>
      </c>
      <c r="I28">
        <v>0.69</v>
      </c>
      <c r="J28">
        <v>0.25369999999999998</v>
      </c>
      <c r="K28">
        <v>6</v>
      </c>
      <c r="L28">
        <v>52</v>
      </c>
      <c r="M28">
        <v>58</v>
      </c>
    </row>
    <row r="29" spans="1:13" x14ac:dyDescent="0.3">
      <c r="A29">
        <v>638</v>
      </c>
      <c r="B29" s="1">
        <v>40572</v>
      </c>
      <c r="C29">
        <v>20</v>
      </c>
      <c r="D29" t="b">
        <v>0</v>
      </c>
      <c r="E29" t="s">
        <v>29</v>
      </c>
      <c r="F29" t="s">
        <v>30</v>
      </c>
      <c r="G29">
        <v>0.18</v>
      </c>
      <c r="H29">
        <v>0.21210000000000001</v>
      </c>
      <c r="I29">
        <v>0.74</v>
      </c>
      <c r="J29">
        <v>8.9599999999999999E-2</v>
      </c>
      <c r="K29">
        <v>1</v>
      </c>
      <c r="L29">
        <v>42</v>
      </c>
      <c r="M29">
        <v>43</v>
      </c>
    </row>
    <row r="30" spans="1:13" x14ac:dyDescent="0.3">
      <c r="A30">
        <v>639</v>
      </c>
      <c r="B30" s="1">
        <v>40572</v>
      </c>
      <c r="C30">
        <v>21</v>
      </c>
      <c r="D30" t="b">
        <v>0</v>
      </c>
      <c r="E30" t="s">
        <v>29</v>
      </c>
      <c r="F30" t="s">
        <v>30</v>
      </c>
      <c r="G30">
        <v>0.18</v>
      </c>
      <c r="H30">
        <v>0.21210000000000001</v>
      </c>
      <c r="I30">
        <v>0.74</v>
      </c>
      <c r="J30">
        <v>8.9599999999999999E-2</v>
      </c>
      <c r="K30">
        <v>1</v>
      </c>
      <c r="L30">
        <v>35</v>
      </c>
      <c r="M30">
        <v>36</v>
      </c>
    </row>
    <row r="31" spans="1:13" x14ac:dyDescent="0.3">
      <c r="A31">
        <v>640</v>
      </c>
      <c r="B31" s="1">
        <v>40572</v>
      </c>
      <c r="C31">
        <v>22</v>
      </c>
      <c r="D31" t="b">
        <v>0</v>
      </c>
      <c r="E31" t="s">
        <v>29</v>
      </c>
      <c r="F31" t="s">
        <v>30</v>
      </c>
      <c r="G31">
        <v>0.16</v>
      </c>
      <c r="H31">
        <v>0.19700000000000001</v>
      </c>
      <c r="I31">
        <v>0.8</v>
      </c>
      <c r="J31">
        <v>8.9599999999999999E-2</v>
      </c>
      <c r="K31">
        <v>4</v>
      </c>
      <c r="L31">
        <v>28</v>
      </c>
      <c r="M31">
        <v>32</v>
      </c>
    </row>
    <row r="32" spans="1:13" x14ac:dyDescent="0.3">
      <c r="A32">
        <v>641</v>
      </c>
      <c r="B32" s="1">
        <v>40572</v>
      </c>
      <c r="C32">
        <v>23</v>
      </c>
      <c r="D32" t="b">
        <v>0</v>
      </c>
      <c r="E32" t="s">
        <v>29</v>
      </c>
      <c r="F32" t="s">
        <v>30</v>
      </c>
      <c r="G32">
        <v>0.16</v>
      </c>
      <c r="H32">
        <v>0.19700000000000001</v>
      </c>
      <c r="I32">
        <v>0.8</v>
      </c>
      <c r="J32">
        <v>8.9599999999999999E-2</v>
      </c>
      <c r="K32">
        <v>3</v>
      </c>
      <c r="L32">
        <v>30</v>
      </c>
      <c r="M32">
        <v>33</v>
      </c>
    </row>
    <row r="33" spans="1:13" x14ac:dyDescent="0.3">
      <c r="A33">
        <v>642</v>
      </c>
      <c r="B33" s="1">
        <v>40573</v>
      </c>
      <c r="C33">
        <v>0</v>
      </c>
      <c r="D33" t="b">
        <v>0</v>
      </c>
      <c r="E33" t="s">
        <v>23</v>
      </c>
      <c r="F33" t="s">
        <v>30</v>
      </c>
      <c r="G33">
        <v>0.16</v>
      </c>
      <c r="H33">
        <v>0.18179999999999999</v>
      </c>
      <c r="I33">
        <v>0.8</v>
      </c>
      <c r="J33">
        <v>0.1045</v>
      </c>
      <c r="K33">
        <v>0</v>
      </c>
      <c r="L33">
        <v>33</v>
      </c>
      <c r="M33">
        <v>33</v>
      </c>
    </row>
    <row r="34" spans="1:13" x14ac:dyDescent="0.3">
      <c r="A34">
        <v>643</v>
      </c>
      <c r="B34" s="1">
        <v>40573</v>
      </c>
      <c r="C34">
        <v>1</v>
      </c>
      <c r="D34" t="b">
        <v>0</v>
      </c>
      <c r="E34" t="s">
        <v>23</v>
      </c>
      <c r="F34" t="s">
        <v>30</v>
      </c>
      <c r="G34">
        <v>0.14000000000000001</v>
      </c>
      <c r="H34">
        <v>0.21210000000000001</v>
      </c>
      <c r="I34">
        <v>0.8</v>
      </c>
      <c r="J34">
        <v>0</v>
      </c>
      <c r="K34">
        <v>7</v>
      </c>
      <c r="L34">
        <v>22</v>
      </c>
      <c r="M34">
        <v>29</v>
      </c>
    </row>
    <row r="35" spans="1:13" x14ac:dyDescent="0.3">
      <c r="A35">
        <v>644</v>
      </c>
      <c r="B35" s="1">
        <v>40573</v>
      </c>
      <c r="C35">
        <v>2</v>
      </c>
      <c r="D35" t="b">
        <v>0</v>
      </c>
      <c r="E35" t="s">
        <v>23</v>
      </c>
      <c r="F35" t="s">
        <v>30</v>
      </c>
      <c r="G35">
        <v>0.16</v>
      </c>
      <c r="H35">
        <v>0.2273</v>
      </c>
      <c r="I35">
        <v>0.8</v>
      </c>
      <c r="J35">
        <v>0</v>
      </c>
      <c r="K35">
        <v>1</v>
      </c>
      <c r="L35">
        <v>10</v>
      </c>
      <c r="M35">
        <v>11</v>
      </c>
    </row>
    <row r="36" spans="1:13" x14ac:dyDescent="0.3">
      <c r="A36">
        <v>645</v>
      </c>
      <c r="B36" s="1">
        <v>40573</v>
      </c>
      <c r="C36">
        <v>3</v>
      </c>
      <c r="D36" t="b">
        <v>0</v>
      </c>
      <c r="E36" t="s">
        <v>23</v>
      </c>
      <c r="F36" t="s">
        <v>30</v>
      </c>
      <c r="G36">
        <v>0.14000000000000001</v>
      </c>
      <c r="H36">
        <v>0.21210000000000001</v>
      </c>
      <c r="I36">
        <v>0.93</v>
      </c>
      <c r="J36">
        <v>0</v>
      </c>
      <c r="K36">
        <v>1</v>
      </c>
      <c r="L36">
        <v>7</v>
      </c>
      <c r="M36">
        <v>8</v>
      </c>
    </row>
    <row r="37" spans="1:13" x14ac:dyDescent="0.3">
      <c r="A37">
        <v>646</v>
      </c>
      <c r="B37" s="1">
        <v>40573</v>
      </c>
      <c r="C37">
        <v>4</v>
      </c>
      <c r="D37" t="b">
        <v>0</v>
      </c>
      <c r="E37" t="s">
        <v>23</v>
      </c>
      <c r="F37" t="s">
        <v>30</v>
      </c>
      <c r="G37">
        <v>0.14000000000000001</v>
      </c>
      <c r="H37">
        <v>0.21210000000000001</v>
      </c>
      <c r="I37">
        <v>0.93</v>
      </c>
      <c r="J37">
        <v>0</v>
      </c>
      <c r="K37">
        <v>0</v>
      </c>
      <c r="L37">
        <v>1</v>
      </c>
      <c r="M37">
        <v>1</v>
      </c>
    </row>
    <row r="38" spans="1:13" x14ac:dyDescent="0.3">
      <c r="A38">
        <v>647</v>
      </c>
      <c r="B38" s="1">
        <v>40573</v>
      </c>
      <c r="C38">
        <v>5</v>
      </c>
      <c r="D38" t="b">
        <v>0</v>
      </c>
      <c r="E38" t="s">
        <v>23</v>
      </c>
      <c r="F38" t="s">
        <v>30</v>
      </c>
      <c r="G38">
        <v>0.14000000000000001</v>
      </c>
      <c r="H38">
        <v>0.21210000000000001</v>
      </c>
      <c r="I38">
        <v>0.86</v>
      </c>
      <c r="J38">
        <v>0</v>
      </c>
      <c r="K38">
        <v>0</v>
      </c>
      <c r="L38">
        <v>3</v>
      </c>
      <c r="M38">
        <v>3</v>
      </c>
    </row>
    <row r="39" spans="1:13" x14ac:dyDescent="0.3">
      <c r="A39">
        <v>648</v>
      </c>
      <c r="B39" s="1">
        <v>40573</v>
      </c>
      <c r="C39">
        <v>7</v>
      </c>
      <c r="D39" t="b">
        <v>0</v>
      </c>
      <c r="E39" t="s">
        <v>23</v>
      </c>
      <c r="F39" t="s">
        <v>30</v>
      </c>
      <c r="G39">
        <v>0.14000000000000001</v>
      </c>
      <c r="H39">
        <v>0.21210000000000001</v>
      </c>
      <c r="I39">
        <v>0.86</v>
      </c>
      <c r="J39">
        <v>0</v>
      </c>
      <c r="K39">
        <v>0</v>
      </c>
      <c r="L39">
        <v>3</v>
      </c>
      <c r="M39">
        <v>3</v>
      </c>
    </row>
    <row r="40" spans="1:13" x14ac:dyDescent="0.3">
      <c r="A40">
        <v>649</v>
      </c>
      <c r="B40" s="1">
        <v>40573</v>
      </c>
      <c r="C40">
        <v>8</v>
      </c>
      <c r="D40" t="b">
        <v>0</v>
      </c>
      <c r="E40" t="s">
        <v>23</v>
      </c>
      <c r="F40" t="s">
        <v>31</v>
      </c>
      <c r="G40">
        <v>0.14000000000000001</v>
      </c>
      <c r="H40">
        <v>0.21210000000000001</v>
      </c>
      <c r="I40">
        <v>0.86</v>
      </c>
      <c r="J40">
        <v>0</v>
      </c>
      <c r="K40">
        <v>1</v>
      </c>
      <c r="L40">
        <v>11</v>
      </c>
      <c r="M40">
        <v>12</v>
      </c>
    </row>
    <row r="41" spans="1:13" x14ac:dyDescent="0.3">
      <c r="A41">
        <v>650</v>
      </c>
      <c r="B41" s="1">
        <v>40573</v>
      </c>
      <c r="C41">
        <v>9</v>
      </c>
      <c r="D41" t="b">
        <v>0</v>
      </c>
      <c r="E41" t="s">
        <v>23</v>
      </c>
      <c r="F41" t="s">
        <v>31</v>
      </c>
      <c r="G41">
        <v>0.16</v>
      </c>
      <c r="H41">
        <v>0.2273</v>
      </c>
      <c r="I41">
        <v>0.8</v>
      </c>
      <c r="J41">
        <v>0</v>
      </c>
      <c r="K41">
        <v>4</v>
      </c>
      <c r="L41">
        <v>34</v>
      </c>
      <c r="M41">
        <v>38</v>
      </c>
    </row>
    <row r="42" spans="1:13" x14ac:dyDescent="0.3">
      <c r="A42">
        <v>651</v>
      </c>
      <c r="B42" s="1">
        <v>40573</v>
      </c>
      <c r="C42">
        <v>10</v>
      </c>
      <c r="D42" t="b">
        <v>0</v>
      </c>
      <c r="E42" t="s">
        <v>23</v>
      </c>
      <c r="F42" t="s">
        <v>31</v>
      </c>
      <c r="G42">
        <v>0.18</v>
      </c>
      <c r="H42">
        <v>0.2424</v>
      </c>
      <c r="I42">
        <v>0.8</v>
      </c>
      <c r="J42">
        <v>0</v>
      </c>
      <c r="K42">
        <v>7</v>
      </c>
      <c r="L42">
        <v>57</v>
      </c>
      <c r="M42">
        <v>64</v>
      </c>
    </row>
    <row r="43" spans="1:13" x14ac:dyDescent="0.3">
      <c r="A43">
        <v>652</v>
      </c>
      <c r="B43" s="1">
        <v>40573</v>
      </c>
      <c r="C43">
        <v>11</v>
      </c>
      <c r="D43" t="b">
        <v>0</v>
      </c>
      <c r="E43" t="s">
        <v>23</v>
      </c>
      <c r="F43" t="s">
        <v>30</v>
      </c>
      <c r="G43">
        <v>0.22</v>
      </c>
      <c r="H43">
        <v>0.2727</v>
      </c>
      <c r="I43">
        <v>0.75</v>
      </c>
      <c r="J43">
        <v>0</v>
      </c>
      <c r="K43">
        <v>9</v>
      </c>
      <c r="L43">
        <v>50</v>
      </c>
      <c r="M43">
        <v>59</v>
      </c>
    </row>
    <row r="44" spans="1:13" x14ac:dyDescent="0.3">
      <c r="A44">
        <v>653</v>
      </c>
      <c r="B44" s="1">
        <v>40573</v>
      </c>
      <c r="C44">
        <v>12</v>
      </c>
      <c r="D44" t="b">
        <v>0</v>
      </c>
      <c r="E44" t="s">
        <v>23</v>
      </c>
      <c r="F44" t="s">
        <v>30</v>
      </c>
      <c r="G44">
        <v>0.3</v>
      </c>
      <c r="H44">
        <v>0.31819999999999998</v>
      </c>
      <c r="I44">
        <v>0.52</v>
      </c>
      <c r="J44">
        <v>0.1045</v>
      </c>
      <c r="K44">
        <v>10</v>
      </c>
      <c r="L44">
        <v>87</v>
      </c>
      <c r="M44">
        <v>97</v>
      </c>
    </row>
    <row r="45" spans="1:13" x14ac:dyDescent="0.3">
      <c r="A45">
        <v>654</v>
      </c>
      <c r="B45" s="1">
        <v>40573</v>
      </c>
      <c r="C45">
        <v>13</v>
      </c>
      <c r="D45" t="b">
        <v>0</v>
      </c>
      <c r="E45" t="s">
        <v>23</v>
      </c>
      <c r="F45" t="s">
        <v>30</v>
      </c>
      <c r="G45">
        <v>0.28000000000000003</v>
      </c>
      <c r="H45">
        <v>0.28789999999999999</v>
      </c>
      <c r="I45">
        <v>0.61</v>
      </c>
      <c r="J45">
        <v>0.1045</v>
      </c>
      <c r="K45">
        <v>13</v>
      </c>
      <c r="L45">
        <v>71</v>
      </c>
      <c r="M45">
        <v>84</v>
      </c>
    </row>
    <row r="46" spans="1:13" x14ac:dyDescent="0.3">
      <c r="A46">
        <v>655</v>
      </c>
      <c r="B46" s="1">
        <v>40573</v>
      </c>
      <c r="C46">
        <v>14</v>
      </c>
      <c r="D46" t="b">
        <v>0</v>
      </c>
      <c r="E46" t="s">
        <v>23</v>
      </c>
      <c r="F46" t="s">
        <v>30</v>
      </c>
      <c r="G46">
        <v>0.28000000000000003</v>
      </c>
      <c r="H46">
        <v>0.30299999999999999</v>
      </c>
      <c r="I46">
        <v>0.61</v>
      </c>
      <c r="J46">
        <v>8.9599999999999999E-2</v>
      </c>
      <c r="K46">
        <v>18</v>
      </c>
      <c r="L46">
        <v>104</v>
      </c>
      <c r="M46">
        <v>122</v>
      </c>
    </row>
    <row r="47" spans="1:13" x14ac:dyDescent="0.3">
      <c r="A47">
        <v>656</v>
      </c>
      <c r="B47" s="1">
        <v>40573</v>
      </c>
      <c r="C47">
        <v>15</v>
      </c>
      <c r="D47" t="b">
        <v>0</v>
      </c>
      <c r="E47" t="s">
        <v>23</v>
      </c>
      <c r="F47" t="s">
        <v>30</v>
      </c>
      <c r="G47">
        <v>0.3</v>
      </c>
      <c r="H47">
        <v>0.33329999999999999</v>
      </c>
      <c r="I47">
        <v>0.56000000000000005</v>
      </c>
      <c r="J47">
        <v>0</v>
      </c>
      <c r="K47">
        <v>14</v>
      </c>
      <c r="L47">
        <v>95</v>
      </c>
      <c r="M47">
        <v>109</v>
      </c>
    </row>
    <row r="48" spans="1:13" x14ac:dyDescent="0.3">
      <c r="A48">
        <v>657</v>
      </c>
      <c r="B48" s="1">
        <v>40573</v>
      </c>
      <c r="C48">
        <v>16</v>
      </c>
      <c r="D48" t="b">
        <v>0</v>
      </c>
      <c r="E48" t="s">
        <v>23</v>
      </c>
      <c r="F48" t="s">
        <v>30</v>
      </c>
      <c r="G48">
        <v>0.3</v>
      </c>
      <c r="H48">
        <v>0.33329999999999999</v>
      </c>
      <c r="I48">
        <v>0.56000000000000005</v>
      </c>
      <c r="J48">
        <v>0</v>
      </c>
      <c r="K48">
        <v>19</v>
      </c>
      <c r="L48">
        <v>104</v>
      </c>
      <c r="M48">
        <v>123</v>
      </c>
    </row>
    <row r="49" spans="1:13" x14ac:dyDescent="0.3">
      <c r="A49">
        <v>658</v>
      </c>
      <c r="B49" s="1">
        <v>40573</v>
      </c>
      <c r="C49">
        <v>17</v>
      </c>
      <c r="D49" t="b">
        <v>0</v>
      </c>
      <c r="E49" t="s">
        <v>23</v>
      </c>
      <c r="F49" t="s">
        <v>30</v>
      </c>
      <c r="G49">
        <v>0.3</v>
      </c>
      <c r="H49">
        <v>0.28789999999999999</v>
      </c>
      <c r="I49">
        <v>0.56000000000000005</v>
      </c>
      <c r="J49">
        <v>0.19400000000000001</v>
      </c>
      <c r="K49">
        <v>6</v>
      </c>
      <c r="L49">
        <v>71</v>
      </c>
      <c r="M49">
        <v>77</v>
      </c>
    </row>
    <row r="50" spans="1:13" x14ac:dyDescent="0.3">
      <c r="A50">
        <v>659</v>
      </c>
      <c r="B50" s="1">
        <v>40573</v>
      </c>
      <c r="C50">
        <v>18</v>
      </c>
      <c r="D50" t="b">
        <v>0</v>
      </c>
      <c r="E50" t="s">
        <v>23</v>
      </c>
      <c r="F50" t="s">
        <v>30</v>
      </c>
      <c r="G50">
        <v>0.26</v>
      </c>
      <c r="H50">
        <v>0.2576</v>
      </c>
      <c r="I50">
        <v>0.65</v>
      </c>
      <c r="J50">
        <v>0.16420000000000001</v>
      </c>
      <c r="K50">
        <v>8</v>
      </c>
      <c r="L50">
        <v>57</v>
      </c>
      <c r="M50">
        <v>65</v>
      </c>
    </row>
    <row r="51" spans="1:13" x14ac:dyDescent="0.3">
      <c r="A51">
        <v>660</v>
      </c>
      <c r="B51" s="1">
        <v>40573</v>
      </c>
      <c r="C51">
        <v>19</v>
      </c>
      <c r="D51" t="b">
        <v>0</v>
      </c>
      <c r="E51" t="s">
        <v>23</v>
      </c>
      <c r="F51" t="s">
        <v>30</v>
      </c>
      <c r="G51">
        <v>0.26</v>
      </c>
      <c r="H51">
        <v>0.2576</v>
      </c>
      <c r="I51">
        <v>0.65</v>
      </c>
      <c r="J51">
        <v>0.19400000000000001</v>
      </c>
      <c r="K51">
        <v>9</v>
      </c>
      <c r="L51">
        <v>46</v>
      </c>
      <c r="M51">
        <v>55</v>
      </c>
    </row>
    <row r="52" spans="1:13" x14ac:dyDescent="0.3">
      <c r="A52">
        <v>661</v>
      </c>
      <c r="B52" s="1">
        <v>40573</v>
      </c>
      <c r="C52">
        <v>20</v>
      </c>
      <c r="D52" t="b">
        <v>0</v>
      </c>
      <c r="E52" t="s">
        <v>23</v>
      </c>
      <c r="F52" t="s">
        <v>31</v>
      </c>
      <c r="G52">
        <v>0.26</v>
      </c>
      <c r="H52">
        <v>0.2727</v>
      </c>
      <c r="I52">
        <v>0.65</v>
      </c>
      <c r="J52">
        <v>0.1045</v>
      </c>
      <c r="K52">
        <v>3</v>
      </c>
      <c r="L52">
        <v>30</v>
      </c>
      <c r="M52">
        <v>33</v>
      </c>
    </row>
    <row r="53" spans="1:13" x14ac:dyDescent="0.3">
      <c r="A53">
        <v>662</v>
      </c>
      <c r="B53" s="1">
        <v>40573</v>
      </c>
      <c r="C53">
        <v>21</v>
      </c>
      <c r="D53" t="b">
        <v>0</v>
      </c>
      <c r="E53" t="s">
        <v>23</v>
      </c>
      <c r="F53" t="s">
        <v>31</v>
      </c>
      <c r="G53">
        <v>0.24</v>
      </c>
      <c r="H53">
        <v>0.2424</v>
      </c>
      <c r="I53">
        <v>0.7</v>
      </c>
      <c r="J53">
        <v>0.16420000000000001</v>
      </c>
      <c r="K53">
        <v>3</v>
      </c>
      <c r="L53">
        <v>25</v>
      </c>
      <c r="M53">
        <v>28</v>
      </c>
    </row>
    <row r="54" spans="1:13" x14ac:dyDescent="0.3">
      <c r="A54">
        <v>663</v>
      </c>
      <c r="B54" s="1">
        <v>40573</v>
      </c>
      <c r="C54">
        <v>22</v>
      </c>
      <c r="D54" t="b">
        <v>0</v>
      </c>
      <c r="E54" t="s">
        <v>23</v>
      </c>
      <c r="F54" t="s">
        <v>31</v>
      </c>
      <c r="G54">
        <v>0.24</v>
      </c>
      <c r="H54">
        <v>0.2273</v>
      </c>
      <c r="I54">
        <v>0.7</v>
      </c>
      <c r="J54">
        <v>0.19400000000000001</v>
      </c>
      <c r="K54">
        <v>2</v>
      </c>
      <c r="L54">
        <v>19</v>
      </c>
      <c r="M54">
        <v>21</v>
      </c>
    </row>
    <row r="55" spans="1:13" x14ac:dyDescent="0.3">
      <c r="A55">
        <v>664</v>
      </c>
      <c r="B55" s="1">
        <v>40573</v>
      </c>
      <c r="C55">
        <v>23</v>
      </c>
      <c r="D55" t="b">
        <v>0</v>
      </c>
      <c r="E55" t="s">
        <v>23</v>
      </c>
      <c r="F55" t="s">
        <v>31</v>
      </c>
      <c r="G55">
        <v>0.24</v>
      </c>
      <c r="H55">
        <v>0.21210000000000001</v>
      </c>
      <c r="I55">
        <v>0.65</v>
      </c>
      <c r="J55">
        <v>0.28360000000000002</v>
      </c>
      <c r="K55">
        <v>5</v>
      </c>
      <c r="L55">
        <v>16</v>
      </c>
      <c r="M55">
        <v>21</v>
      </c>
    </row>
    <row r="56" spans="1:13" x14ac:dyDescent="0.3">
      <c r="A56">
        <v>665</v>
      </c>
      <c r="B56" s="1">
        <v>40574</v>
      </c>
      <c r="C56">
        <v>0</v>
      </c>
      <c r="D56" t="b">
        <v>0</v>
      </c>
      <c r="E56" t="s">
        <v>24</v>
      </c>
      <c r="F56" t="s">
        <v>31</v>
      </c>
      <c r="G56">
        <v>0.24</v>
      </c>
      <c r="H56">
        <v>0.2273</v>
      </c>
      <c r="I56">
        <v>0.65</v>
      </c>
      <c r="J56">
        <v>0.22389999999999999</v>
      </c>
      <c r="K56">
        <v>1</v>
      </c>
      <c r="L56">
        <v>6</v>
      </c>
      <c r="M56">
        <v>7</v>
      </c>
    </row>
    <row r="57" spans="1:13" x14ac:dyDescent="0.3">
      <c r="A57">
        <v>666</v>
      </c>
      <c r="B57" s="1">
        <v>40574</v>
      </c>
      <c r="C57">
        <v>1</v>
      </c>
      <c r="D57" t="b">
        <v>0</v>
      </c>
      <c r="E57" t="s">
        <v>24</v>
      </c>
      <c r="F57" t="s">
        <v>30</v>
      </c>
      <c r="G57">
        <v>0.22</v>
      </c>
      <c r="H57">
        <v>0.21210000000000001</v>
      </c>
      <c r="I57">
        <v>0.64</v>
      </c>
      <c r="J57">
        <v>0.25369999999999998</v>
      </c>
      <c r="K57">
        <v>2</v>
      </c>
      <c r="L57">
        <v>5</v>
      </c>
      <c r="M57">
        <v>7</v>
      </c>
    </row>
    <row r="58" spans="1:13" x14ac:dyDescent="0.3">
      <c r="A58">
        <v>667</v>
      </c>
      <c r="B58" s="1">
        <v>40574</v>
      </c>
      <c r="C58">
        <v>2</v>
      </c>
      <c r="D58" t="b">
        <v>0</v>
      </c>
      <c r="E58" t="s">
        <v>24</v>
      </c>
      <c r="F58" t="s">
        <v>30</v>
      </c>
      <c r="G58">
        <v>0.22</v>
      </c>
      <c r="H58">
        <v>0.2273</v>
      </c>
      <c r="I58">
        <v>0.64</v>
      </c>
      <c r="J58">
        <v>0.19400000000000001</v>
      </c>
      <c r="K58">
        <v>0</v>
      </c>
      <c r="L58">
        <v>1</v>
      </c>
      <c r="M58">
        <v>1</v>
      </c>
    </row>
    <row r="59" spans="1:13" x14ac:dyDescent="0.3">
      <c r="A59">
        <v>668</v>
      </c>
      <c r="B59" s="1">
        <v>40574</v>
      </c>
      <c r="C59">
        <v>3</v>
      </c>
      <c r="D59" t="b">
        <v>0</v>
      </c>
      <c r="E59" t="s">
        <v>24</v>
      </c>
      <c r="F59" t="s">
        <v>30</v>
      </c>
      <c r="G59">
        <v>0.22</v>
      </c>
      <c r="H59">
        <v>0.2273</v>
      </c>
      <c r="I59">
        <v>0.64</v>
      </c>
      <c r="J59">
        <v>0.19400000000000001</v>
      </c>
      <c r="K59">
        <v>0</v>
      </c>
      <c r="L59">
        <v>2</v>
      </c>
      <c r="M59">
        <v>2</v>
      </c>
    </row>
    <row r="60" spans="1:13" x14ac:dyDescent="0.3">
      <c r="A60">
        <v>669</v>
      </c>
      <c r="B60" s="1">
        <v>40574</v>
      </c>
      <c r="C60">
        <v>4</v>
      </c>
      <c r="D60" t="b">
        <v>0</v>
      </c>
      <c r="E60" t="s">
        <v>24</v>
      </c>
      <c r="F60" t="s">
        <v>30</v>
      </c>
      <c r="G60">
        <v>0.2</v>
      </c>
      <c r="H60">
        <v>0.19700000000000001</v>
      </c>
      <c r="I60">
        <v>0.59</v>
      </c>
      <c r="J60">
        <v>0.22389999999999999</v>
      </c>
      <c r="K60">
        <v>0</v>
      </c>
      <c r="L60">
        <v>2</v>
      </c>
      <c r="M60">
        <v>2</v>
      </c>
    </row>
    <row r="61" spans="1:13" x14ac:dyDescent="0.3">
      <c r="A61">
        <v>670</v>
      </c>
      <c r="B61" s="1">
        <v>40574</v>
      </c>
      <c r="C61">
        <v>5</v>
      </c>
      <c r="D61" t="b">
        <v>0</v>
      </c>
      <c r="E61" t="s">
        <v>24</v>
      </c>
      <c r="F61" t="s">
        <v>30</v>
      </c>
      <c r="G61">
        <v>0.18</v>
      </c>
      <c r="H61">
        <v>0.16669999999999999</v>
      </c>
      <c r="I61">
        <v>0.64</v>
      </c>
      <c r="J61">
        <v>0.28360000000000002</v>
      </c>
      <c r="K61">
        <v>0</v>
      </c>
      <c r="L61">
        <v>8</v>
      </c>
      <c r="M61">
        <v>8</v>
      </c>
    </row>
    <row r="62" spans="1:13" x14ac:dyDescent="0.3">
      <c r="A62">
        <v>671</v>
      </c>
      <c r="B62" s="1">
        <v>40574</v>
      </c>
      <c r="C62">
        <v>6</v>
      </c>
      <c r="D62" t="b">
        <v>0</v>
      </c>
      <c r="E62" t="s">
        <v>24</v>
      </c>
      <c r="F62" t="s">
        <v>30</v>
      </c>
      <c r="G62">
        <v>0.16</v>
      </c>
      <c r="H62">
        <v>0.13639999999999999</v>
      </c>
      <c r="I62">
        <v>0.69</v>
      </c>
      <c r="J62">
        <v>0.32840000000000003</v>
      </c>
      <c r="K62">
        <v>0</v>
      </c>
      <c r="L62">
        <v>37</v>
      </c>
      <c r="M62">
        <v>37</v>
      </c>
    </row>
    <row r="63" spans="1:13" x14ac:dyDescent="0.3">
      <c r="A63">
        <v>672</v>
      </c>
      <c r="B63" s="1">
        <v>40574</v>
      </c>
      <c r="C63">
        <v>7</v>
      </c>
      <c r="D63" t="b">
        <v>0</v>
      </c>
      <c r="E63" t="s">
        <v>24</v>
      </c>
      <c r="F63" t="s">
        <v>31</v>
      </c>
      <c r="G63">
        <v>0.16</v>
      </c>
      <c r="H63">
        <v>0.13639999999999999</v>
      </c>
      <c r="I63">
        <v>0.64</v>
      </c>
      <c r="J63">
        <v>0.28360000000000002</v>
      </c>
      <c r="K63">
        <v>1</v>
      </c>
      <c r="L63">
        <v>71</v>
      </c>
      <c r="M63">
        <v>72</v>
      </c>
    </row>
    <row r="64" spans="1:13" x14ac:dyDescent="0.3">
      <c r="A64">
        <v>673</v>
      </c>
      <c r="B64" s="1">
        <v>40574</v>
      </c>
      <c r="C64">
        <v>8</v>
      </c>
      <c r="D64" t="b">
        <v>0</v>
      </c>
      <c r="E64" t="s">
        <v>24</v>
      </c>
      <c r="F64" t="s">
        <v>31</v>
      </c>
      <c r="G64">
        <v>0.16</v>
      </c>
      <c r="H64">
        <v>0.13639999999999999</v>
      </c>
      <c r="I64">
        <v>0.59</v>
      </c>
      <c r="J64">
        <v>0.28360000000000002</v>
      </c>
      <c r="K64">
        <v>3</v>
      </c>
      <c r="L64">
        <v>182</v>
      </c>
      <c r="M64">
        <v>185</v>
      </c>
    </row>
    <row r="65" spans="1:13" x14ac:dyDescent="0.3">
      <c r="A65">
        <v>674</v>
      </c>
      <c r="B65" s="1">
        <v>40574</v>
      </c>
      <c r="C65">
        <v>9</v>
      </c>
      <c r="D65" t="b">
        <v>0</v>
      </c>
      <c r="E65" t="s">
        <v>24</v>
      </c>
      <c r="F65" t="s">
        <v>31</v>
      </c>
      <c r="G65">
        <v>0.16</v>
      </c>
      <c r="H65">
        <v>0.13639999999999999</v>
      </c>
      <c r="I65">
        <v>0.59</v>
      </c>
      <c r="J65">
        <v>0.29849999999999999</v>
      </c>
      <c r="K65">
        <v>0</v>
      </c>
      <c r="L65">
        <v>112</v>
      </c>
      <c r="M65">
        <v>112</v>
      </c>
    </row>
    <row r="66" spans="1:13" x14ac:dyDescent="0.3">
      <c r="A66">
        <v>675</v>
      </c>
      <c r="B66" s="1">
        <v>40574</v>
      </c>
      <c r="C66">
        <v>10</v>
      </c>
      <c r="D66" t="b">
        <v>0</v>
      </c>
      <c r="E66" t="s">
        <v>24</v>
      </c>
      <c r="F66" t="s">
        <v>31</v>
      </c>
      <c r="G66">
        <v>0.16</v>
      </c>
      <c r="H66">
        <v>0.1515</v>
      </c>
      <c r="I66">
        <v>0.59</v>
      </c>
      <c r="J66">
        <v>0.19400000000000001</v>
      </c>
      <c r="K66">
        <v>1</v>
      </c>
      <c r="L66">
        <v>68</v>
      </c>
      <c r="M66">
        <v>69</v>
      </c>
    </row>
    <row r="67" spans="1:13" x14ac:dyDescent="0.3">
      <c r="A67">
        <v>676</v>
      </c>
      <c r="B67" s="1">
        <v>40574</v>
      </c>
      <c r="C67">
        <v>11</v>
      </c>
      <c r="D67" t="b">
        <v>0</v>
      </c>
      <c r="E67" t="s">
        <v>24</v>
      </c>
      <c r="F67" t="s">
        <v>31</v>
      </c>
      <c r="G67">
        <v>0.16</v>
      </c>
      <c r="H67">
        <v>0.1515</v>
      </c>
      <c r="I67">
        <v>0.59</v>
      </c>
      <c r="J67">
        <v>0.19400000000000001</v>
      </c>
      <c r="K67">
        <v>2</v>
      </c>
      <c r="L67">
        <v>46</v>
      </c>
      <c r="M67">
        <v>48</v>
      </c>
    </row>
    <row r="68" spans="1:13" x14ac:dyDescent="0.3">
      <c r="A68">
        <v>677</v>
      </c>
      <c r="B68" s="1">
        <v>40574</v>
      </c>
      <c r="C68">
        <v>12</v>
      </c>
      <c r="D68" t="b">
        <v>0</v>
      </c>
      <c r="E68" t="s">
        <v>24</v>
      </c>
      <c r="F68" t="s">
        <v>31</v>
      </c>
      <c r="G68">
        <v>0.18</v>
      </c>
      <c r="H68">
        <v>0.21210000000000001</v>
      </c>
      <c r="I68">
        <v>0.55000000000000004</v>
      </c>
      <c r="J68">
        <v>0.1045</v>
      </c>
      <c r="K68">
        <v>6</v>
      </c>
      <c r="L68">
        <v>62</v>
      </c>
      <c r="M68">
        <v>68</v>
      </c>
    </row>
    <row r="69" spans="1:13" x14ac:dyDescent="0.3">
      <c r="A69">
        <v>678</v>
      </c>
      <c r="B69" s="1">
        <v>40574</v>
      </c>
      <c r="C69">
        <v>13</v>
      </c>
      <c r="D69" t="b">
        <v>0</v>
      </c>
      <c r="E69" t="s">
        <v>24</v>
      </c>
      <c r="F69" t="s">
        <v>31</v>
      </c>
      <c r="G69">
        <v>0.16</v>
      </c>
      <c r="H69">
        <v>0.2273</v>
      </c>
      <c r="I69">
        <v>0.59</v>
      </c>
      <c r="J69">
        <v>0</v>
      </c>
      <c r="K69">
        <v>2</v>
      </c>
      <c r="L69">
        <v>52</v>
      </c>
      <c r="M69">
        <v>54</v>
      </c>
    </row>
    <row r="70" spans="1:13" x14ac:dyDescent="0.3">
      <c r="A70">
        <v>679</v>
      </c>
      <c r="B70" s="1">
        <v>40574</v>
      </c>
      <c r="C70">
        <v>14</v>
      </c>
      <c r="D70" t="b">
        <v>0</v>
      </c>
      <c r="E70" t="s">
        <v>24</v>
      </c>
      <c r="F70" t="s">
        <v>31</v>
      </c>
      <c r="G70">
        <v>0.18</v>
      </c>
      <c r="H70">
        <v>0.19700000000000001</v>
      </c>
      <c r="I70">
        <v>0.55000000000000004</v>
      </c>
      <c r="J70">
        <v>0.1343</v>
      </c>
      <c r="K70">
        <v>1</v>
      </c>
      <c r="L70">
        <v>85</v>
      </c>
      <c r="M70">
        <v>86</v>
      </c>
    </row>
    <row r="71" spans="1:13" x14ac:dyDescent="0.3">
      <c r="A71">
        <v>680</v>
      </c>
      <c r="B71" s="1">
        <v>40574</v>
      </c>
      <c r="C71">
        <v>15</v>
      </c>
      <c r="D71" t="b">
        <v>0</v>
      </c>
      <c r="E71" t="s">
        <v>24</v>
      </c>
      <c r="F71" t="s">
        <v>31</v>
      </c>
      <c r="G71">
        <v>0.16</v>
      </c>
      <c r="H71">
        <v>0.18179999999999999</v>
      </c>
      <c r="I71">
        <v>0.59</v>
      </c>
      <c r="J71">
        <v>0.1343</v>
      </c>
      <c r="K71">
        <v>3</v>
      </c>
      <c r="L71">
        <v>41</v>
      </c>
      <c r="M71">
        <v>44</v>
      </c>
    </row>
    <row r="72" spans="1:13" x14ac:dyDescent="0.3">
      <c r="A72">
        <v>681</v>
      </c>
      <c r="B72" s="1">
        <v>40574</v>
      </c>
      <c r="C72">
        <v>16</v>
      </c>
      <c r="D72" t="b">
        <v>0</v>
      </c>
      <c r="E72" t="s">
        <v>24</v>
      </c>
      <c r="F72" t="s">
        <v>31</v>
      </c>
      <c r="G72">
        <v>0.16</v>
      </c>
      <c r="H72">
        <v>0.18179999999999999</v>
      </c>
      <c r="I72">
        <v>0.56000000000000005</v>
      </c>
      <c r="J72">
        <v>0.19400000000000001</v>
      </c>
      <c r="K72">
        <v>3</v>
      </c>
      <c r="L72">
        <v>83</v>
      </c>
      <c r="M72">
        <v>86</v>
      </c>
    </row>
    <row r="73" spans="1:13" x14ac:dyDescent="0.3">
      <c r="A73">
        <v>682</v>
      </c>
      <c r="B73" s="1">
        <v>40574</v>
      </c>
      <c r="C73">
        <v>17</v>
      </c>
      <c r="D73" t="b">
        <v>0</v>
      </c>
      <c r="E73" t="s">
        <v>24</v>
      </c>
      <c r="F73" t="s">
        <v>31</v>
      </c>
      <c r="G73">
        <v>0.16</v>
      </c>
      <c r="H73">
        <v>0.1515</v>
      </c>
      <c r="I73">
        <v>0.59</v>
      </c>
      <c r="J73">
        <v>0.19400000000000001</v>
      </c>
      <c r="K73">
        <v>6</v>
      </c>
      <c r="L73">
        <v>155</v>
      </c>
      <c r="M73">
        <v>161</v>
      </c>
    </row>
    <row r="74" spans="1:13" x14ac:dyDescent="0.3">
      <c r="A74">
        <v>683</v>
      </c>
      <c r="B74" s="1">
        <v>40574</v>
      </c>
      <c r="C74">
        <v>18</v>
      </c>
      <c r="D74" t="b">
        <v>0</v>
      </c>
      <c r="E74" t="s">
        <v>24</v>
      </c>
      <c r="F74" t="s">
        <v>31</v>
      </c>
      <c r="G74">
        <v>0.16</v>
      </c>
      <c r="H74">
        <v>0.1515</v>
      </c>
      <c r="I74">
        <v>0.55000000000000004</v>
      </c>
      <c r="J74">
        <v>0.22389999999999999</v>
      </c>
      <c r="K74">
        <v>3</v>
      </c>
      <c r="L74">
        <v>153</v>
      </c>
      <c r="M74">
        <v>156</v>
      </c>
    </row>
    <row r="75" spans="1:13" x14ac:dyDescent="0.3">
      <c r="A75">
        <v>684</v>
      </c>
      <c r="B75" s="1">
        <v>40574</v>
      </c>
      <c r="C75">
        <v>19</v>
      </c>
      <c r="D75" t="b">
        <v>0</v>
      </c>
      <c r="E75" t="s">
        <v>24</v>
      </c>
      <c r="F75" t="s">
        <v>30</v>
      </c>
      <c r="G75">
        <v>0.3</v>
      </c>
      <c r="H75">
        <v>0.31819999999999998</v>
      </c>
      <c r="I75">
        <v>0.61</v>
      </c>
      <c r="J75">
        <v>0.1045</v>
      </c>
      <c r="K75">
        <v>3</v>
      </c>
      <c r="L75">
        <v>108</v>
      </c>
      <c r="M75">
        <v>111</v>
      </c>
    </row>
    <row r="76" spans="1:13" x14ac:dyDescent="0.3">
      <c r="A76">
        <v>685</v>
      </c>
      <c r="B76" s="1">
        <v>40574</v>
      </c>
      <c r="C76">
        <v>20</v>
      </c>
      <c r="D76" t="b">
        <v>0</v>
      </c>
      <c r="E76" t="s">
        <v>24</v>
      </c>
      <c r="F76" t="s">
        <v>32</v>
      </c>
      <c r="G76">
        <v>0.16</v>
      </c>
      <c r="H76">
        <v>0.16669999999999999</v>
      </c>
      <c r="I76">
        <v>0.59</v>
      </c>
      <c r="J76">
        <v>0.16420000000000001</v>
      </c>
      <c r="K76">
        <v>0</v>
      </c>
      <c r="L76">
        <v>78</v>
      </c>
      <c r="M76">
        <v>78</v>
      </c>
    </row>
    <row r="77" spans="1:13" x14ac:dyDescent="0.3">
      <c r="A77">
        <v>686</v>
      </c>
      <c r="B77" s="1">
        <v>40574</v>
      </c>
      <c r="C77">
        <v>21</v>
      </c>
      <c r="D77" t="b">
        <v>0</v>
      </c>
      <c r="E77" t="s">
        <v>24</v>
      </c>
      <c r="F77" t="s">
        <v>32</v>
      </c>
      <c r="G77">
        <v>0.16</v>
      </c>
      <c r="H77">
        <v>0.19700000000000001</v>
      </c>
      <c r="I77">
        <v>0.59</v>
      </c>
      <c r="J77">
        <v>8.9599999999999999E-2</v>
      </c>
      <c r="K77">
        <v>3</v>
      </c>
      <c r="L77">
        <v>53</v>
      </c>
      <c r="M77">
        <v>56</v>
      </c>
    </row>
    <row r="78" spans="1:13" x14ac:dyDescent="0.3">
      <c r="A78">
        <v>687</v>
      </c>
      <c r="B78" s="1">
        <v>40574</v>
      </c>
      <c r="C78">
        <v>22</v>
      </c>
      <c r="D78" t="b">
        <v>0</v>
      </c>
      <c r="E78" t="s">
        <v>24</v>
      </c>
      <c r="F78" t="s">
        <v>31</v>
      </c>
      <c r="G78">
        <v>0.16</v>
      </c>
      <c r="H78">
        <v>0.18179999999999999</v>
      </c>
      <c r="I78">
        <v>0.59</v>
      </c>
      <c r="J78">
        <v>0.1045</v>
      </c>
      <c r="K78">
        <v>0</v>
      </c>
      <c r="L78">
        <v>34</v>
      </c>
      <c r="M78">
        <v>34</v>
      </c>
    </row>
    <row r="79" spans="1:13" x14ac:dyDescent="0.3">
      <c r="A79">
        <v>688</v>
      </c>
      <c r="B79" s="1">
        <v>40574</v>
      </c>
      <c r="C79">
        <v>23</v>
      </c>
      <c r="D79" t="b">
        <v>0</v>
      </c>
      <c r="E79" t="s">
        <v>24</v>
      </c>
      <c r="F79" t="s">
        <v>31</v>
      </c>
      <c r="G79">
        <v>0.16</v>
      </c>
      <c r="H79">
        <v>0.19700000000000001</v>
      </c>
      <c r="I79">
        <v>0.64</v>
      </c>
      <c r="J79">
        <v>8.9599999999999999E-2</v>
      </c>
      <c r="K79">
        <v>2</v>
      </c>
      <c r="L79">
        <v>15</v>
      </c>
      <c r="M79">
        <v>17</v>
      </c>
    </row>
    <row r="80" spans="1:13" x14ac:dyDescent="0.3">
      <c r="A80">
        <v>689</v>
      </c>
      <c r="B80" s="1">
        <v>40575</v>
      </c>
      <c r="C80">
        <v>0</v>
      </c>
      <c r="D80" t="b">
        <v>0</v>
      </c>
      <c r="E80" t="s">
        <v>25</v>
      </c>
      <c r="F80" t="s">
        <v>31</v>
      </c>
      <c r="G80">
        <v>0.16</v>
      </c>
      <c r="H80">
        <v>0.18179999999999999</v>
      </c>
      <c r="I80">
        <v>0.64</v>
      </c>
      <c r="J80">
        <v>0.1045</v>
      </c>
      <c r="K80">
        <v>2</v>
      </c>
      <c r="L80">
        <v>6</v>
      </c>
      <c r="M80">
        <v>8</v>
      </c>
    </row>
    <row r="81" spans="1:13" x14ac:dyDescent="0.3">
      <c r="A81">
        <v>690</v>
      </c>
      <c r="B81" s="1">
        <v>40575</v>
      </c>
      <c r="C81">
        <v>1</v>
      </c>
      <c r="D81" t="b">
        <v>0</v>
      </c>
      <c r="E81" t="s">
        <v>25</v>
      </c>
      <c r="F81" t="s">
        <v>31</v>
      </c>
      <c r="G81">
        <v>0.16</v>
      </c>
      <c r="H81">
        <v>0.18179999999999999</v>
      </c>
      <c r="I81">
        <v>0.69</v>
      </c>
      <c r="J81">
        <v>0.1045</v>
      </c>
      <c r="K81">
        <v>0</v>
      </c>
      <c r="L81">
        <v>3</v>
      </c>
      <c r="M81">
        <v>3</v>
      </c>
    </row>
    <row r="82" spans="1:13" x14ac:dyDescent="0.3">
      <c r="A82">
        <v>691</v>
      </c>
      <c r="B82" s="1">
        <v>40575</v>
      </c>
      <c r="C82">
        <v>2</v>
      </c>
      <c r="D82" t="b">
        <v>0</v>
      </c>
      <c r="E82" t="s">
        <v>25</v>
      </c>
      <c r="F82" t="s">
        <v>31</v>
      </c>
      <c r="G82">
        <v>0.16</v>
      </c>
      <c r="H82">
        <v>0.2273</v>
      </c>
      <c r="I82">
        <v>0.69</v>
      </c>
      <c r="J82">
        <v>0</v>
      </c>
      <c r="K82">
        <v>0</v>
      </c>
      <c r="L82">
        <v>2</v>
      </c>
      <c r="M82">
        <v>2</v>
      </c>
    </row>
    <row r="83" spans="1:13" x14ac:dyDescent="0.3">
      <c r="A83">
        <v>692</v>
      </c>
      <c r="B83" s="1">
        <v>40575</v>
      </c>
      <c r="C83">
        <v>3</v>
      </c>
      <c r="D83" t="b">
        <v>0</v>
      </c>
      <c r="E83" t="s">
        <v>25</v>
      </c>
      <c r="F83" t="s">
        <v>31</v>
      </c>
      <c r="G83">
        <v>0.16</v>
      </c>
      <c r="H83">
        <v>0.2273</v>
      </c>
      <c r="I83">
        <v>0.69</v>
      </c>
      <c r="J83">
        <v>0</v>
      </c>
      <c r="K83">
        <v>0</v>
      </c>
      <c r="L83">
        <v>2</v>
      </c>
      <c r="M83">
        <v>2</v>
      </c>
    </row>
    <row r="84" spans="1:13" x14ac:dyDescent="0.3">
      <c r="A84">
        <v>693</v>
      </c>
      <c r="B84" s="1">
        <v>40575</v>
      </c>
      <c r="C84">
        <v>5</v>
      </c>
      <c r="D84" t="b">
        <v>0</v>
      </c>
      <c r="E84" t="s">
        <v>25</v>
      </c>
      <c r="F84" t="s">
        <v>32</v>
      </c>
      <c r="G84">
        <v>0.14000000000000001</v>
      </c>
      <c r="H84">
        <v>0.21210000000000001</v>
      </c>
      <c r="I84">
        <v>0.93</v>
      </c>
      <c r="J84">
        <v>0</v>
      </c>
      <c r="K84">
        <v>0</v>
      </c>
      <c r="L84">
        <v>3</v>
      </c>
      <c r="M84">
        <v>3</v>
      </c>
    </row>
    <row r="85" spans="1:13" x14ac:dyDescent="0.3">
      <c r="A85">
        <v>694</v>
      </c>
      <c r="B85" s="1">
        <v>40575</v>
      </c>
      <c r="C85">
        <v>6</v>
      </c>
      <c r="D85" t="b">
        <v>0</v>
      </c>
      <c r="E85" t="s">
        <v>25</v>
      </c>
      <c r="F85" t="s">
        <v>32</v>
      </c>
      <c r="G85">
        <v>0.14000000000000001</v>
      </c>
      <c r="H85">
        <v>0.21210000000000001</v>
      </c>
      <c r="I85">
        <v>0.93</v>
      </c>
      <c r="J85">
        <v>0</v>
      </c>
      <c r="K85">
        <v>0</v>
      </c>
      <c r="L85">
        <v>22</v>
      </c>
      <c r="M85">
        <v>22</v>
      </c>
    </row>
    <row r="86" spans="1:13" x14ac:dyDescent="0.3">
      <c r="A86">
        <v>695</v>
      </c>
      <c r="B86" s="1">
        <v>40575</v>
      </c>
      <c r="C86">
        <v>7</v>
      </c>
      <c r="D86" t="b">
        <v>0</v>
      </c>
      <c r="E86" t="s">
        <v>25</v>
      </c>
      <c r="F86" t="s">
        <v>32</v>
      </c>
      <c r="G86">
        <v>0.16</v>
      </c>
      <c r="H86">
        <v>0.2273</v>
      </c>
      <c r="I86">
        <v>0.93</v>
      </c>
      <c r="J86">
        <v>0</v>
      </c>
      <c r="K86">
        <v>0</v>
      </c>
      <c r="L86">
        <v>52</v>
      </c>
      <c r="M86">
        <v>52</v>
      </c>
    </row>
    <row r="87" spans="1:13" x14ac:dyDescent="0.3">
      <c r="A87">
        <v>696</v>
      </c>
      <c r="B87" s="1">
        <v>40575</v>
      </c>
      <c r="C87">
        <v>8</v>
      </c>
      <c r="D87" t="b">
        <v>0</v>
      </c>
      <c r="E87" t="s">
        <v>25</v>
      </c>
      <c r="F87" t="s">
        <v>32</v>
      </c>
      <c r="G87">
        <v>0.16</v>
      </c>
      <c r="H87">
        <v>0.2273</v>
      </c>
      <c r="I87">
        <v>0.93</v>
      </c>
      <c r="J87">
        <v>0</v>
      </c>
      <c r="K87">
        <v>3</v>
      </c>
      <c r="L87">
        <v>132</v>
      </c>
      <c r="M87">
        <v>135</v>
      </c>
    </row>
    <row r="88" spans="1:13" x14ac:dyDescent="0.3">
      <c r="A88">
        <v>697</v>
      </c>
      <c r="B88" s="1">
        <v>40575</v>
      </c>
      <c r="C88">
        <v>9</v>
      </c>
      <c r="D88" t="b">
        <v>0</v>
      </c>
      <c r="E88" t="s">
        <v>25</v>
      </c>
      <c r="F88" t="s">
        <v>31</v>
      </c>
      <c r="G88">
        <v>0.16</v>
      </c>
      <c r="H88">
        <v>0.2273</v>
      </c>
      <c r="I88">
        <v>0.93</v>
      </c>
      <c r="J88">
        <v>0</v>
      </c>
      <c r="K88">
        <v>2</v>
      </c>
      <c r="L88">
        <v>114</v>
      </c>
      <c r="M88">
        <v>116</v>
      </c>
    </row>
    <row r="89" spans="1:13" x14ac:dyDescent="0.3">
      <c r="A89">
        <v>698</v>
      </c>
      <c r="B89" s="1">
        <v>40575</v>
      </c>
      <c r="C89">
        <v>10</v>
      </c>
      <c r="D89" t="b">
        <v>0</v>
      </c>
      <c r="E89" t="s">
        <v>25</v>
      </c>
      <c r="F89" t="s">
        <v>31</v>
      </c>
      <c r="G89">
        <v>0.16</v>
      </c>
      <c r="H89">
        <v>0.2273</v>
      </c>
      <c r="I89">
        <v>0.93</v>
      </c>
      <c r="J89">
        <v>0</v>
      </c>
      <c r="K89">
        <v>0</v>
      </c>
      <c r="L89">
        <v>47</v>
      </c>
      <c r="M89">
        <v>47</v>
      </c>
    </row>
    <row r="90" spans="1:13" x14ac:dyDescent="0.3">
      <c r="A90">
        <v>699</v>
      </c>
      <c r="B90" s="1">
        <v>40575</v>
      </c>
      <c r="C90">
        <v>11</v>
      </c>
      <c r="D90" t="b">
        <v>0</v>
      </c>
      <c r="E90" t="s">
        <v>25</v>
      </c>
      <c r="F90" t="s">
        <v>31</v>
      </c>
      <c r="G90">
        <v>0.18</v>
      </c>
      <c r="H90">
        <v>0.2424</v>
      </c>
      <c r="I90">
        <v>0.86</v>
      </c>
      <c r="J90">
        <v>0</v>
      </c>
      <c r="K90">
        <v>2</v>
      </c>
      <c r="L90">
        <v>49</v>
      </c>
      <c r="M90">
        <v>51</v>
      </c>
    </row>
    <row r="91" spans="1:13" x14ac:dyDescent="0.3">
      <c r="A91">
        <v>700</v>
      </c>
      <c r="B91" s="1">
        <v>40575</v>
      </c>
      <c r="C91">
        <v>12</v>
      </c>
      <c r="D91" t="b">
        <v>0</v>
      </c>
      <c r="E91" t="s">
        <v>25</v>
      </c>
      <c r="F91" t="s">
        <v>31</v>
      </c>
      <c r="G91">
        <v>0.2</v>
      </c>
      <c r="H91">
        <v>0.2576</v>
      </c>
      <c r="I91">
        <v>0.86</v>
      </c>
      <c r="J91">
        <v>0</v>
      </c>
      <c r="K91">
        <v>2</v>
      </c>
      <c r="L91">
        <v>53</v>
      </c>
      <c r="M91">
        <v>55</v>
      </c>
    </row>
    <row r="92" spans="1:13" x14ac:dyDescent="0.3">
      <c r="A92">
        <v>701</v>
      </c>
      <c r="B92" s="1">
        <v>40575</v>
      </c>
      <c r="C92">
        <v>13</v>
      </c>
      <c r="D92" t="b">
        <v>0</v>
      </c>
      <c r="E92" t="s">
        <v>25</v>
      </c>
      <c r="F92" t="s">
        <v>31</v>
      </c>
      <c r="G92">
        <v>0.2</v>
      </c>
      <c r="H92">
        <v>0.2576</v>
      </c>
      <c r="I92">
        <v>0.86</v>
      </c>
      <c r="J92">
        <v>0</v>
      </c>
      <c r="K92">
        <v>3</v>
      </c>
      <c r="L92">
        <v>49</v>
      </c>
      <c r="M92">
        <v>52</v>
      </c>
    </row>
    <row r="93" spans="1:13" x14ac:dyDescent="0.3">
      <c r="A93">
        <v>702</v>
      </c>
      <c r="B93" s="1">
        <v>40575</v>
      </c>
      <c r="C93">
        <v>14</v>
      </c>
      <c r="D93" t="b">
        <v>0</v>
      </c>
      <c r="E93" t="s">
        <v>25</v>
      </c>
      <c r="F93" t="s">
        <v>31</v>
      </c>
      <c r="G93">
        <v>0.22</v>
      </c>
      <c r="H93">
        <v>0.2576</v>
      </c>
      <c r="I93">
        <v>0.8</v>
      </c>
      <c r="J93">
        <v>8.9599999999999999E-2</v>
      </c>
      <c r="K93">
        <v>5</v>
      </c>
      <c r="L93">
        <v>49</v>
      </c>
      <c r="M93">
        <v>54</v>
      </c>
    </row>
    <row r="94" spans="1:13" x14ac:dyDescent="0.3">
      <c r="A94">
        <v>703</v>
      </c>
      <c r="B94" s="1">
        <v>40575</v>
      </c>
      <c r="C94">
        <v>15</v>
      </c>
      <c r="D94" t="b">
        <v>0</v>
      </c>
      <c r="E94" t="s">
        <v>25</v>
      </c>
      <c r="F94" t="s">
        <v>31</v>
      </c>
      <c r="G94">
        <v>0.24</v>
      </c>
      <c r="H94">
        <v>0.28789999999999999</v>
      </c>
      <c r="I94">
        <v>0.75</v>
      </c>
      <c r="J94">
        <v>0</v>
      </c>
      <c r="K94">
        <v>7</v>
      </c>
      <c r="L94">
        <v>45</v>
      </c>
      <c r="M94">
        <v>52</v>
      </c>
    </row>
    <row r="95" spans="1:13" x14ac:dyDescent="0.3">
      <c r="A95">
        <v>704</v>
      </c>
      <c r="B95" s="1">
        <v>40575</v>
      </c>
      <c r="C95">
        <v>16</v>
      </c>
      <c r="D95" t="b">
        <v>0</v>
      </c>
      <c r="E95" t="s">
        <v>25</v>
      </c>
      <c r="F95" t="s">
        <v>31</v>
      </c>
      <c r="G95">
        <v>0.24</v>
      </c>
      <c r="H95">
        <v>0.2424</v>
      </c>
      <c r="I95">
        <v>0.75</v>
      </c>
      <c r="J95">
        <v>0.1343</v>
      </c>
      <c r="K95">
        <v>3</v>
      </c>
      <c r="L95">
        <v>61</v>
      </c>
      <c r="M95">
        <v>64</v>
      </c>
    </row>
    <row r="96" spans="1:13" x14ac:dyDescent="0.3">
      <c r="A96">
        <v>705</v>
      </c>
      <c r="B96" s="1">
        <v>40575</v>
      </c>
      <c r="C96">
        <v>17</v>
      </c>
      <c r="D96" t="b">
        <v>0</v>
      </c>
      <c r="E96" t="s">
        <v>25</v>
      </c>
      <c r="F96" t="s">
        <v>31</v>
      </c>
      <c r="G96">
        <v>0.24</v>
      </c>
      <c r="H96">
        <v>0.28789999999999999</v>
      </c>
      <c r="I96">
        <v>0.75</v>
      </c>
      <c r="J96">
        <v>0</v>
      </c>
      <c r="K96">
        <v>4</v>
      </c>
      <c r="L96">
        <v>172</v>
      </c>
      <c r="M96">
        <v>176</v>
      </c>
    </row>
    <row r="97" spans="1:13" x14ac:dyDescent="0.3">
      <c r="A97">
        <v>706</v>
      </c>
      <c r="B97" s="1">
        <v>40575</v>
      </c>
      <c r="C97">
        <v>18</v>
      </c>
      <c r="D97" t="b">
        <v>0</v>
      </c>
      <c r="E97" t="s">
        <v>25</v>
      </c>
      <c r="F97" t="s">
        <v>31</v>
      </c>
      <c r="G97">
        <v>0.24</v>
      </c>
      <c r="H97">
        <v>0.2576</v>
      </c>
      <c r="I97">
        <v>0.81</v>
      </c>
      <c r="J97">
        <v>0.1045</v>
      </c>
      <c r="K97">
        <v>3</v>
      </c>
      <c r="L97">
        <v>165</v>
      </c>
      <c r="M97">
        <v>168</v>
      </c>
    </row>
    <row r="98" spans="1:13" x14ac:dyDescent="0.3">
      <c r="A98">
        <v>707</v>
      </c>
      <c r="B98" s="1">
        <v>40575</v>
      </c>
      <c r="C98">
        <v>19</v>
      </c>
      <c r="D98" t="b">
        <v>0</v>
      </c>
      <c r="E98" t="s">
        <v>25</v>
      </c>
      <c r="F98" t="s">
        <v>31</v>
      </c>
      <c r="G98">
        <v>0.24</v>
      </c>
      <c r="H98">
        <v>0.2424</v>
      </c>
      <c r="I98">
        <v>0.81</v>
      </c>
      <c r="J98">
        <v>0.1343</v>
      </c>
      <c r="K98">
        <v>3</v>
      </c>
      <c r="L98">
        <v>105</v>
      </c>
      <c r="M98">
        <v>108</v>
      </c>
    </row>
    <row r="99" spans="1:13" x14ac:dyDescent="0.3">
      <c r="A99">
        <v>708</v>
      </c>
      <c r="B99" s="1">
        <v>40575</v>
      </c>
      <c r="C99">
        <v>20</v>
      </c>
      <c r="D99" t="b">
        <v>0</v>
      </c>
      <c r="E99" t="s">
        <v>25</v>
      </c>
      <c r="F99" t="s">
        <v>31</v>
      </c>
      <c r="G99">
        <v>0.22</v>
      </c>
      <c r="H99">
        <v>0.2273</v>
      </c>
      <c r="I99">
        <v>0.87</v>
      </c>
      <c r="J99">
        <v>0.1343</v>
      </c>
      <c r="K99">
        <v>5</v>
      </c>
      <c r="L99">
        <v>69</v>
      </c>
      <c r="M99">
        <v>74</v>
      </c>
    </row>
    <row r="100" spans="1:13" x14ac:dyDescent="0.3">
      <c r="A100">
        <v>709</v>
      </c>
      <c r="B100" s="1">
        <v>40575</v>
      </c>
      <c r="C100">
        <v>21</v>
      </c>
      <c r="D100" t="b">
        <v>0</v>
      </c>
      <c r="E100" t="s">
        <v>25</v>
      </c>
      <c r="F100" t="s">
        <v>31</v>
      </c>
      <c r="G100">
        <v>0.22</v>
      </c>
      <c r="H100">
        <v>0.2273</v>
      </c>
      <c r="I100">
        <v>0.87</v>
      </c>
      <c r="J100">
        <v>0.1343</v>
      </c>
      <c r="K100">
        <v>0</v>
      </c>
      <c r="L100">
        <v>64</v>
      </c>
      <c r="M100">
        <v>64</v>
      </c>
    </row>
    <row r="101" spans="1:13" x14ac:dyDescent="0.3">
      <c r="A101">
        <v>710</v>
      </c>
      <c r="B101" s="1">
        <v>40575</v>
      </c>
      <c r="C101">
        <v>22</v>
      </c>
      <c r="D101" t="b">
        <v>0</v>
      </c>
      <c r="E101" t="s">
        <v>25</v>
      </c>
      <c r="F101" t="s">
        <v>31</v>
      </c>
      <c r="G101">
        <v>0.22</v>
      </c>
      <c r="H101">
        <v>0.2576</v>
      </c>
      <c r="I101">
        <v>0.87</v>
      </c>
      <c r="J101">
        <v>8.9599999999999999E-2</v>
      </c>
      <c r="K101">
        <v>2</v>
      </c>
      <c r="L101">
        <v>34</v>
      </c>
      <c r="M101">
        <v>36</v>
      </c>
    </row>
    <row r="102" spans="1:13" x14ac:dyDescent="0.3">
      <c r="A102">
        <v>711</v>
      </c>
      <c r="B102" s="1">
        <v>40575</v>
      </c>
      <c r="C102">
        <v>23</v>
      </c>
      <c r="D102" t="b">
        <v>0</v>
      </c>
      <c r="E102" t="s">
        <v>25</v>
      </c>
      <c r="F102" t="s">
        <v>32</v>
      </c>
      <c r="G102">
        <v>0.2</v>
      </c>
      <c r="H102">
        <v>0.19700000000000001</v>
      </c>
      <c r="I102">
        <v>0.93</v>
      </c>
      <c r="J102">
        <v>0.19400000000000001</v>
      </c>
      <c r="K102">
        <v>1</v>
      </c>
      <c r="L102">
        <v>15</v>
      </c>
      <c r="M102">
        <v>16</v>
      </c>
    </row>
    <row r="103" spans="1:13" x14ac:dyDescent="0.3">
      <c r="A103">
        <v>712</v>
      </c>
      <c r="B103" s="1">
        <v>40576</v>
      </c>
      <c r="C103">
        <v>0</v>
      </c>
      <c r="D103" t="b">
        <v>0</v>
      </c>
      <c r="E103" t="s">
        <v>26</v>
      </c>
      <c r="F103" t="s">
        <v>32</v>
      </c>
      <c r="G103">
        <v>0.22</v>
      </c>
      <c r="H103">
        <v>0.2424</v>
      </c>
      <c r="I103">
        <v>0.93</v>
      </c>
      <c r="J103">
        <v>0.1045</v>
      </c>
      <c r="K103">
        <v>0</v>
      </c>
      <c r="L103">
        <v>2</v>
      </c>
      <c r="M103">
        <v>2</v>
      </c>
    </row>
    <row r="104" spans="1:13" x14ac:dyDescent="0.3">
      <c r="A104">
        <v>713</v>
      </c>
      <c r="B104" s="1">
        <v>40576</v>
      </c>
      <c r="C104">
        <v>1</v>
      </c>
      <c r="D104" t="b">
        <v>0</v>
      </c>
      <c r="E104" t="s">
        <v>26</v>
      </c>
      <c r="F104" t="s">
        <v>32</v>
      </c>
      <c r="G104">
        <v>0.22</v>
      </c>
      <c r="H104">
        <v>0.2273</v>
      </c>
      <c r="I104">
        <v>0.93</v>
      </c>
      <c r="J104">
        <v>0.19400000000000001</v>
      </c>
      <c r="K104">
        <v>0</v>
      </c>
      <c r="L104">
        <v>3</v>
      </c>
      <c r="M104">
        <v>3</v>
      </c>
    </row>
    <row r="105" spans="1:13" x14ac:dyDescent="0.3">
      <c r="A105">
        <v>714</v>
      </c>
      <c r="B105" s="1">
        <v>40576</v>
      </c>
      <c r="C105">
        <v>2</v>
      </c>
      <c r="D105" t="b">
        <v>0</v>
      </c>
      <c r="E105" t="s">
        <v>26</v>
      </c>
      <c r="F105" t="s">
        <v>32</v>
      </c>
      <c r="G105">
        <v>0.22</v>
      </c>
      <c r="H105">
        <v>0.2273</v>
      </c>
      <c r="I105">
        <v>0.93</v>
      </c>
      <c r="J105">
        <v>0.1343</v>
      </c>
      <c r="K105">
        <v>4</v>
      </c>
      <c r="L105">
        <v>0</v>
      </c>
      <c r="M105">
        <v>4</v>
      </c>
    </row>
    <row r="106" spans="1:13" x14ac:dyDescent="0.3">
      <c r="A106">
        <v>715</v>
      </c>
      <c r="B106" s="1">
        <v>40576</v>
      </c>
      <c r="C106">
        <v>3</v>
      </c>
      <c r="D106" t="b">
        <v>0</v>
      </c>
      <c r="E106" t="s">
        <v>26</v>
      </c>
      <c r="F106" t="s">
        <v>32</v>
      </c>
      <c r="G106">
        <v>0.22</v>
      </c>
      <c r="H106">
        <v>0.2273</v>
      </c>
      <c r="I106">
        <v>0.93</v>
      </c>
      <c r="J106">
        <v>0.1343</v>
      </c>
      <c r="K106">
        <v>0</v>
      </c>
      <c r="L106">
        <v>1</v>
      </c>
      <c r="M106">
        <v>1</v>
      </c>
    </row>
    <row r="107" spans="1:13" x14ac:dyDescent="0.3">
      <c r="A107">
        <v>716</v>
      </c>
      <c r="B107" s="1">
        <v>40576</v>
      </c>
      <c r="C107">
        <v>4</v>
      </c>
      <c r="D107" t="b">
        <v>0</v>
      </c>
      <c r="E107" t="s">
        <v>26</v>
      </c>
      <c r="F107" t="s">
        <v>32</v>
      </c>
      <c r="G107">
        <v>0.22</v>
      </c>
      <c r="H107">
        <v>0.21210000000000001</v>
      </c>
      <c r="I107">
        <v>0.93</v>
      </c>
      <c r="J107">
        <v>0.28360000000000002</v>
      </c>
      <c r="K107">
        <v>0</v>
      </c>
      <c r="L107">
        <v>1</v>
      </c>
      <c r="M107">
        <v>1</v>
      </c>
    </row>
    <row r="108" spans="1:13" x14ac:dyDescent="0.3">
      <c r="A108">
        <v>717</v>
      </c>
      <c r="B108" s="1">
        <v>40576</v>
      </c>
      <c r="C108">
        <v>5</v>
      </c>
      <c r="D108" t="b">
        <v>0</v>
      </c>
      <c r="E108" t="s">
        <v>26</v>
      </c>
      <c r="F108" t="s">
        <v>32</v>
      </c>
      <c r="G108">
        <v>0.22</v>
      </c>
      <c r="H108">
        <v>0.2424</v>
      </c>
      <c r="I108">
        <v>0.93</v>
      </c>
      <c r="J108">
        <v>0.1045</v>
      </c>
      <c r="K108">
        <v>0</v>
      </c>
      <c r="L108">
        <v>3</v>
      </c>
      <c r="M108">
        <v>3</v>
      </c>
    </row>
    <row r="109" spans="1:13" x14ac:dyDescent="0.3">
      <c r="A109">
        <v>718</v>
      </c>
      <c r="B109" s="1">
        <v>40576</v>
      </c>
      <c r="C109">
        <v>6</v>
      </c>
      <c r="D109" t="b">
        <v>0</v>
      </c>
      <c r="E109" t="s">
        <v>26</v>
      </c>
      <c r="F109" t="s">
        <v>32</v>
      </c>
      <c r="G109">
        <v>0.22</v>
      </c>
      <c r="H109">
        <v>0.2424</v>
      </c>
      <c r="I109">
        <v>0.93</v>
      </c>
      <c r="J109">
        <v>0.1045</v>
      </c>
      <c r="K109">
        <v>1</v>
      </c>
      <c r="L109">
        <v>17</v>
      </c>
      <c r="M109">
        <v>18</v>
      </c>
    </row>
    <row r="110" spans="1:13" x14ac:dyDescent="0.3">
      <c r="A110">
        <v>719</v>
      </c>
      <c r="B110" s="1">
        <v>40576</v>
      </c>
      <c r="C110">
        <v>7</v>
      </c>
      <c r="D110" t="b">
        <v>0</v>
      </c>
      <c r="E110" t="s">
        <v>26</v>
      </c>
      <c r="F110" t="s">
        <v>32</v>
      </c>
      <c r="G110">
        <v>0.22</v>
      </c>
      <c r="H110">
        <v>0.21210000000000001</v>
      </c>
      <c r="I110">
        <v>0.93</v>
      </c>
      <c r="J110">
        <v>0.22389999999999999</v>
      </c>
      <c r="K110">
        <v>1</v>
      </c>
      <c r="L110">
        <v>48</v>
      </c>
      <c r="M110">
        <v>49</v>
      </c>
    </row>
    <row r="111" spans="1:13" x14ac:dyDescent="0.3">
      <c r="A111">
        <v>720</v>
      </c>
      <c r="B111" s="1">
        <v>40576</v>
      </c>
      <c r="C111">
        <v>8</v>
      </c>
      <c r="D111" t="b">
        <v>0</v>
      </c>
      <c r="E111" t="s">
        <v>26</v>
      </c>
      <c r="F111" t="s">
        <v>32</v>
      </c>
      <c r="G111">
        <v>0.22</v>
      </c>
      <c r="H111">
        <v>0.21210000000000001</v>
      </c>
      <c r="I111">
        <v>0.93</v>
      </c>
      <c r="J111">
        <v>0.22389999999999999</v>
      </c>
      <c r="K111">
        <v>1</v>
      </c>
      <c r="L111">
        <v>154</v>
      </c>
      <c r="M111">
        <v>155</v>
      </c>
    </row>
    <row r="112" spans="1:13" x14ac:dyDescent="0.3">
      <c r="A112">
        <v>721</v>
      </c>
      <c r="B112" s="1">
        <v>40576</v>
      </c>
      <c r="C112">
        <v>9</v>
      </c>
      <c r="D112" t="b">
        <v>0</v>
      </c>
      <c r="E112" t="s">
        <v>26</v>
      </c>
      <c r="F112" t="s">
        <v>31</v>
      </c>
      <c r="G112">
        <v>0.24</v>
      </c>
      <c r="H112">
        <v>0.2576</v>
      </c>
      <c r="I112">
        <v>0.93</v>
      </c>
      <c r="J112">
        <v>8.9599999999999999E-2</v>
      </c>
      <c r="K112">
        <v>4</v>
      </c>
      <c r="L112">
        <v>119</v>
      </c>
      <c r="M112">
        <v>123</v>
      </c>
    </row>
    <row r="113" spans="1:13" x14ac:dyDescent="0.3">
      <c r="A113">
        <v>722</v>
      </c>
      <c r="B113" s="1">
        <v>40576</v>
      </c>
      <c r="C113">
        <v>10</v>
      </c>
      <c r="D113" t="b">
        <v>0</v>
      </c>
      <c r="E113" t="s">
        <v>26</v>
      </c>
      <c r="F113" t="s">
        <v>31</v>
      </c>
      <c r="G113">
        <v>0.22</v>
      </c>
      <c r="H113">
        <v>0.2727</v>
      </c>
      <c r="I113">
        <v>1</v>
      </c>
      <c r="J113">
        <v>0</v>
      </c>
      <c r="K113">
        <v>2</v>
      </c>
      <c r="L113">
        <v>59</v>
      </c>
      <c r="M113">
        <v>61</v>
      </c>
    </row>
    <row r="114" spans="1:13" x14ac:dyDescent="0.3">
      <c r="A114">
        <v>723</v>
      </c>
      <c r="B114" s="1">
        <v>40576</v>
      </c>
      <c r="C114">
        <v>11</v>
      </c>
      <c r="D114" t="b">
        <v>0</v>
      </c>
      <c r="E114" t="s">
        <v>26</v>
      </c>
      <c r="F114" t="s">
        <v>31</v>
      </c>
      <c r="G114">
        <v>0.24</v>
      </c>
      <c r="H114">
        <v>0.2273</v>
      </c>
      <c r="I114">
        <v>0.93</v>
      </c>
      <c r="J114">
        <v>0.19400000000000001</v>
      </c>
      <c r="K114">
        <v>5</v>
      </c>
      <c r="L114">
        <v>47</v>
      </c>
      <c r="M114">
        <v>52</v>
      </c>
    </row>
    <row r="115" spans="1:13" x14ac:dyDescent="0.3">
      <c r="A115">
        <v>724</v>
      </c>
      <c r="B115" s="1">
        <v>40576</v>
      </c>
      <c r="C115">
        <v>12</v>
      </c>
      <c r="D115" t="b">
        <v>0</v>
      </c>
      <c r="E115" t="s">
        <v>26</v>
      </c>
      <c r="F115" t="s">
        <v>31</v>
      </c>
      <c r="G115">
        <v>0.24</v>
      </c>
      <c r="H115">
        <v>0.2273</v>
      </c>
      <c r="I115">
        <v>0.93</v>
      </c>
      <c r="J115">
        <v>0.22389999999999999</v>
      </c>
      <c r="K115">
        <v>3</v>
      </c>
      <c r="L115">
        <v>61</v>
      </c>
      <c r="M115">
        <v>64</v>
      </c>
    </row>
    <row r="116" spans="1:13" x14ac:dyDescent="0.3">
      <c r="A116">
        <v>725</v>
      </c>
      <c r="B116" s="1">
        <v>40576</v>
      </c>
      <c r="C116">
        <v>13</v>
      </c>
      <c r="D116" t="b">
        <v>0</v>
      </c>
      <c r="E116" t="s">
        <v>26</v>
      </c>
      <c r="F116" t="s">
        <v>30</v>
      </c>
      <c r="G116">
        <v>0.34</v>
      </c>
      <c r="H116">
        <v>0.33329999999999999</v>
      </c>
      <c r="I116">
        <v>0.93</v>
      </c>
      <c r="J116">
        <v>0.16420000000000001</v>
      </c>
      <c r="K116">
        <v>1</v>
      </c>
      <c r="L116">
        <v>74</v>
      </c>
      <c r="M116">
        <v>75</v>
      </c>
    </row>
    <row r="117" spans="1:13" x14ac:dyDescent="0.3">
      <c r="A117">
        <v>726</v>
      </c>
      <c r="B117" s="1">
        <v>40576</v>
      </c>
      <c r="C117">
        <v>14</v>
      </c>
      <c r="D117" t="b">
        <v>0</v>
      </c>
      <c r="E117" t="s">
        <v>26</v>
      </c>
      <c r="F117" t="s">
        <v>30</v>
      </c>
      <c r="G117">
        <v>0.38</v>
      </c>
      <c r="H117">
        <v>0.39389999999999997</v>
      </c>
      <c r="I117">
        <v>0.82</v>
      </c>
      <c r="J117">
        <v>0.3881</v>
      </c>
      <c r="K117">
        <v>2</v>
      </c>
      <c r="L117">
        <v>61</v>
      </c>
      <c r="M117">
        <v>63</v>
      </c>
    </row>
    <row r="118" spans="1:13" x14ac:dyDescent="0.3">
      <c r="A118">
        <v>727</v>
      </c>
      <c r="B118" s="1">
        <v>40576</v>
      </c>
      <c r="C118">
        <v>15</v>
      </c>
      <c r="D118" t="b">
        <v>0</v>
      </c>
      <c r="E118" t="s">
        <v>26</v>
      </c>
      <c r="F118" t="s">
        <v>30</v>
      </c>
      <c r="G118">
        <v>0.38</v>
      </c>
      <c r="H118">
        <v>0.39389999999999997</v>
      </c>
      <c r="I118">
        <v>0.76</v>
      </c>
      <c r="J118">
        <v>0.32840000000000003</v>
      </c>
      <c r="K118">
        <v>10</v>
      </c>
      <c r="L118">
        <v>66</v>
      </c>
      <c r="M118">
        <v>76</v>
      </c>
    </row>
    <row r="119" spans="1:13" x14ac:dyDescent="0.3">
      <c r="A119">
        <v>728</v>
      </c>
      <c r="B119" s="1">
        <v>40576</v>
      </c>
      <c r="C119">
        <v>16</v>
      </c>
      <c r="D119" t="b">
        <v>0</v>
      </c>
      <c r="E119" t="s">
        <v>26</v>
      </c>
      <c r="F119" t="s">
        <v>30</v>
      </c>
      <c r="G119">
        <v>0.36</v>
      </c>
      <c r="H119">
        <v>0.33329999999999999</v>
      </c>
      <c r="I119">
        <v>0.71</v>
      </c>
      <c r="J119">
        <v>0.29849999999999999</v>
      </c>
      <c r="K119">
        <v>8</v>
      </c>
      <c r="L119">
        <v>95</v>
      </c>
      <c r="M119">
        <v>103</v>
      </c>
    </row>
    <row r="120" spans="1:13" x14ac:dyDescent="0.3">
      <c r="A120">
        <v>729</v>
      </c>
      <c r="B120" s="1">
        <v>40576</v>
      </c>
      <c r="C120">
        <v>17</v>
      </c>
      <c r="D120" t="b">
        <v>0</v>
      </c>
      <c r="E120" t="s">
        <v>26</v>
      </c>
      <c r="F120" t="s">
        <v>30</v>
      </c>
      <c r="G120">
        <v>0.36</v>
      </c>
      <c r="H120">
        <v>0.31819999999999998</v>
      </c>
      <c r="I120">
        <v>0.53</v>
      </c>
      <c r="J120">
        <v>0.52239999999999998</v>
      </c>
      <c r="K120">
        <v>7</v>
      </c>
      <c r="L120">
        <v>183</v>
      </c>
      <c r="M120">
        <v>190</v>
      </c>
    </row>
    <row r="121" spans="1:13" x14ac:dyDescent="0.3">
      <c r="A121">
        <v>730</v>
      </c>
      <c r="B121" s="1">
        <v>40576</v>
      </c>
      <c r="C121">
        <v>18</v>
      </c>
      <c r="D121" t="b">
        <v>0</v>
      </c>
      <c r="E121" t="s">
        <v>26</v>
      </c>
      <c r="F121" t="s">
        <v>30</v>
      </c>
      <c r="G121">
        <v>0.34</v>
      </c>
      <c r="H121">
        <v>0.28789999999999999</v>
      </c>
      <c r="I121">
        <v>0.42</v>
      </c>
      <c r="J121">
        <v>0.55220000000000002</v>
      </c>
      <c r="K121">
        <v>7</v>
      </c>
      <c r="L121">
        <v>175</v>
      </c>
      <c r="M121">
        <v>182</v>
      </c>
    </row>
    <row r="122" spans="1:13" x14ac:dyDescent="0.3">
      <c r="A122">
        <v>731</v>
      </c>
      <c r="B122" s="1">
        <v>40576</v>
      </c>
      <c r="C122">
        <v>19</v>
      </c>
      <c r="D122" t="b">
        <v>0</v>
      </c>
      <c r="E122" t="s">
        <v>26</v>
      </c>
      <c r="F122" t="s">
        <v>30</v>
      </c>
      <c r="G122">
        <v>0.28000000000000003</v>
      </c>
      <c r="H122">
        <v>0.2424</v>
      </c>
      <c r="I122">
        <v>0.45</v>
      </c>
      <c r="J122">
        <v>0.49249999999999999</v>
      </c>
      <c r="K122">
        <v>3</v>
      </c>
      <c r="L122">
        <v>88</v>
      </c>
      <c r="M122">
        <v>91</v>
      </c>
    </row>
    <row r="123" spans="1:13" x14ac:dyDescent="0.3">
      <c r="A123">
        <v>732</v>
      </c>
      <c r="B123" s="1">
        <v>40576</v>
      </c>
      <c r="C123">
        <v>20</v>
      </c>
      <c r="D123" t="b">
        <v>0</v>
      </c>
      <c r="E123" t="s">
        <v>26</v>
      </c>
      <c r="F123" t="s">
        <v>30</v>
      </c>
      <c r="G123">
        <v>0.24</v>
      </c>
      <c r="H123">
        <v>0.19700000000000001</v>
      </c>
      <c r="I123">
        <v>0.48</v>
      </c>
      <c r="J123">
        <v>0.55220000000000002</v>
      </c>
      <c r="K123">
        <v>4</v>
      </c>
      <c r="L123">
        <v>71</v>
      </c>
      <c r="M123">
        <v>75</v>
      </c>
    </row>
    <row r="124" spans="1:13" x14ac:dyDescent="0.3">
      <c r="A124">
        <v>733</v>
      </c>
      <c r="B124" s="1">
        <v>40576</v>
      </c>
      <c r="C124">
        <v>21</v>
      </c>
      <c r="D124" t="b">
        <v>0</v>
      </c>
      <c r="E124" t="s">
        <v>26</v>
      </c>
      <c r="F124" t="s">
        <v>30</v>
      </c>
      <c r="G124">
        <v>0.22</v>
      </c>
      <c r="H124">
        <v>0.19700000000000001</v>
      </c>
      <c r="I124">
        <v>0.47</v>
      </c>
      <c r="J124">
        <v>0.32840000000000003</v>
      </c>
      <c r="K124">
        <v>1</v>
      </c>
      <c r="L124">
        <v>62</v>
      </c>
      <c r="M124">
        <v>63</v>
      </c>
    </row>
    <row r="125" spans="1:13" x14ac:dyDescent="0.3">
      <c r="A125">
        <v>734</v>
      </c>
      <c r="B125" s="1">
        <v>40576</v>
      </c>
      <c r="C125">
        <v>22</v>
      </c>
      <c r="D125" t="b">
        <v>0</v>
      </c>
      <c r="E125" t="s">
        <v>26</v>
      </c>
      <c r="F125" t="s">
        <v>30</v>
      </c>
      <c r="G125">
        <v>0.22</v>
      </c>
      <c r="H125">
        <v>0.21210000000000001</v>
      </c>
      <c r="I125">
        <v>0.44</v>
      </c>
      <c r="J125">
        <v>0.25369999999999998</v>
      </c>
      <c r="K125">
        <v>5</v>
      </c>
      <c r="L125">
        <v>35</v>
      </c>
      <c r="M125">
        <v>40</v>
      </c>
    </row>
    <row r="126" spans="1:13" x14ac:dyDescent="0.3">
      <c r="A126">
        <v>735</v>
      </c>
      <c r="B126" s="1">
        <v>40576</v>
      </c>
      <c r="C126">
        <v>23</v>
      </c>
      <c r="D126" t="b">
        <v>0</v>
      </c>
      <c r="E126" t="s">
        <v>26</v>
      </c>
      <c r="F126" t="s">
        <v>30</v>
      </c>
      <c r="G126">
        <v>0.2</v>
      </c>
      <c r="H126">
        <v>0.16669999999999999</v>
      </c>
      <c r="I126">
        <v>0.44</v>
      </c>
      <c r="J126">
        <v>0.44779999999999998</v>
      </c>
      <c r="K126">
        <v>3</v>
      </c>
      <c r="L126">
        <v>29</v>
      </c>
      <c r="M126">
        <v>32</v>
      </c>
    </row>
    <row r="127" spans="1:13" x14ac:dyDescent="0.3">
      <c r="A127">
        <v>736</v>
      </c>
      <c r="B127" s="1">
        <v>40577</v>
      </c>
      <c r="C127">
        <v>0</v>
      </c>
      <c r="D127" t="b">
        <v>0</v>
      </c>
      <c r="E127" t="s">
        <v>27</v>
      </c>
      <c r="F127" t="s">
        <v>30</v>
      </c>
      <c r="G127">
        <v>0.2</v>
      </c>
      <c r="H127">
        <v>0.16669999999999999</v>
      </c>
      <c r="I127">
        <v>0.4</v>
      </c>
      <c r="J127">
        <v>0.44779999999999998</v>
      </c>
      <c r="K127">
        <v>1</v>
      </c>
      <c r="L127">
        <v>11</v>
      </c>
      <c r="M127">
        <v>12</v>
      </c>
    </row>
    <row r="128" spans="1:13" x14ac:dyDescent="0.3">
      <c r="A128">
        <v>737</v>
      </c>
      <c r="B128" s="1">
        <v>40577</v>
      </c>
      <c r="C128">
        <v>1</v>
      </c>
      <c r="D128" t="b">
        <v>0</v>
      </c>
      <c r="E128" t="s">
        <v>27</v>
      </c>
      <c r="F128" t="s">
        <v>30</v>
      </c>
      <c r="G128">
        <v>0.2</v>
      </c>
      <c r="H128">
        <v>0.1515</v>
      </c>
      <c r="I128">
        <v>0.44</v>
      </c>
      <c r="J128">
        <v>0.52239999999999998</v>
      </c>
      <c r="K128">
        <v>0</v>
      </c>
      <c r="L128">
        <v>5</v>
      </c>
      <c r="M128">
        <v>5</v>
      </c>
    </row>
    <row r="129" spans="1:13" x14ac:dyDescent="0.3">
      <c r="A129">
        <v>738</v>
      </c>
      <c r="B129" s="1">
        <v>40577</v>
      </c>
      <c r="C129">
        <v>2</v>
      </c>
      <c r="D129" t="b">
        <v>0</v>
      </c>
      <c r="E129" t="s">
        <v>27</v>
      </c>
      <c r="F129" t="s">
        <v>30</v>
      </c>
      <c r="G129">
        <v>0.18</v>
      </c>
      <c r="H129">
        <v>0.16669999999999999</v>
      </c>
      <c r="I129">
        <v>0.43</v>
      </c>
      <c r="J129">
        <v>0.25369999999999998</v>
      </c>
      <c r="K129">
        <v>0</v>
      </c>
      <c r="L129">
        <v>2</v>
      </c>
      <c r="M129">
        <v>2</v>
      </c>
    </row>
    <row r="130" spans="1:13" x14ac:dyDescent="0.3">
      <c r="A130">
        <v>739</v>
      </c>
      <c r="B130" s="1">
        <v>40577</v>
      </c>
      <c r="C130">
        <v>3</v>
      </c>
      <c r="D130" t="b">
        <v>0</v>
      </c>
      <c r="E130" t="s">
        <v>27</v>
      </c>
      <c r="F130" t="s">
        <v>30</v>
      </c>
      <c r="G130">
        <v>0.18</v>
      </c>
      <c r="H130">
        <v>0.16669999999999999</v>
      </c>
      <c r="I130">
        <v>0.43</v>
      </c>
      <c r="J130">
        <v>0.25369999999999998</v>
      </c>
      <c r="K130">
        <v>0</v>
      </c>
      <c r="L130">
        <v>1</v>
      </c>
      <c r="M130">
        <v>1</v>
      </c>
    </row>
    <row r="131" spans="1:13" x14ac:dyDescent="0.3">
      <c r="A131">
        <v>740</v>
      </c>
      <c r="B131" s="1">
        <v>40577</v>
      </c>
      <c r="C131">
        <v>5</v>
      </c>
      <c r="D131" t="b">
        <v>0</v>
      </c>
      <c r="E131" t="s">
        <v>27</v>
      </c>
      <c r="F131" t="s">
        <v>30</v>
      </c>
      <c r="G131">
        <v>0.16</v>
      </c>
      <c r="H131">
        <v>0.13639999999999999</v>
      </c>
      <c r="I131">
        <v>0.5</v>
      </c>
      <c r="J131">
        <v>0.29849999999999999</v>
      </c>
      <c r="K131">
        <v>0</v>
      </c>
      <c r="L131">
        <v>2</v>
      </c>
      <c r="M131">
        <v>2</v>
      </c>
    </row>
    <row r="132" spans="1:13" x14ac:dyDescent="0.3">
      <c r="A132">
        <v>741</v>
      </c>
      <c r="B132" s="1">
        <v>40577</v>
      </c>
      <c r="C132">
        <v>6</v>
      </c>
      <c r="D132" t="b">
        <v>0</v>
      </c>
      <c r="E132" t="s">
        <v>27</v>
      </c>
      <c r="F132" t="s">
        <v>30</v>
      </c>
      <c r="G132">
        <v>0.16</v>
      </c>
      <c r="H132">
        <v>0.13639999999999999</v>
      </c>
      <c r="I132">
        <v>0.43</v>
      </c>
      <c r="J132">
        <v>0.35820000000000002</v>
      </c>
      <c r="K132">
        <v>0</v>
      </c>
      <c r="L132">
        <v>39</v>
      </c>
      <c r="M132">
        <v>39</v>
      </c>
    </row>
    <row r="133" spans="1:13" x14ac:dyDescent="0.3">
      <c r="A133">
        <v>742</v>
      </c>
      <c r="B133" s="1">
        <v>40577</v>
      </c>
      <c r="C133">
        <v>7</v>
      </c>
      <c r="D133" t="b">
        <v>0</v>
      </c>
      <c r="E133" t="s">
        <v>27</v>
      </c>
      <c r="F133" t="s">
        <v>30</v>
      </c>
      <c r="G133">
        <v>0.14000000000000001</v>
      </c>
      <c r="H133">
        <v>0.1212</v>
      </c>
      <c r="I133">
        <v>0.5</v>
      </c>
      <c r="J133">
        <v>0.32840000000000003</v>
      </c>
      <c r="K133">
        <v>1</v>
      </c>
      <c r="L133">
        <v>86</v>
      </c>
      <c r="M133">
        <v>87</v>
      </c>
    </row>
    <row r="134" spans="1:13" x14ac:dyDescent="0.3">
      <c r="A134">
        <v>743</v>
      </c>
      <c r="B134" s="1">
        <v>40577</v>
      </c>
      <c r="C134">
        <v>8</v>
      </c>
      <c r="D134" t="b">
        <v>0</v>
      </c>
      <c r="E134" t="s">
        <v>27</v>
      </c>
      <c r="F134" t="s">
        <v>30</v>
      </c>
      <c r="G134">
        <v>0.14000000000000001</v>
      </c>
      <c r="H134">
        <v>0.1212</v>
      </c>
      <c r="I134">
        <v>0.5</v>
      </c>
      <c r="J134">
        <v>0.35820000000000002</v>
      </c>
      <c r="K134">
        <v>4</v>
      </c>
      <c r="L134">
        <v>184</v>
      </c>
      <c r="M134">
        <v>188</v>
      </c>
    </row>
    <row r="135" spans="1:13" x14ac:dyDescent="0.3">
      <c r="A135">
        <v>744</v>
      </c>
      <c r="B135" s="1">
        <v>40577</v>
      </c>
      <c r="C135">
        <v>9</v>
      </c>
      <c r="D135" t="b">
        <v>0</v>
      </c>
      <c r="E135" t="s">
        <v>27</v>
      </c>
      <c r="F135" t="s">
        <v>30</v>
      </c>
      <c r="G135">
        <v>0.16</v>
      </c>
      <c r="H135">
        <v>0.13639999999999999</v>
      </c>
      <c r="I135">
        <v>0.47</v>
      </c>
      <c r="J135">
        <v>0.29849999999999999</v>
      </c>
      <c r="K135">
        <v>6</v>
      </c>
      <c r="L135">
        <v>127</v>
      </c>
      <c r="M135">
        <v>133</v>
      </c>
    </row>
    <row r="136" spans="1:13" x14ac:dyDescent="0.3">
      <c r="A136">
        <v>745</v>
      </c>
      <c r="B136" s="1">
        <v>40577</v>
      </c>
      <c r="C136">
        <v>10</v>
      </c>
      <c r="D136" t="b">
        <v>0</v>
      </c>
      <c r="E136" t="s">
        <v>27</v>
      </c>
      <c r="F136" t="s">
        <v>30</v>
      </c>
      <c r="G136">
        <v>0.18</v>
      </c>
      <c r="H136">
        <v>0.1515</v>
      </c>
      <c r="I136">
        <v>0.43</v>
      </c>
      <c r="J136">
        <v>0.32840000000000003</v>
      </c>
      <c r="K136">
        <v>2</v>
      </c>
      <c r="L136">
        <v>50</v>
      </c>
      <c r="M136">
        <v>52</v>
      </c>
    </row>
    <row r="137" spans="1:13" x14ac:dyDescent="0.3">
      <c r="A137">
        <v>746</v>
      </c>
      <c r="B137" s="1">
        <v>40577</v>
      </c>
      <c r="C137">
        <v>11</v>
      </c>
      <c r="D137" t="b">
        <v>0</v>
      </c>
      <c r="E137" t="s">
        <v>27</v>
      </c>
      <c r="F137" t="s">
        <v>30</v>
      </c>
      <c r="G137">
        <v>0.18</v>
      </c>
      <c r="H137">
        <v>0.13639999999999999</v>
      </c>
      <c r="I137">
        <v>0.43</v>
      </c>
      <c r="J137">
        <v>0.44779999999999998</v>
      </c>
      <c r="K137">
        <v>9</v>
      </c>
      <c r="L137">
        <v>55</v>
      </c>
      <c r="M137">
        <v>64</v>
      </c>
    </row>
    <row r="138" spans="1:13" x14ac:dyDescent="0.3">
      <c r="A138">
        <v>747</v>
      </c>
      <c r="B138" s="1">
        <v>40577</v>
      </c>
      <c r="C138">
        <v>12</v>
      </c>
      <c r="D138" t="b">
        <v>0</v>
      </c>
      <c r="E138" t="s">
        <v>27</v>
      </c>
      <c r="F138" t="s">
        <v>30</v>
      </c>
      <c r="G138">
        <v>0.2</v>
      </c>
      <c r="H138">
        <v>0.18179999999999999</v>
      </c>
      <c r="I138">
        <v>0.4</v>
      </c>
      <c r="J138">
        <v>0.35820000000000002</v>
      </c>
      <c r="K138">
        <v>2</v>
      </c>
      <c r="L138">
        <v>67</v>
      </c>
      <c r="M138">
        <v>69</v>
      </c>
    </row>
    <row r="139" spans="1:13" x14ac:dyDescent="0.3">
      <c r="A139">
        <v>748</v>
      </c>
      <c r="B139" s="1">
        <v>40577</v>
      </c>
      <c r="C139">
        <v>13</v>
      </c>
      <c r="D139" t="b">
        <v>0</v>
      </c>
      <c r="E139" t="s">
        <v>27</v>
      </c>
      <c r="F139" t="s">
        <v>30</v>
      </c>
      <c r="G139">
        <v>0.2</v>
      </c>
      <c r="H139">
        <v>0.16669999999999999</v>
      </c>
      <c r="I139">
        <v>0.4</v>
      </c>
      <c r="J139">
        <v>0.41789999999999999</v>
      </c>
      <c r="K139">
        <v>4</v>
      </c>
      <c r="L139">
        <v>47</v>
      </c>
      <c r="M139">
        <v>51</v>
      </c>
    </row>
    <row r="140" spans="1:13" x14ac:dyDescent="0.3">
      <c r="A140">
        <v>749</v>
      </c>
      <c r="B140" s="1">
        <v>40577</v>
      </c>
      <c r="C140">
        <v>14</v>
      </c>
      <c r="D140" t="b">
        <v>0</v>
      </c>
      <c r="E140" t="s">
        <v>27</v>
      </c>
      <c r="F140" t="s">
        <v>30</v>
      </c>
      <c r="G140">
        <v>0.22</v>
      </c>
      <c r="H140">
        <v>0.19700000000000001</v>
      </c>
      <c r="I140">
        <v>0.37</v>
      </c>
      <c r="J140">
        <v>0.3881</v>
      </c>
      <c r="K140">
        <v>4</v>
      </c>
      <c r="L140">
        <v>43</v>
      </c>
      <c r="M140">
        <v>47</v>
      </c>
    </row>
    <row r="141" spans="1:13" x14ac:dyDescent="0.3">
      <c r="A141">
        <v>750</v>
      </c>
      <c r="B141" s="1">
        <v>40577</v>
      </c>
      <c r="C141">
        <v>15</v>
      </c>
      <c r="D141" t="b">
        <v>0</v>
      </c>
      <c r="E141" t="s">
        <v>27</v>
      </c>
      <c r="F141" t="s">
        <v>30</v>
      </c>
      <c r="G141">
        <v>0.22</v>
      </c>
      <c r="H141">
        <v>0.19700000000000001</v>
      </c>
      <c r="I141">
        <v>0.37</v>
      </c>
      <c r="J141">
        <v>0.32840000000000003</v>
      </c>
      <c r="K141">
        <v>4</v>
      </c>
      <c r="L141">
        <v>56</v>
      </c>
      <c r="M141">
        <v>60</v>
      </c>
    </row>
    <row r="142" spans="1:13" x14ac:dyDescent="0.3">
      <c r="A142">
        <v>751</v>
      </c>
      <c r="B142" s="1">
        <v>40577</v>
      </c>
      <c r="C142">
        <v>16</v>
      </c>
      <c r="D142" t="b">
        <v>0</v>
      </c>
      <c r="E142" t="s">
        <v>27</v>
      </c>
      <c r="F142" t="s">
        <v>30</v>
      </c>
      <c r="G142">
        <v>0.22</v>
      </c>
      <c r="H142">
        <v>0.21210000000000001</v>
      </c>
      <c r="I142">
        <v>0.37</v>
      </c>
      <c r="J142">
        <v>0.25369999999999998</v>
      </c>
      <c r="K142">
        <v>5</v>
      </c>
      <c r="L142">
        <v>73</v>
      </c>
      <c r="M142">
        <v>78</v>
      </c>
    </row>
    <row r="143" spans="1:13" x14ac:dyDescent="0.3">
      <c r="A143">
        <v>752</v>
      </c>
      <c r="B143" s="1">
        <v>40577</v>
      </c>
      <c r="C143">
        <v>17</v>
      </c>
      <c r="D143" t="b">
        <v>0</v>
      </c>
      <c r="E143" t="s">
        <v>27</v>
      </c>
      <c r="F143" t="s">
        <v>30</v>
      </c>
      <c r="G143">
        <v>0.2</v>
      </c>
      <c r="H143">
        <v>0.19700000000000001</v>
      </c>
      <c r="I143">
        <v>0.4</v>
      </c>
      <c r="J143">
        <v>0.19400000000000001</v>
      </c>
      <c r="K143">
        <v>5</v>
      </c>
      <c r="L143">
        <v>170</v>
      </c>
      <c r="M143">
        <v>175</v>
      </c>
    </row>
    <row r="144" spans="1:13" x14ac:dyDescent="0.3">
      <c r="A144">
        <v>753</v>
      </c>
      <c r="B144" s="1">
        <v>40577</v>
      </c>
      <c r="C144">
        <v>18</v>
      </c>
      <c r="D144" t="b">
        <v>0</v>
      </c>
      <c r="E144" t="s">
        <v>27</v>
      </c>
      <c r="F144" t="s">
        <v>30</v>
      </c>
      <c r="G144">
        <v>0.2</v>
      </c>
      <c r="H144">
        <v>0.21210000000000001</v>
      </c>
      <c r="I144">
        <v>0.4</v>
      </c>
      <c r="J144">
        <v>0.16420000000000001</v>
      </c>
      <c r="K144">
        <v>2</v>
      </c>
      <c r="L144">
        <v>145</v>
      </c>
      <c r="M144">
        <v>147</v>
      </c>
    </row>
    <row r="145" spans="1:13" x14ac:dyDescent="0.3">
      <c r="A145">
        <v>754</v>
      </c>
      <c r="B145" s="1">
        <v>40577</v>
      </c>
      <c r="C145">
        <v>19</v>
      </c>
      <c r="D145" t="b">
        <v>0</v>
      </c>
      <c r="E145" t="s">
        <v>27</v>
      </c>
      <c r="F145" t="s">
        <v>30</v>
      </c>
      <c r="G145">
        <v>0.2</v>
      </c>
      <c r="H145">
        <v>0.2576</v>
      </c>
      <c r="I145">
        <v>0.4</v>
      </c>
      <c r="J145">
        <v>0</v>
      </c>
      <c r="K145">
        <v>4</v>
      </c>
      <c r="L145">
        <v>92</v>
      </c>
      <c r="M145">
        <v>96</v>
      </c>
    </row>
    <row r="146" spans="1:13" x14ac:dyDescent="0.3">
      <c r="A146">
        <v>755</v>
      </c>
      <c r="B146" s="1">
        <v>40577</v>
      </c>
      <c r="C146">
        <v>20</v>
      </c>
      <c r="D146" t="b">
        <v>0</v>
      </c>
      <c r="E146" t="s">
        <v>27</v>
      </c>
      <c r="F146" t="s">
        <v>30</v>
      </c>
      <c r="G146">
        <v>0.2</v>
      </c>
      <c r="H146">
        <v>0.2273</v>
      </c>
      <c r="I146">
        <v>0.47</v>
      </c>
      <c r="J146">
        <v>8.9599999999999999E-2</v>
      </c>
      <c r="K146">
        <v>1</v>
      </c>
      <c r="L146">
        <v>108</v>
      </c>
      <c r="M146">
        <v>109</v>
      </c>
    </row>
    <row r="147" spans="1:13" x14ac:dyDescent="0.3">
      <c r="A147">
        <v>756</v>
      </c>
      <c r="B147" s="1">
        <v>40577</v>
      </c>
      <c r="C147">
        <v>21</v>
      </c>
      <c r="D147" t="b">
        <v>0</v>
      </c>
      <c r="E147" t="s">
        <v>27</v>
      </c>
      <c r="F147" t="s">
        <v>30</v>
      </c>
      <c r="G147">
        <v>0.18</v>
      </c>
      <c r="H147">
        <v>0.21210000000000001</v>
      </c>
      <c r="I147">
        <v>0.55000000000000004</v>
      </c>
      <c r="J147">
        <v>0.1045</v>
      </c>
      <c r="K147">
        <v>1</v>
      </c>
      <c r="L147">
        <v>53</v>
      </c>
      <c r="M147">
        <v>54</v>
      </c>
    </row>
    <row r="148" spans="1:13" x14ac:dyDescent="0.3">
      <c r="A148">
        <v>757</v>
      </c>
      <c r="B148" s="1">
        <v>40577</v>
      </c>
      <c r="C148">
        <v>22</v>
      </c>
      <c r="D148" t="b">
        <v>0</v>
      </c>
      <c r="E148" t="s">
        <v>27</v>
      </c>
      <c r="F148" t="s">
        <v>30</v>
      </c>
      <c r="G148">
        <v>0.18</v>
      </c>
      <c r="H148">
        <v>0.21210000000000001</v>
      </c>
      <c r="I148">
        <v>0.51</v>
      </c>
      <c r="J148">
        <v>8.9599999999999999E-2</v>
      </c>
      <c r="K148">
        <v>2</v>
      </c>
      <c r="L148">
        <v>39</v>
      </c>
      <c r="M148">
        <v>41</v>
      </c>
    </row>
    <row r="149" spans="1:13" x14ac:dyDescent="0.3">
      <c r="A149">
        <v>758</v>
      </c>
      <c r="B149" s="1">
        <v>40577</v>
      </c>
      <c r="C149">
        <v>23</v>
      </c>
      <c r="D149" t="b">
        <v>0</v>
      </c>
      <c r="E149" t="s">
        <v>27</v>
      </c>
      <c r="F149" t="s">
        <v>30</v>
      </c>
      <c r="G149">
        <v>0.2</v>
      </c>
      <c r="H149">
        <v>0.2273</v>
      </c>
      <c r="I149">
        <v>0.47</v>
      </c>
      <c r="J149">
        <v>0.1045</v>
      </c>
      <c r="K149">
        <v>4</v>
      </c>
      <c r="L149">
        <v>34</v>
      </c>
      <c r="M149">
        <v>38</v>
      </c>
    </row>
    <row r="150" spans="1:13" x14ac:dyDescent="0.3">
      <c r="A150">
        <v>759</v>
      </c>
      <c r="B150" s="1">
        <v>40578</v>
      </c>
      <c r="C150">
        <v>0</v>
      </c>
      <c r="D150" t="b">
        <v>0</v>
      </c>
      <c r="E150" t="s">
        <v>28</v>
      </c>
      <c r="F150" t="s">
        <v>31</v>
      </c>
      <c r="G150">
        <v>0.2</v>
      </c>
      <c r="H150">
        <v>0.2576</v>
      </c>
      <c r="I150">
        <v>0.44</v>
      </c>
      <c r="J150">
        <v>0</v>
      </c>
      <c r="K150">
        <v>3</v>
      </c>
      <c r="L150">
        <v>10</v>
      </c>
      <c r="M150">
        <v>13</v>
      </c>
    </row>
    <row r="151" spans="1:13" x14ac:dyDescent="0.3">
      <c r="A151">
        <v>760</v>
      </c>
      <c r="B151" s="1">
        <v>40578</v>
      </c>
      <c r="C151">
        <v>1</v>
      </c>
      <c r="D151" t="b">
        <v>0</v>
      </c>
      <c r="E151" t="s">
        <v>28</v>
      </c>
      <c r="F151" t="s">
        <v>31</v>
      </c>
      <c r="G151">
        <v>0.16</v>
      </c>
      <c r="H151">
        <v>0.2273</v>
      </c>
      <c r="I151">
        <v>0.59</v>
      </c>
      <c r="J151">
        <v>0</v>
      </c>
      <c r="K151">
        <v>0</v>
      </c>
      <c r="L151">
        <v>7</v>
      </c>
      <c r="M151">
        <v>7</v>
      </c>
    </row>
    <row r="152" spans="1:13" x14ac:dyDescent="0.3">
      <c r="A152">
        <v>761</v>
      </c>
      <c r="B152" s="1">
        <v>40578</v>
      </c>
      <c r="C152">
        <v>2</v>
      </c>
      <c r="D152" t="b">
        <v>0</v>
      </c>
      <c r="E152" t="s">
        <v>28</v>
      </c>
      <c r="F152" t="s">
        <v>31</v>
      </c>
      <c r="G152">
        <v>0.14000000000000001</v>
      </c>
      <c r="H152">
        <v>0.16669999999999999</v>
      </c>
      <c r="I152">
        <v>0.63</v>
      </c>
      <c r="J152">
        <v>0.1045</v>
      </c>
      <c r="K152">
        <v>0</v>
      </c>
      <c r="L152">
        <v>1</v>
      </c>
      <c r="M152">
        <v>1</v>
      </c>
    </row>
    <row r="153" spans="1:13" x14ac:dyDescent="0.3">
      <c r="A153">
        <v>762</v>
      </c>
      <c r="B153" s="1">
        <v>40578</v>
      </c>
      <c r="C153">
        <v>3</v>
      </c>
      <c r="D153" t="b">
        <v>0</v>
      </c>
      <c r="E153" t="s">
        <v>28</v>
      </c>
      <c r="F153" t="s">
        <v>31</v>
      </c>
      <c r="G153">
        <v>0.14000000000000001</v>
      </c>
      <c r="H153">
        <v>0.16669999999999999</v>
      </c>
      <c r="I153">
        <v>0.63</v>
      </c>
      <c r="J153">
        <v>0.1045</v>
      </c>
      <c r="K153">
        <v>0</v>
      </c>
      <c r="L153">
        <v>1</v>
      </c>
      <c r="M153">
        <v>1</v>
      </c>
    </row>
    <row r="154" spans="1:13" x14ac:dyDescent="0.3">
      <c r="A154">
        <v>763</v>
      </c>
      <c r="B154" s="1">
        <v>40578</v>
      </c>
      <c r="C154">
        <v>5</v>
      </c>
      <c r="D154" t="b">
        <v>0</v>
      </c>
      <c r="E154" t="s">
        <v>28</v>
      </c>
      <c r="F154" t="s">
        <v>31</v>
      </c>
      <c r="G154">
        <v>0.14000000000000001</v>
      </c>
      <c r="H154">
        <v>0.1515</v>
      </c>
      <c r="I154">
        <v>0.63</v>
      </c>
      <c r="J154">
        <v>0.1343</v>
      </c>
      <c r="K154">
        <v>0</v>
      </c>
      <c r="L154">
        <v>7</v>
      </c>
      <c r="M154">
        <v>7</v>
      </c>
    </row>
    <row r="155" spans="1:13" x14ac:dyDescent="0.3">
      <c r="A155">
        <v>764</v>
      </c>
      <c r="B155" s="1">
        <v>40578</v>
      </c>
      <c r="C155">
        <v>6</v>
      </c>
      <c r="D155" t="b">
        <v>0</v>
      </c>
      <c r="E155" t="s">
        <v>28</v>
      </c>
      <c r="F155" t="s">
        <v>31</v>
      </c>
      <c r="G155">
        <v>0.16</v>
      </c>
      <c r="H155">
        <v>0.2273</v>
      </c>
      <c r="I155">
        <v>0.55000000000000004</v>
      </c>
      <c r="J155">
        <v>0</v>
      </c>
      <c r="K155">
        <v>2</v>
      </c>
      <c r="L155">
        <v>26</v>
      </c>
      <c r="M155">
        <v>28</v>
      </c>
    </row>
    <row r="156" spans="1:13" x14ac:dyDescent="0.3">
      <c r="A156">
        <v>765</v>
      </c>
      <c r="B156" s="1">
        <v>40578</v>
      </c>
      <c r="C156">
        <v>7</v>
      </c>
      <c r="D156" t="b">
        <v>0</v>
      </c>
      <c r="E156" t="s">
        <v>28</v>
      </c>
      <c r="F156" t="s">
        <v>30</v>
      </c>
      <c r="G156">
        <v>0.14000000000000001</v>
      </c>
      <c r="H156">
        <v>0.21210000000000001</v>
      </c>
      <c r="I156">
        <v>0.59</v>
      </c>
      <c r="J156">
        <v>0</v>
      </c>
      <c r="K156">
        <v>0</v>
      </c>
      <c r="L156">
        <v>87</v>
      </c>
      <c r="M156">
        <v>87</v>
      </c>
    </row>
    <row r="157" spans="1:13" x14ac:dyDescent="0.3">
      <c r="A157">
        <v>766</v>
      </c>
      <c r="B157" s="1">
        <v>40578</v>
      </c>
      <c r="C157">
        <v>8</v>
      </c>
      <c r="D157" t="b">
        <v>0</v>
      </c>
      <c r="E157" t="s">
        <v>28</v>
      </c>
      <c r="F157" t="s">
        <v>30</v>
      </c>
      <c r="G157">
        <v>0.14000000000000001</v>
      </c>
      <c r="H157">
        <v>0.1515</v>
      </c>
      <c r="I157">
        <v>0.74</v>
      </c>
      <c r="J157">
        <v>0.1343</v>
      </c>
      <c r="K157">
        <v>3</v>
      </c>
      <c r="L157">
        <v>217</v>
      </c>
      <c r="M157">
        <v>220</v>
      </c>
    </row>
    <row r="158" spans="1:13" x14ac:dyDescent="0.3">
      <c r="A158">
        <v>767</v>
      </c>
      <c r="B158" s="1">
        <v>40578</v>
      </c>
      <c r="C158">
        <v>9</v>
      </c>
      <c r="D158" t="b">
        <v>0</v>
      </c>
      <c r="E158" t="s">
        <v>28</v>
      </c>
      <c r="F158" t="s">
        <v>31</v>
      </c>
      <c r="G158">
        <v>0.16</v>
      </c>
      <c r="H158">
        <v>0.18179999999999999</v>
      </c>
      <c r="I158">
        <v>0.8</v>
      </c>
      <c r="J158">
        <v>0.1343</v>
      </c>
      <c r="K158">
        <v>3</v>
      </c>
      <c r="L158">
        <v>124</v>
      </c>
      <c r="M158">
        <v>127</v>
      </c>
    </row>
    <row r="159" spans="1:13" x14ac:dyDescent="0.3">
      <c r="A159">
        <v>768</v>
      </c>
      <c r="B159" s="1">
        <v>40578</v>
      </c>
      <c r="C159">
        <v>10</v>
      </c>
      <c r="D159" t="b">
        <v>0</v>
      </c>
      <c r="E159" t="s">
        <v>28</v>
      </c>
      <c r="F159" t="s">
        <v>31</v>
      </c>
      <c r="G159">
        <v>0.2</v>
      </c>
      <c r="H159">
        <v>0.21210000000000001</v>
      </c>
      <c r="I159">
        <v>0.51</v>
      </c>
      <c r="J159">
        <v>0.1343</v>
      </c>
      <c r="K159">
        <v>5</v>
      </c>
      <c r="L159">
        <v>46</v>
      </c>
      <c r="M159">
        <v>51</v>
      </c>
    </row>
    <row r="160" spans="1:13" x14ac:dyDescent="0.3">
      <c r="A160">
        <v>769</v>
      </c>
      <c r="B160" s="1">
        <v>40578</v>
      </c>
      <c r="C160">
        <v>11</v>
      </c>
      <c r="D160" t="b">
        <v>0</v>
      </c>
      <c r="E160" t="s">
        <v>28</v>
      </c>
      <c r="F160" t="s">
        <v>30</v>
      </c>
      <c r="G160">
        <v>0.22</v>
      </c>
      <c r="H160">
        <v>0.2273</v>
      </c>
      <c r="I160">
        <v>0.51</v>
      </c>
      <c r="J160">
        <v>0.16420000000000001</v>
      </c>
      <c r="K160">
        <v>3</v>
      </c>
      <c r="L160">
        <v>61</v>
      </c>
      <c r="M160">
        <v>64</v>
      </c>
    </row>
    <row r="161" spans="1:13" x14ac:dyDescent="0.3">
      <c r="A161">
        <v>770</v>
      </c>
      <c r="B161" s="1">
        <v>40578</v>
      </c>
      <c r="C161">
        <v>12</v>
      </c>
      <c r="D161" t="b">
        <v>0</v>
      </c>
      <c r="E161" t="s">
        <v>28</v>
      </c>
      <c r="F161" t="s">
        <v>31</v>
      </c>
      <c r="G161">
        <v>0.24</v>
      </c>
      <c r="H161">
        <v>0.2424</v>
      </c>
      <c r="I161">
        <v>0.48</v>
      </c>
      <c r="J161">
        <v>0.16420000000000001</v>
      </c>
      <c r="K161">
        <v>8</v>
      </c>
      <c r="L161">
        <v>78</v>
      </c>
      <c r="M161">
        <v>86</v>
      </c>
    </row>
    <row r="162" spans="1:13" x14ac:dyDescent="0.3">
      <c r="A162">
        <v>771</v>
      </c>
      <c r="B162" s="1">
        <v>40578</v>
      </c>
      <c r="C162">
        <v>13</v>
      </c>
      <c r="D162" t="b">
        <v>0</v>
      </c>
      <c r="E162" t="s">
        <v>28</v>
      </c>
      <c r="F162" t="s">
        <v>31</v>
      </c>
      <c r="G162">
        <v>0.26</v>
      </c>
      <c r="H162">
        <v>0.2576</v>
      </c>
      <c r="I162">
        <v>0.5</v>
      </c>
      <c r="J162">
        <v>0.22389999999999999</v>
      </c>
      <c r="K162">
        <v>9</v>
      </c>
      <c r="L162">
        <v>73</v>
      </c>
      <c r="M162">
        <v>82</v>
      </c>
    </row>
    <row r="163" spans="1:13" x14ac:dyDescent="0.3">
      <c r="A163">
        <v>772</v>
      </c>
      <c r="B163" s="1">
        <v>40578</v>
      </c>
      <c r="C163">
        <v>14</v>
      </c>
      <c r="D163" t="b">
        <v>0</v>
      </c>
      <c r="E163" t="s">
        <v>28</v>
      </c>
      <c r="F163" t="s">
        <v>31</v>
      </c>
      <c r="G163">
        <v>0.28000000000000003</v>
      </c>
      <c r="H163">
        <v>0.2727</v>
      </c>
      <c r="I163">
        <v>0.45</v>
      </c>
      <c r="J163">
        <v>0.16420000000000001</v>
      </c>
      <c r="K163">
        <v>15</v>
      </c>
      <c r="L163">
        <v>76</v>
      </c>
      <c r="M163">
        <v>91</v>
      </c>
    </row>
    <row r="164" spans="1:13" x14ac:dyDescent="0.3">
      <c r="A164">
        <v>773</v>
      </c>
      <c r="B164" s="1">
        <v>40578</v>
      </c>
      <c r="C164">
        <v>15</v>
      </c>
      <c r="D164" t="b">
        <v>0</v>
      </c>
      <c r="E164" t="s">
        <v>28</v>
      </c>
      <c r="F164" t="s">
        <v>31</v>
      </c>
      <c r="G164">
        <v>0.28000000000000003</v>
      </c>
      <c r="H164">
        <v>0.2727</v>
      </c>
      <c r="I164">
        <v>0.48</v>
      </c>
      <c r="J164">
        <v>0.25369999999999998</v>
      </c>
      <c r="K164">
        <v>9</v>
      </c>
      <c r="L164">
        <v>81</v>
      </c>
      <c r="M164">
        <v>90</v>
      </c>
    </row>
    <row r="165" spans="1:13" x14ac:dyDescent="0.3">
      <c r="A165">
        <v>774</v>
      </c>
      <c r="B165" s="1">
        <v>40578</v>
      </c>
      <c r="C165">
        <v>16</v>
      </c>
      <c r="D165" t="b">
        <v>0</v>
      </c>
      <c r="E165" t="s">
        <v>28</v>
      </c>
      <c r="F165" t="s">
        <v>31</v>
      </c>
      <c r="G165">
        <v>0.3</v>
      </c>
      <c r="H165">
        <v>0.28789999999999999</v>
      </c>
      <c r="I165">
        <v>0.42</v>
      </c>
      <c r="J165">
        <v>0.22389999999999999</v>
      </c>
      <c r="K165">
        <v>8</v>
      </c>
      <c r="L165">
        <v>91</v>
      </c>
      <c r="M165">
        <v>99</v>
      </c>
    </row>
    <row r="166" spans="1:13" x14ac:dyDescent="0.3">
      <c r="A166">
        <v>775</v>
      </c>
      <c r="B166" s="1">
        <v>40578</v>
      </c>
      <c r="C166">
        <v>17</v>
      </c>
      <c r="D166" t="b">
        <v>0</v>
      </c>
      <c r="E166" t="s">
        <v>28</v>
      </c>
      <c r="F166" t="s">
        <v>31</v>
      </c>
      <c r="G166">
        <v>0.26</v>
      </c>
      <c r="H166">
        <v>0.2727</v>
      </c>
      <c r="I166">
        <v>0.56000000000000005</v>
      </c>
      <c r="J166">
        <v>0.1343</v>
      </c>
      <c r="K166">
        <v>10</v>
      </c>
      <c r="L166">
        <v>195</v>
      </c>
      <c r="M166">
        <v>205</v>
      </c>
    </row>
    <row r="167" spans="1:13" x14ac:dyDescent="0.3">
      <c r="A167">
        <v>776</v>
      </c>
      <c r="B167" s="1">
        <v>40578</v>
      </c>
      <c r="C167">
        <v>18</v>
      </c>
      <c r="D167" t="b">
        <v>0</v>
      </c>
      <c r="E167" t="s">
        <v>28</v>
      </c>
      <c r="F167" t="s">
        <v>31</v>
      </c>
      <c r="G167">
        <v>0.24</v>
      </c>
      <c r="H167">
        <v>0.2576</v>
      </c>
      <c r="I167">
        <v>0.6</v>
      </c>
      <c r="J167">
        <v>0.1045</v>
      </c>
      <c r="K167">
        <v>3</v>
      </c>
      <c r="L167">
        <v>152</v>
      </c>
      <c r="M167">
        <v>155</v>
      </c>
    </row>
    <row r="168" spans="1:13" x14ac:dyDescent="0.3">
      <c r="A168">
        <v>777</v>
      </c>
      <c r="B168" s="1">
        <v>40578</v>
      </c>
      <c r="C168">
        <v>19</v>
      </c>
      <c r="D168" t="b">
        <v>0</v>
      </c>
      <c r="E168" t="s">
        <v>28</v>
      </c>
      <c r="F168" t="s">
        <v>31</v>
      </c>
      <c r="G168">
        <v>0.24</v>
      </c>
      <c r="H168">
        <v>0.2424</v>
      </c>
      <c r="I168">
        <v>0.65</v>
      </c>
      <c r="J168">
        <v>0.1343</v>
      </c>
      <c r="K168">
        <v>1</v>
      </c>
      <c r="L168">
        <v>102</v>
      </c>
      <c r="M168">
        <v>103</v>
      </c>
    </row>
    <row r="169" spans="1:13" x14ac:dyDescent="0.3">
      <c r="A169">
        <v>778</v>
      </c>
      <c r="B169" s="1">
        <v>40578</v>
      </c>
      <c r="C169">
        <v>20</v>
      </c>
      <c r="D169" t="b">
        <v>0</v>
      </c>
      <c r="E169" t="s">
        <v>28</v>
      </c>
      <c r="F169" t="s">
        <v>31</v>
      </c>
      <c r="G169">
        <v>0.24</v>
      </c>
      <c r="H169">
        <v>0.2424</v>
      </c>
      <c r="I169">
        <v>0.65</v>
      </c>
      <c r="J169">
        <v>0.16420000000000001</v>
      </c>
      <c r="K169">
        <v>2</v>
      </c>
      <c r="L169">
        <v>69</v>
      </c>
      <c r="M169">
        <v>71</v>
      </c>
    </row>
    <row r="170" spans="1:13" x14ac:dyDescent="0.3">
      <c r="A170">
        <v>779</v>
      </c>
      <c r="B170" s="1">
        <v>40578</v>
      </c>
      <c r="C170">
        <v>21</v>
      </c>
      <c r="D170" t="b">
        <v>0</v>
      </c>
      <c r="E170" t="s">
        <v>28</v>
      </c>
      <c r="F170" t="s">
        <v>31</v>
      </c>
      <c r="G170">
        <v>0.24</v>
      </c>
      <c r="H170">
        <v>0.2424</v>
      </c>
      <c r="I170">
        <v>0.7</v>
      </c>
      <c r="J170">
        <v>0.16420000000000001</v>
      </c>
      <c r="K170">
        <v>2</v>
      </c>
      <c r="L170">
        <v>41</v>
      </c>
      <c r="M170">
        <v>43</v>
      </c>
    </row>
    <row r="171" spans="1:13" x14ac:dyDescent="0.3">
      <c r="A171">
        <v>780</v>
      </c>
      <c r="B171" s="1">
        <v>40578</v>
      </c>
      <c r="C171">
        <v>22</v>
      </c>
      <c r="D171" t="b">
        <v>0</v>
      </c>
      <c r="E171" t="s">
        <v>28</v>
      </c>
      <c r="F171" t="s">
        <v>31</v>
      </c>
      <c r="G171">
        <v>0.24</v>
      </c>
      <c r="H171">
        <v>0.2424</v>
      </c>
      <c r="I171">
        <v>0.65</v>
      </c>
      <c r="J171">
        <v>0.16420000000000001</v>
      </c>
      <c r="K171">
        <v>1</v>
      </c>
      <c r="L171">
        <v>45</v>
      </c>
      <c r="M171">
        <v>46</v>
      </c>
    </row>
    <row r="172" spans="1:13" x14ac:dyDescent="0.3">
      <c r="A172">
        <v>781</v>
      </c>
      <c r="B172" s="1">
        <v>40578</v>
      </c>
      <c r="C172">
        <v>23</v>
      </c>
      <c r="D172" t="b">
        <v>0</v>
      </c>
      <c r="E172" t="s">
        <v>28</v>
      </c>
      <c r="F172" t="s">
        <v>31</v>
      </c>
      <c r="G172">
        <v>0.24</v>
      </c>
      <c r="H172">
        <v>0.2424</v>
      </c>
      <c r="I172">
        <v>0.7</v>
      </c>
      <c r="J172">
        <v>0.1343</v>
      </c>
      <c r="K172">
        <v>1</v>
      </c>
      <c r="L172">
        <v>30</v>
      </c>
      <c r="M172">
        <v>31</v>
      </c>
    </row>
    <row r="173" spans="1:13" x14ac:dyDescent="0.3">
      <c r="A173">
        <v>782</v>
      </c>
      <c r="B173" s="1">
        <v>40579</v>
      </c>
      <c r="C173">
        <v>0</v>
      </c>
      <c r="D173" t="b">
        <v>0</v>
      </c>
      <c r="E173" t="s">
        <v>29</v>
      </c>
      <c r="F173" t="s">
        <v>31</v>
      </c>
      <c r="G173">
        <v>0.24</v>
      </c>
      <c r="H173">
        <v>0.2424</v>
      </c>
      <c r="I173">
        <v>0.7</v>
      </c>
      <c r="J173">
        <v>0.16420000000000001</v>
      </c>
      <c r="K173">
        <v>3</v>
      </c>
      <c r="L173">
        <v>36</v>
      </c>
      <c r="M173">
        <v>39</v>
      </c>
    </row>
    <row r="174" spans="1:13" x14ac:dyDescent="0.3">
      <c r="A174">
        <v>783</v>
      </c>
      <c r="B174" s="1">
        <v>40579</v>
      </c>
      <c r="C174">
        <v>1</v>
      </c>
      <c r="D174" t="b">
        <v>0</v>
      </c>
      <c r="E174" t="s">
        <v>29</v>
      </c>
      <c r="F174" t="s">
        <v>31</v>
      </c>
      <c r="G174">
        <v>0.24</v>
      </c>
      <c r="H174">
        <v>0.2424</v>
      </c>
      <c r="I174">
        <v>0.65</v>
      </c>
      <c r="J174">
        <v>0.16420000000000001</v>
      </c>
      <c r="K174">
        <v>1</v>
      </c>
      <c r="L174">
        <v>17</v>
      </c>
      <c r="M174">
        <v>18</v>
      </c>
    </row>
    <row r="175" spans="1:13" x14ac:dyDescent="0.3">
      <c r="A175">
        <v>784</v>
      </c>
      <c r="B175" s="1">
        <v>40579</v>
      </c>
      <c r="C175">
        <v>2</v>
      </c>
      <c r="D175" t="b">
        <v>0</v>
      </c>
      <c r="E175" t="s">
        <v>29</v>
      </c>
      <c r="F175" t="s">
        <v>31</v>
      </c>
      <c r="G175">
        <v>0.24</v>
      </c>
      <c r="H175">
        <v>0.2424</v>
      </c>
      <c r="I175">
        <v>0.75</v>
      </c>
      <c r="J175">
        <v>0.16420000000000001</v>
      </c>
      <c r="K175">
        <v>5</v>
      </c>
      <c r="L175">
        <v>12</v>
      </c>
      <c r="M175">
        <v>17</v>
      </c>
    </row>
    <row r="176" spans="1:13" x14ac:dyDescent="0.3">
      <c r="A176">
        <v>785</v>
      </c>
      <c r="B176" s="1">
        <v>40579</v>
      </c>
      <c r="C176">
        <v>3</v>
      </c>
      <c r="D176" t="b">
        <v>0</v>
      </c>
      <c r="E176" t="s">
        <v>29</v>
      </c>
      <c r="F176" t="s">
        <v>31</v>
      </c>
      <c r="G176">
        <v>0.24</v>
      </c>
      <c r="H176">
        <v>0.2424</v>
      </c>
      <c r="I176">
        <v>0.75</v>
      </c>
      <c r="J176">
        <v>0.16420000000000001</v>
      </c>
      <c r="K176">
        <v>1</v>
      </c>
      <c r="L176">
        <v>10</v>
      </c>
      <c r="M176">
        <v>11</v>
      </c>
    </row>
    <row r="177" spans="1:13" x14ac:dyDescent="0.3">
      <c r="A177">
        <v>786</v>
      </c>
      <c r="B177" s="1">
        <v>40579</v>
      </c>
      <c r="C177">
        <v>4</v>
      </c>
      <c r="D177" t="b">
        <v>0</v>
      </c>
      <c r="E177" t="s">
        <v>29</v>
      </c>
      <c r="F177" t="s">
        <v>32</v>
      </c>
      <c r="G177">
        <v>0.22</v>
      </c>
      <c r="H177">
        <v>0.2273</v>
      </c>
      <c r="I177">
        <v>0.93</v>
      </c>
      <c r="J177">
        <v>0.1343</v>
      </c>
      <c r="K177">
        <v>0</v>
      </c>
      <c r="L177">
        <v>8</v>
      </c>
      <c r="M177">
        <v>8</v>
      </c>
    </row>
    <row r="178" spans="1:13" x14ac:dyDescent="0.3">
      <c r="A178">
        <v>787</v>
      </c>
      <c r="B178" s="1">
        <v>40579</v>
      </c>
      <c r="C178">
        <v>5</v>
      </c>
      <c r="D178" t="b">
        <v>0</v>
      </c>
      <c r="E178" t="s">
        <v>29</v>
      </c>
      <c r="F178" t="s">
        <v>32</v>
      </c>
      <c r="G178">
        <v>0.2</v>
      </c>
      <c r="H178">
        <v>0.2273</v>
      </c>
      <c r="I178">
        <v>1</v>
      </c>
      <c r="J178">
        <v>8.9599999999999999E-2</v>
      </c>
      <c r="K178">
        <v>0</v>
      </c>
      <c r="L178">
        <v>9</v>
      </c>
      <c r="M178">
        <v>9</v>
      </c>
    </row>
    <row r="179" spans="1:13" x14ac:dyDescent="0.3">
      <c r="A179">
        <v>788</v>
      </c>
      <c r="B179" s="1">
        <v>40579</v>
      </c>
      <c r="C179">
        <v>6</v>
      </c>
      <c r="D179" t="b">
        <v>0</v>
      </c>
      <c r="E179" t="s">
        <v>29</v>
      </c>
      <c r="F179" t="s">
        <v>32</v>
      </c>
      <c r="G179">
        <v>0.2</v>
      </c>
      <c r="H179">
        <v>0.2576</v>
      </c>
      <c r="I179">
        <v>1</v>
      </c>
      <c r="J179">
        <v>0</v>
      </c>
      <c r="K179">
        <v>0</v>
      </c>
      <c r="L179">
        <v>4</v>
      </c>
      <c r="M179">
        <v>4</v>
      </c>
    </row>
    <row r="180" spans="1:13" x14ac:dyDescent="0.3">
      <c r="A180">
        <v>789</v>
      </c>
      <c r="B180" s="1">
        <v>40579</v>
      </c>
      <c r="C180">
        <v>7</v>
      </c>
      <c r="D180" t="b">
        <v>0</v>
      </c>
      <c r="E180" t="s">
        <v>29</v>
      </c>
      <c r="F180" t="s">
        <v>32</v>
      </c>
      <c r="G180">
        <v>0.22</v>
      </c>
      <c r="H180">
        <v>0.2576</v>
      </c>
      <c r="I180">
        <v>0.93</v>
      </c>
      <c r="J180">
        <v>8.9599999999999999E-2</v>
      </c>
      <c r="K180">
        <v>0</v>
      </c>
      <c r="L180">
        <v>4</v>
      </c>
      <c r="M180">
        <v>4</v>
      </c>
    </row>
    <row r="181" spans="1:13" x14ac:dyDescent="0.3">
      <c r="A181">
        <v>790</v>
      </c>
      <c r="B181" s="1">
        <v>40579</v>
      </c>
      <c r="C181">
        <v>8</v>
      </c>
      <c r="D181" t="b">
        <v>0</v>
      </c>
      <c r="E181" t="s">
        <v>29</v>
      </c>
      <c r="F181" t="s">
        <v>32</v>
      </c>
      <c r="G181">
        <v>0.2</v>
      </c>
      <c r="H181">
        <v>0.2273</v>
      </c>
      <c r="I181">
        <v>1</v>
      </c>
      <c r="J181">
        <v>8.9599999999999999E-2</v>
      </c>
      <c r="K181">
        <v>0</v>
      </c>
      <c r="L181">
        <v>10</v>
      </c>
      <c r="M181">
        <v>10</v>
      </c>
    </row>
    <row r="182" spans="1:13" x14ac:dyDescent="0.3">
      <c r="A182">
        <v>791</v>
      </c>
      <c r="B182" s="1">
        <v>40579</v>
      </c>
      <c r="C182">
        <v>9</v>
      </c>
      <c r="D182" t="b">
        <v>0</v>
      </c>
      <c r="E182" t="s">
        <v>29</v>
      </c>
      <c r="F182" t="s">
        <v>32</v>
      </c>
      <c r="G182">
        <v>0.2</v>
      </c>
      <c r="H182">
        <v>0.2273</v>
      </c>
      <c r="I182">
        <v>1</v>
      </c>
      <c r="J182">
        <v>8.9599999999999999E-2</v>
      </c>
      <c r="K182">
        <v>3</v>
      </c>
      <c r="L182">
        <v>17</v>
      </c>
      <c r="M182">
        <v>20</v>
      </c>
    </row>
    <row r="183" spans="1:13" x14ac:dyDescent="0.3">
      <c r="A183">
        <v>792</v>
      </c>
      <c r="B183" s="1">
        <v>40579</v>
      </c>
      <c r="C183">
        <v>10</v>
      </c>
      <c r="D183" t="b">
        <v>0</v>
      </c>
      <c r="E183" t="s">
        <v>29</v>
      </c>
      <c r="F183" t="s">
        <v>32</v>
      </c>
      <c r="G183">
        <v>0.2</v>
      </c>
      <c r="H183">
        <v>0.21210000000000001</v>
      </c>
      <c r="I183">
        <v>1</v>
      </c>
      <c r="J183">
        <v>0.1343</v>
      </c>
      <c r="K183">
        <v>3</v>
      </c>
      <c r="L183">
        <v>31</v>
      </c>
      <c r="M183">
        <v>34</v>
      </c>
    </row>
    <row r="184" spans="1:13" x14ac:dyDescent="0.3">
      <c r="A184">
        <v>793</v>
      </c>
      <c r="B184" s="1">
        <v>40579</v>
      </c>
      <c r="C184">
        <v>11</v>
      </c>
      <c r="D184" t="b">
        <v>0</v>
      </c>
      <c r="E184" t="s">
        <v>29</v>
      </c>
      <c r="F184" t="s">
        <v>32</v>
      </c>
      <c r="G184">
        <v>0.22</v>
      </c>
      <c r="H184">
        <v>0.2273</v>
      </c>
      <c r="I184">
        <v>1</v>
      </c>
      <c r="J184">
        <v>0.1343</v>
      </c>
      <c r="K184">
        <v>1</v>
      </c>
      <c r="L184">
        <v>46</v>
      </c>
      <c r="M184">
        <v>47</v>
      </c>
    </row>
    <row r="185" spans="1:13" x14ac:dyDescent="0.3">
      <c r="A185">
        <v>794</v>
      </c>
      <c r="B185" s="1">
        <v>40579</v>
      </c>
      <c r="C185">
        <v>12</v>
      </c>
      <c r="D185" t="b">
        <v>0</v>
      </c>
      <c r="E185" t="s">
        <v>29</v>
      </c>
      <c r="F185" t="s">
        <v>32</v>
      </c>
      <c r="G185">
        <v>0.22</v>
      </c>
      <c r="H185">
        <v>0.2273</v>
      </c>
      <c r="I185">
        <v>1</v>
      </c>
      <c r="J185">
        <v>0.16420000000000001</v>
      </c>
      <c r="K185">
        <v>10</v>
      </c>
      <c r="L185">
        <v>42</v>
      </c>
      <c r="M185">
        <v>52</v>
      </c>
    </row>
    <row r="186" spans="1:13" x14ac:dyDescent="0.3">
      <c r="A186">
        <v>795</v>
      </c>
      <c r="B186" s="1">
        <v>40579</v>
      </c>
      <c r="C186">
        <v>13</v>
      </c>
      <c r="D186" t="b">
        <v>0</v>
      </c>
      <c r="E186" t="s">
        <v>29</v>
      </c>
      <c r="F186" t="s">
        <v>32</v>
      </c>
      <c r="G186">
        <v>0.22</v>
      </c>
      <c r="H186">
        <v>0.2273</v>
      </c>
      <c r="I186">
        <v>1</v>
      </c>
      <c r="J186">
        <v>0.16420000000000001</v>
      </c>
      <c r="K186">
        <v>10</v>
      </c>
      <c r="L186">
        <v>62</v>
      </c>
      <c r="M186">
        <v>72</v>
      </c>
    </row>
    <row r="187" spans="1:13" x14ac:dyDescent="0.3">
      <c r="A187">
        <v>796</v>
      </c>
      <c r="B187" s="1">
        <v>40579</v>
      </c>
      <c r="C187">
        <v>14</v>
      </c>
      <c r="D187" t="b">
        <v>0</v>
      </c>
      <c r="E187" t="s">
        <v>29</v>
      </c>
      <c r="F187" t="s">
        <v>32</v>
      </c>
      <c r="G187">
        <v>0.22</v>
      </c>
      <c r="H187">
        <v>0.2727</v>
      </c>
      <c r="I187">
        <v>1</v>
      </c>
      <c r="J187">
        <v>0</v>
      </c>
      <c r="K187">
        <v>5</v>
      </c>
      <c r="L187">
        <v>50</v>
      </c>
      <c r="M187">
        <v>55</v>
      </c>
    </row>
    <row r="188" spans="1:13" x14ac:dyDescent="0.3">
      <c r="A188">
        <v>797</v>
      </c>
      <c r="B188" s="1">
        <v>40579</v>
      </c>
      <c r="C188">
        <v>15</v>
      </c>
      <c r="D188" t="b">
        <v>0</v>
      </c>
      <c r="E188" t="s">
        <v>29</v>
      </c>
      <c r="F188" t="s">
        <v>32</v>
      </c>
      <c r="G188">
        <v>0.22</v>
      </c>
      <c r="H188">
        <v>0.2727</v>
      </c>
      <c r="I188">
        <v>1</v>
      </c>
      <c r="J188">
        <v>0</v>
      </c>
      <c r="K188">
        <v>11</v>
      </c>
      <c r="L188">
        <v>49</v>
      </c>
      <c r="M188">
        <v>60</v>
      </c>
    </row>
    <row r="189" spans="1:13" x14ac:dyDescent="0.3">
      <c r="A189">
        <v>798</v>
      </c>
      <c r="B189" s="1">
        <v>40579</v>
      </c>
      <c r="C189">
        <v>16</v>
      </c>
      <c r="D189" t="b">
        <v>0</v>
      </c>
      <c r="E189" t="s">
        <v>29</v>
      </c>
      <c r="F189" t="s">
        <v>32</v>
      </c>
      <c r="G189">
        <v>0.22</v>
      </c>
      <c r="H189">
        <v>0.2273</v>
      </c>
      <c r="I189">
        <v>1</v>
      </c>
      <c r="J189">
        <v>0.1343</v>
      </c>
      <c r="K189">
        <v>8</v>
      </c>
      <c r="L189">
        <v>63</v>
      </c>
      <c r="M189">
        <v>71</v>
      </c>
    </row>
    <row r="190" spans="1:13" x14ac:dyDescent="0.3">
      <c r="A190">
        <v>799</v>
      </c>
      <c r="B190" s="1">
        <v>40579</v>
      </c>
      <c r="C190">
        <v>17</v>
      </c>
      <c r="D190" t="b">
        <v>0</v>
      </c>
      <c r="E190" t="s">
        <v>29</v>
      </c>
      <c r="F190" t="s">
        <v>31</v>
      </c>
      <c r="G190">
        <v>0.24</v>
      </c>
      <c r="H190">
        <v>0.21210000000000001</v>
      </c>
      <c r="I190">
        <v>1</v>
      </c>
      <c r="J190">
        <v>0.28360000000000002</v>
      </c>
      <c r="K190">
        <v>14</v>
      </c>
      <c r="L190">
        <v>64</v>
      </c>
      <c r="M190">
        <v>78</v>
      </c>
    </row>
    <row r="191" spans="1:13" x14ac:dyDescent="0.3">
      <c r="A191">
        <v>800</v>
      </c>
      <c r="B191" s="1">
        <v>40579</v>
      </c>
      <c r="C191">
        <v>18</v>
      </c>
      <c r="D191" t="b">
        <v>0</v>
      </c>
      <c r="E191" t="s">
        <v>29</v>
      </c>
      <c r="F191" t="s">
        <v>31</v>
      </c>
      <c r="G191">
        <v>0.28000000000000003</v>
      </c>
      <c r="H191">
        <v>0.2424</v>
      </c>
      <c r="I191">
        <v>0.93</v>
      </c>
      <c r="J191">
        <v>0.44779999999999998</v>
      </c>
      <c r="K191">
        <v>2</v>
      </c>
      <c r="L191">
        <v>81</v>
      </c>
      <c r="M191">
        <v>83</v>
      </c>
    </row>
    <row r="192" spans="1:13" x14ac:dyDescent="0.3">
      <c r="A192">
        <v>801</v>
      </c>
      <c r="B192" s="1">
        <v>40579</v>
      </c>
      <c r="C192">
        <v>19</v>
      </c>
      <c r="D192" t="b">
        <v>0</v>
      </c>
      <c r="E192" t="s">
        <v>29</v>
      </c>
      <c r="F192" t="s">
        <v>31</v>
      </c>
      <c r="G192">
        <v>0.28000000000000003</v>
      </c>
      <c r="H192">
        <v>0.2424</v>
      </c>
      <c r="I192">
        <v>0.93</v>
      </c>
      <c r="J192">
        <v>0.44779999999999998</v>
      </c>
      <c r="K192">
        <v>6</v>
      </c>
      <c r="L192">
        <v>78</v>
      </c>
      <c r="M192">
        <v>84</v>
      </c>
    </row>
    <row r="193" spans="1:13" x14ac:dyDescent="0.3">
      <c r="A193">
        <v>802</v>
      </c>
      <c r="B193" s="1">
        <v>40579</v>
      </c>
      <c r="C193">
        <v>20</v>
      </c>
      <c r="D193" t="b">
        <v>0</v>
      </c>
      <c r="E193" t="s">
        <v>29</v>
      </c>
      <c r="F193" t="s">
        <v>30</v>
      </c>
      <c r="G193">
        <v>0.3</v>
      </c>
      <c r="H193">
        <v>0.28789999999999999</v>
      </c>
      <c r="I193">
        <v>0.87</v>
      </c>
      <c r="J193">
        <v>0.25369999999999998</v>
      </c>
      <c r="K193">
        <v>5</v>
      </c>
      <c r="L193">
        <v>64</v>
      </c>
      <c r="M193">
        <v>69</v>
      </c>
    </row>
    <row r="194" spans="1:13" x14ac:dyDescent="0.3">
      <c r="A194">
        <v>803</v>
      </c>
      <c r="B194" s="1">
        <v>40579</v>
      </c>
      <c r="C194">
        <v>21</v>
      </c>
      <c r="D194" t="b">
        <v>0</v>
      </c>
      <c r="E194" t="s">
        <v>29</v>
      </c>
      <c r="F194" t="s">
        <v>30</v>
      </c>
      <c r="G194">
        <v>0.26</v>
      </c>
      <c r="H194">
        <v>0.2576</v>
      </c>
      <c r="I194">
        <v>1</v>
      </c>
      <c r="J194">
        <v>0.19400000000000001</v>
      </c>
      <c r="K194">
        <v>3</v>
      </c>
      <c r="L194">
        <v>53</v>
      </c>
      <c r="M194">
        <v>56</v>
      </c>
    </row>
    <row r="195" spans="1:13" x14ac:dyDescent="0.3">
      <c r="A195">
        <v>804</v>
      </c>
      <c r="B195" s="1">
        <v>40579</v>
      </c>
      <c r="C195">
        <v>22</v>
      </c>
      <c r="D195" t="b">
        <v>0</v>
      </c>
      <c r="E195" t="s">
        <v>29</v>
      </c>
      <c r="F195" t="s">
        <v>30</v>
      </c>
      <c r="G195">
        <v>0.26</v>
      </c>
      <c r="H195">
        <v>0.2727</v>
      </c>
      <c r="I195">
        <v>0.93</v>
      </c>
      <c r="J195">
        <v>0.1343</v>
      </c>
      <c r="K195">
        <v>2</v>
      </c>
      <c r="L195">
        <v>43</v>
      </c>
      <c r="M195">
        <v>45</v>
      </c>
    </row>
    <row r="196" spans="1:13" x14ac:dyDescent="0.3">
      <c r="A196">
        <v>805</v>
      </c>
      <c r="B196" s="1">
        <v>40579</v>
      </c>
      <c r="C196">
        <v>23</v>
      </c>
      <c r="D196" t="b">
        <v>0</v>
      </c>
      <c r="E196" t="s">
        <v>29</v>
      </c>
      <c r="F196" t="s">
        <v>30</v>
      </c>
      <c r="G196">
        <v>0.26</v>
      </c>
      <c r="H196">
        <v>0.2576</v>
      </c>
      <c r="I196">
        <v>0.93</v>
      </c>
      <c r="J196">
        <v>0.22389999999999999</v>
      </c>
      <c r="K196">
        <v>7</v>
      </c>
      <c r="L196">
        <v>52</v>
      </c>
      <c r="M196">
        <v>59</v>
      </c>
    </row>
    <row r="197" spans="1:13" x14ac:dyDescent="0.3">
      <c r="A197">
        <v>806</v>
      </c>
      <c r="B197" s="1">
        <v>40580</v>
      </c>
      <c r="C197">
        <v>0</v>
      </c>
      <c r="D197" t="b">
        <v>0</v>
      </c>
      <c r="E197" t="s">
        <v>23</v>
      </c>
      <c r="F197" t="s">
        <v>30</v>
      </c>
      <c r="G197">
        <v>0.26</v>
      </c>
      <c r="H197">
        <v>0.2576</v>
      </c>
      <c r="I197">
        <v>0.7</v>
      </c>
      <c r="J197">
        <v>0.19400000000000001</v>
      </c>
      <c r="K197">
        <v>2</v>
      </c>
      <c r="L197">
        <v>37</v>
      </c>
      <c r="M197">
        <v>39</v>
      </c>
    </row>
    <row r="198" spans="1:13" x14ac:dyDescent="0.3">
      <c r="A198">
        <v>807</v>
      </c>
      <c r="B198" s="1">
        <v>40580</v>
      </c>
      <c r="C198">
        <v>1</v>
      </c>
      <c r="D198" t="b">
        <v>0</v>
      </c>
      <c r="E198" t="s">
        <v>23</v>
      </c>
      <c r="F198" t="s">
        <v>30</v>
      </c>
      <c r="G198">
        <v>0.26</v>
      </c>
      <c r="H198">
        <v>0.2273</v>
      </c>
      <c r="I198">
        <v>0.65</v>
      </c>
      <c r="J198">
        <v>0.41789999999999999</v>
      </c>
      <c r="K198">
        <v>4</v>
      </c>
      <c r="L198">
        <v>40</v>
      </c>
      <c r="M198">
        <v>44</v>
      </c>
    </row>
    <row r="199" spans="1:13" x14ac:dyDescent="0.3">
      <c r="A199">
        <v>808</v>
      </c>
      <c r="B199" s="1">
        <v>40580</v>
      </c>
      <c r="C199">
        <v>2</v>
      </c>
      <c r="D199" t="b">
        <v>0</v>
      </c>
      <c r="E199" t="s">
        <v>23</v>
      </c>
      <c r="F199" t="s">
        <v>30</v>
      </c>
      <c r="G199">
        <v>0.26</v>
      </c>
      <c r="H199">
        <v>0.2273</v>
      </c>
      <c r="I199">
        <v>0.6</v>
      </c>
      <c r="J199">
        <v>0.32840000000000003</v>
      </c>
      <c r="K199">
        <v>0</v>
      </c>
      <c r="L199">
        <v>20</v>
      </c>
      <c r="M199">
        <v>20</v>
      </c>
    </row>
    <row r="200" spans="1:13" x14ac:dyDescent="0.3">
      <c r="A200">
        <v>809</v>
      </c>
      <c r="B200" s="1">
        <v>40580</v>
      </c>
      <c r="C200">
        <v>3</v>
      </c>
      <c r="D200" t="b">
        <v>0</v>
      </c>
      <c r="E200" t="s">
        <v>23</v>
      </c>
      <c r="F200" t="s">
        <v>30</v>
      </c>
      <c r="G200">
        <v>0.26</v>
      </c>
      <c r="H200">
        <v>0.28789999999999999</v>
      </c>
      <c r="I200">
        <v>0.6</v>
      </c>
      <c r="J200">
        <v>8.9599999999999999E-2</v>
      </c>
      <c r="K200">
        <v>3</v>
      </c>
      <c r="L200">
        <v>10</v>
      </c>
      <c r="M200">
        <v>13</v>
      </c>
    </row>
    <row r="201" spans="1:13" x14ac:dyDescent="0.3">
      <c r="A201">
        <v>810</v>
      </c>
      <c r="B201" s="1">
        <v>40580</v>
      </c>
      <c r="C201">
        <v>4</v>
      </c>
      <c r="D201" t="b">
        <v>0</v>
      </c>
      <c r="E201" t="s">
        <v>23</v>
      </c>
      <c r="F201" t="s">
        <v>30</v>
      </c>
      <c r="G201">
        <v>0.26</v>
      </c>
      <c r="H201">
        <v>0.2273</v>
      </c>
      <c r="I201">
        <v>0.6</v>
      </c>
      <c r="J201">
        <v>0.35820000000000002</v>
      </c>
      <c r="K201">
        <v>0</v>
      </c>
      <c r="L201">
        <v>2</v>
      </c>
      <c r="M201">
        <v>2</v>
      </c>
    </row>
    <row r="202" spans="1:13" x14ac:dyDescent="0.3">
      <c r="A202">
        <v>811</v>
      </c>
      <c r="B202" s="1">
        <v>40580</v>
      </c>
      <c r="C202">
        <v>5</v>
      </c>
      <c r="D202" t="b">
        <v>0</v>
      </c>
      <c r="E202" t="s">
        <v>23</v>
      </c>
      <c r="F202" t="s">
        <v>30</v>
      </c>
      <c r="G202">
        <v>0.26</v>
      </c>
      <c r="H202">
        <v>0.2576</v>
      </c>
      <c r="I202">
        <v>0.6</v>
      </c>
      <c r="J202">
        <v>0.22389999999999999</v>
      </c>
      <c r="K202">
        <v>0</v>
      </c>
      <c r="L202">
        <v>1</v>
      </c>
      <c r="M202">
        <v>1</v>
      </c>
    </row>
    <row r="203" spans="1:13" x14ac:dyDescent="0.3">
      <c r="A203">
        <v>812</v>
      </c>
      <c r="B203" s="1">
        <v>40580</v>
      </c>
      <c r="C203">
        <v>6</v>
      </c>
      <c r="D203" t="b">
        <v>0</v>
      </c>
      <c r="E203" t="s">
        <v>23</v>
      </c>
      <c r="F203" t="s">
        <v>30</v>
      </c>
      <c r="G203">
        <v>0.26</v>
      </c>
      <c r="H203">
        <v>0.2576</v>
      </c>
      <c r="I203">
        <v>0.6</v>
      </c>
      <c r="J203">
        <v>0.22389999999999999</v>
      </c>
      <c r="K203">
        <v>0</v>
      </c>
      <c r="L203">
        <v>1</v>
      </c>
      <c r="M203">
        <v>1</v>
      </c>
    </row>
    <row r="204" spans="1:13" x14ac:dyDescent="0.3">
      <c r="A204">
        <v>813</v>
      </c>
      <c r="B204" s="1">
        <v>40580</v>
      </c>
      <c r="C204">
        <v>7</v>
      </c>
      <c r="D204" t="b">
        <v>0</v>
      </c>
      <c r="E204" t="s">
        <v>23</v>
      </c>
      <c r="F204" t="s">
        <v>30</v>
      </c>
      <c r="G204">
        <v>0.24</v>
      </c>
      <c r="H204">
        <v>0.2424</v>
      </c>
      <c r="I204">
        <v>0.65</v>
      </c>
      <c r="J204">
        <v>0.16420000000000001</v>
      </c>
      <c r="K204">
        <v>0</v>
      </c>
      <c r="L204">
        <v>8</v>
      </c>
      <c r="M204">
        <v>8</v>
      </c>
    </row>
    <row r="205" spans="1:13" x14ac:dyDescent="0.3">
      <c r="A205">
        <v>814</v>
      </c>
      <c r="B205" s="1">
        <v>40580</v>
      </c>
      <c r="C205">
        <v>8</v>
      </c>
      <c r="D205" t="b">
        <v>0</v>
      </c>
      <c r="E205" t="s">
        <v>23</v>
      </c>
      <c r="F205" t="s">
        <v>30</v>
      </c>
      <c r="G205">
        <v>0.24</v>
      </c>
      <c r="H205">
        <v>0.2576</v>
      </c>
      <c r="I205">
        <v>0.65</v>
      </c>
      <c r="J205">
        <v>0.1045</v>
      </c>
      <c r="K205">
        <v>2</v>
      </c>
      <c r="L205">
        <v>21</v>
      </c>
      <c r="M205">
        <v>23</v>
      </c>
    </row>
    <row r="206" spans="1:13" x14ac:dyDescent="0.3">
      <c r="A206">
        <v>815</v>
      </c>
      <c r="B206" s="1">
        <v>40580</v>
      </c>
      <c r="C206">
        <v>9</v>
      </c>
      <c r="D206" t="b">
        <v>0</v>
      </c>
      <c r="E206" t="s">
        <v>23</v>
      </c>
      <c r="F206" t="s">
        <v>30</v>
      </c>
      <c r="G206">
        <v>0.28000000000000003</v>
      </c>
      <c r="H206">
        <v>0.28789999999999999</v>
      </c>
      <c r="I206">
        <v>0.56000000000000005</v>
      </c>
      <c r="J206">
        <v>0.1045</v>
      </c>
      <c r="K206">
        <v>7</v>
      </c>
      <c r="L206">
        <v>38</v>
      </c>
      <c r="M206">
        <v>45</v>
      </c>
    </row>
    <row r="207" spans="1:13" x14ac:dyDescent="0.3">
      <c r="A207">
        <v>816</v>
      </c>
      <c r="B207" s="1">
        <v>40580</v>
      </c>
      <c r="C207">
        <v>10</v>
      </c>
      <c r="D207" t="b">
        <v>0</v>
      </c>
      <c r="E207" t="s">
        <v>23</v>
      </c>
      <c r="F207" t="s">
        <v>30</v>
      </c>
      <c r="G207">
        <v>0.3</v>
      </c>
      <c r="H207">
        <v>0.28789999999999999</v>
      </c>
      <c r="I207">
        <v>0.52</v>
      </c>
      <c r="J207">
        <v>0.25369999999999998</v>
      </c>
      <c r="K207">
        <v>15</v>
      </c>
      <c r="L207">
        <v>74</v>
      </c>
      <c r="M207">
        <v>89</v>
      </c>
    </row>
    <row r="208" spans="1:13" x14ac:dyDescent="0.3">
      <c r="A208">
        <v>817</v>
      </c>
      <c r="B208" s="1">
        <v>40580</v>
      </c>
      <c r="C208">
        <v>11</v>
      </c>
      <c r="D208" t="b">
        <v>0</v>
      </c>
      <c r="E208" t="s">
        <v>23</v>
      </c>
      <c r="F208" t="s">
        <v>30</v>
      </c>
      <c r="G208">
        <v>0.32</v>
      </c>
      <c r="H208">
        <v>0.30299999999999999</v>
      </c>
      <c r="I208">
        <v>0.49</v>
      </c>
      <c r="J208">
        <v>0.25369999999999998</v>
      </c>
      <c r="K208">
        <v>28</v>
      </c>
      <c r="L208">
        <v>89</v>
      </c>
      <c r="M208">
        <v>117</v>
      </c>
    </row>
    <row r="209" spans="1:13" x14ac:dyDescent="0.3">
      <c r="A209">
        <v>818</v>
      </c>
      <c r="B209" s="1">
        <v>40580</v>
      </c>
      <c r="C209">
        <v>12</v>
      </c>
      <c r="D209" t="b">
        <v>0</v>
      </c>
      <c r="E209" t="s">
        <v>23</v>
      </c>
      <c r="F209" t="s">
        <v>30</v>
      </c>
      <c r="G209">
        <v>0.34</v>
      </c>
      <c r="H209">
        <v>0.33329999999999999</v>
      </c>
      <c r="I209">
        <v>0.46</v>
      </c>
      <c r="J209">
        <v>0</v>
      </c>
      <c r="K209">
        <v>48</v>
      </c>
      <c r="L209">
        <v>126</v>
      </c>
      <c r="M209">
        <v>174</v>
      </c>
    </row>
    <row r="210" spans="1:13" x14ac:dyDescent="0.3">
      <c r="A210">
        <v>819</v>
      </c>
      <c r="B210" s="1">
        <v>40580</v>
      </c>
      <c r="C210">
        <v>13</v>
      </c>
      <c r="D210" t="b">
        <v>0</v>
      </c>
      <c r="E210" t="s">
        <v>23</v>
      </c>
      <c r="F210" t="s">
        <v>30</v>
      </c>
      <c r="G210">
        <v>0.34</v>
      </c>
      <c r="H210">
        <v>0.36359999999999998</v>
      </c>
      <c r="I210">
        <v>0.46</v>
      </c>
      <c r="J210">
        <v>0</v>
      </c>
      <c r="K210">
        <v>47</v>
      </c>
      <c r="L210">
        <v>135</v>
      </c>
      <c r="M210">
        <v>182</v>
      </c>
    </row>
    <row r="211" spans="1:13" x14ac:dyDescent="0.3">
      <c r="A211">
        <v>820</v>
      </c>
      <c r="B211" s="1">
        <v>40580</v>
      </c>
      <c r="C211">
        <v>14</v>
      </c>
      <c r="D211" t="b">
        <v>0</v>
      </c>
      <c r="E211" t="s">
        <v>23</v>
      </c>
      <c r="F211" t="s">
        <v>30</v>
      </c>
      <c r="G211">
        <v>0.34</v>
      </c>
      <c r="H211">
        <v>0.34849999999999998</v>
      </c>
      <c r="I211">
        <v>0.46</v>
      </c>
      <c r="J211">
        <v>8.9599999999999999E-2</v>
      </c>
      <c r="K211">
        <v>47</v>
      </c>
      <c r="L211">
        <v>114</v>
      </c>
      <c r="M211">
        <v>161</v>
      </c>
    </row>
    <row r="212" spans="1:13" x14ac:dyDescent="0.3">
      <c r="A212">
        <v>821</v>
      </c>
      <c r="B212" s="1">
        <v>40580</v>
      </c>
      <c r="C212">
        <v>15</v>
      </c>
      <c r="D212" t="b">
        <v>0</v>
      </c>
      <c r="E212" t="s">
        <v>23</v>
      </c>
      <c r="F212" t="s">
        <v>30</v>
      </c>
      <c r="G212">
        <v>0.34</v>
      </c>
      <c r="H212">
        <v>0.34849999999999998</v>
      </c>
      <c r="I212">
        <v>0.46</v>
      </c>
      <c r="J212">
        <v>8.9599999999999999E-2</v>
      </c>
      <c r="K212">
        <v>52</v>
      </c>
      <c r="L212">
        <v>130</v>
      </c>
      <c r="M212">
        <v>182</v>
      </c>
    </row>
    <row r="213" spans="1:13" x14ac:dyDescent="0.3">
      <c r="A213">
        <v>822</v>
      </c>
      <c r="B213" s="1">
        <v>40580</v>
      </c>
      <c r="C213">
        <v>16</v>
      </c>
      <c r="D213" t="b">
        <v>0</v>
      </c>
      <c r="E213" t="s">
        <v>23</v>
      </c>
      <c r="F213" t="s">
        <v>30</v>
      </c>
      <c r="G213">
        <v>0.34</v>
      </c>
      <c r="H213">
        <v>0.34849999999999998</v>
      </c>
      <c r="I213">
        <v>0.49</v>
      </c>
      <c r="J213">
        <v>0.1045</v>
      </c>
      <c r="K213">
        <v>42</v>
      </c>
      <c r="L213">
        <v>115</v>
      </c>
      <c r="M213">
        <v>157</v>
      </c>
    </row>
    <row r="214" spans="1:13" x14ac:dyDescent="0.3">
      <c r="A214">
        <v>823</v>
      </c>
      <c r="B214" s="1">
        <v>40580</v>
      </c>
      <c r="C214">
        <v>17</v>
      </c>
      <c r="D214" t="b">
        <v>0</v>
      </c>
      <c r="E214" t="s">
        <v>23</v>
      </c>
      <c r="F214" t="s">
        <v>30</v>
      </c>
      <c r="G214">
        <v>0.34</v>
      </c>
      <c r="H214">
        <v>0.36359999999999998</v>
      </c>
      <c r="I214">
        <v>0.46</v>
      </c>
      <c r="J214">
        <v>0</v>
      </c>
      <c r="K214">
        <v>24</v>
      </c>
      <c r="L214">
        <v>97</v>
      </c>
      <c r="M214">
        <v>121</v>
      </c>
    </row>
    <row r="215" spans="1:13" x14ac:dyDescent="0.3">
      <c r="A215">
        <v>824</v>
      </c>
      <c r="B215" s="1">
        <v>40580</v>
      </c>
      <c r="C215">
        <v>18</v>
      </c>
      <c r="D215" t="b">
        <v>0</v>
      </c>
      <c r="E215" t="s">
        <v>23</v>
      </c>
      <c r="F215" t="s">
        <v>30</v>
      </c>
      <c r="G215">
        <v>0.3</v>
      </c>
      <c r="H215">
        <v>0.30299999999999999</v>
      </c>
      <c r="I215">
        <v>0.56000000000000005</v>
      </c>
      <c r="J215">
        <v>0.16420000000000001</v>
      </c>
      <c r="K215">
        <v>13</v>
      </c>
      <c r="L215">
        <v>65</v>
      </c>
      <c r="M215">
        <v>78</v>
      </c>
    </row>
    <row r="216" spans="1:13" x14ac:dyDescent="0.3">
      <c r="A216">
        <v>825</v>
      </c>
      <c r="B216" s="1">
        <v>40580</v>
      </c>
      <c r="C216">
        <v>19</v>
      </c>
      <c r="D216" t="b">
        <v>0</v>
      </c>
      <c r="E216" t="s">
        <v>23</v>
      </c>
      <c r="F216" t="s">
        <v>30</v>
      </c>
      <c r="G216">
        <v>0.28000000000000003</v>
      </c>
      <c r="H216">
        <v>0.28789999999999999</v>
      </c>
      <c r="I216">
        <v>0.61</v>
      </c>
      <c r="J216">
        <v>0.1343</v>
      </c>
      <c r="K216">
        <v>1</v>
      </c>
      <c r="L216">
        <v>20</v>
      </c>
      <c r="M216">
        <v>21</v>
      </c>
    </row>
    <row r="217" spans="1:13" x14ac:dyDescent="0.3">
      <c r="A217">
        <v>826</v>
      </c>
      <c r="B217" s="1">
        <v>40580</v>
      </c>
      <c r="C217">
        <v>20</v>
      </c>
      <c r="D217" t="b">
        <v>0</v>
      </c>
      <c r="E217" t="s">
        <v>23</v>
      </c>
      <c r="F217" t="s">
        <v>30</v>
      </c>
      <c r="G217">
        <v>0.28000000000000003</v>
      </c>
      <c r="H217">
        <v>0.28789999999999999</v>
      </c>
      <c r="I217">
        <v>0.61</v>
      </c>
      <c r="J217">
        <v>0.1045</v>
      </c>
      <c r="K217">
        <v>5</v>
      </c>
      <c r="L217">
        <v>21</v>
      </c>
      <c r="M217">
        <v>26</v>
      </c>
    </row>
    <row r="218" spans="1:13" x14ac:dyDescent="0.3">
      <c r="A218">
        <v>827</v>
      </c>
      <c r="B218" s="1">
        <v>40580</v>
      </c>
      <c r="C218">
        <v>21</v>
      </c>
      <c r="D218" t="b">
        <v>0</v>
      </c>
      <c r="E218" t="s">
        <v>23</v>
      </c>
      <c r="F218" t="s">
        <v>30</v>
      </c>
      <c r="G218">
        <v>0.26</v>
      </c>
      <c r="H218">
        <v>0.30299999999999999</v>
      </c>
      <c r="I218">
        <v>0.6</v>
      </c>
      <c r="J218">
        <v>0</v>
      </c>
      <c r="K218">
        <v>5</v>
      </c>
      <c r="L218">
        <v>22</v>
      </c>
      <c r="M218">
        <v>27</v>
      </c>
    </row>
    <row r="219" spans="1:13" x14ac:dyDescent="0.3">
      <c r="A219">
        <v>828</v>
      </c>
      <c r="B219" s="1">
        <v>40580</v>
      </c>
      <c r="C219">
        <v>22</v>
      </c>
      <c r="D219" t="b">
        <v>0</v>
      </c>
      <c r="E219" t="s">
        <v>23</v>
      </c>
      <c r="F219" t="s">
        <v>30</v>
      </c>
      <c r="G219">
        <v>0.26</v>
      </c>
      <c r="H219">
        <v>0.30299999999999999</v>
      </c>
      <c r="I219">
        <v>0.6</v>
      </c>
      <c r="J219">
        <v>0</v>
      </c>
      <c r="K219">
        <v>5</v>
      </c>
      <c r="L219">
        <v>57</v>
      </c>
      <c r="M219">
        <v>62</v>
      </c>
    </row>
    <row r="220" spans="1:13" x14ac:dyDescent="0.3">
      <c r="A220">
        <v>829</v>
      </c>
      <c r="B220" s="1">
        <v>40580</v>
      </c>
      <c r="C220">
        <v>23</v>
      </c>
      <c r="D220" t="b">
        <v>0</v>
      </c>
      <c r="E220" t="s">
        <v>23</v>
      </c>
      <c r="F220" t="s">
        <v>30</v>
      </c>
      <c r="G220">
        <v>0.24</v>
      </c>
      <c r="H220">
        <v>0.28789999999999999</v>
      </c>
      <c r="I220">
        <v>0.65</v>
      </c>
      <c r="J220">
        <v>0</v>
      </c>
      <c r="K220">
        <v>4</v>
      </c>
      <c r="L220">
        <v>26</v>
      </c>
      <c r="M220">
        <v>30</v>
      </c>
    </row>
    <row r="221" spans="1:13" x14ac:dyDescent="0.3">
      <c r="A221">
        <v>830</v>
      </c>
      <c r="B221" s="1">
        <v>40581</v>
      </c>
      <c r="C221">
        <v>0</v>
      </c>
      <c r="D221" t="b">
        <v>0</v>
      </c>
      <c r="E221" t="s">
        <v>24</v>
      </c>
      <c r="F221" t="s">
        <v>30</v>
      </c>
      <c r="G221">
        <v>0.24</v>
      </c>
      <c r="H221">
        <v>0.28789999999999999</v>
      </c>
      <c r="I221">
        <v>0.65</v>
      </c>
      <c r="J221">
        <v>0</v>
      </c>
      <c r="K221">
        <v>1</v>
      </c>
      <c r="L221">
        <v>14</v>
      </c>
      <c r="M221">
        <v>15</v>
      </c>
    </row>
    <row r="222" spans="1:13" x14ac:dyDescent="0.3">
      <c r="A222">
        <v>831</v>
      </c>
      <c r="B222" s="1">
        <v>40581</v>
      </c>
      <c r="C222">
        <v>1</v>
      </c>
      <c r="D222" t="b">
        <v>0</v>
      </c>
      <c r="E222" t="s">
        <v>24</v>
      </c>
      <c r="F222" t="s">
        <v>30</v>
      </c>
      <c r="G222">
        <v>0.22</v>
      </c>
      <c r="H222">
        <v>0.2727</v>
      </c>
      <c r="I222">
        <v>0.75</v>
      </c>
      <c r="J222">
        <v>0</v>
      </c>
      <c r="K222">
        <v>1</v>
      </c>
      <c r="L222">
        <v>4</v>
      </c>
      <c r="M222">
        <v>5</v>
      </c>
    </row>
    <row r="223" spans="1:13" x14ac:dyDescent="0.3">
      <c r="A223">
        <v>832</v>
      </c>
      <c r="B223" s="1">
        <v>40581</v>
      </c>
      <c r="C223">
        <v>2</v>
      </c>
      <c r="D223" t="b">
        <v>0</v>
      </c>
      <c r="E223" t="s">
        <v>24</v>
      </c>
      <c r="F223" t="s">
        <v>30</v>
      </c>
      <c r="G223">
        <v>0.2</v>
      </c>
      <c r="H223">
        <v>0.2576</v>
      </c>
      <c r="I223">
        <v>0.8</v>
      </c>
      <c r="J223">
        <v>0</v>
      </c>
      <c r="K223">
        <v>0</v>
      </c>
      <c r="L223">
        <v>3</v>
      </c>
      <c r="M223">
        <v>3</v>
      </c>
    </row>
    <row r="224" spans="1:13" x14ac:dyDescent="0.3">
      <c r="A224">
        <v>833</v>
      </c>
      <c r="B224" s="1">
        <v>40581</v>
      </c>
      <c r="C224">
        <v>3</v>
      </c>
      <c r="D224" t="b">
        <v>0</v>
      </c>
      <c r="E224" t="s">
        <v>24</v>
      </c>
      <c r="F224" t="s">
        <v>30</v>
      </c>
      <c r="G224">
        <v>0.2</v>
      </c>
      <c r="H224">
        <v>0.2576</v>
      </c>
      <c r="I224">
        <v>0.86</v>
      </c>
      <c r="J224">
        <v>0</v>
      </c>
      <c r="K224">
        <v>0</v>
      </c>
      <c r="L224">
        <v>1</v>
      </c>
      <c r="M224">
        <v>1</v>
      </c>
    </row>
    <row r="225" spans="1:13" x14ac:dyDescent="0.3">
      <c r="A225">
        <v>834</v>
      </c>
      <c r="B225" s="1">
        <v>40581</v>
      </c>
      <c r="C225">
        <v>4</v>
      </c>
      <c r="D225" t="b">
        <v>0</v>
      </c>
      <c r="E225" t="s">
        <v>24</v>
      </c>
      <c r="F225" t="s">
        <v>30</v>
      </c>
      <c r="G225">
        <v>0.2</v>
      </c>
      <c r="H225">
        <v>0.2576</v>
      </c>
      <c r="I225">
        <v>0.86</v>
      </c>
      <c r="J225">
        <v>0</v>
      </c>
      <c r="K225">
        <v>1</v>
      </c>
      <c r="L225">
        <v>1</v>
      </c>
      <c r="M225">
        <v>2</v>
      </c>
    </row>
    <row r="226" spans="1:13" x14ac:dyDescent="0.3">
      <c r="A226">
        <v>835</v>
      </c>
      <c r="B226" s="1">
        <v>40581</v>
      </c>
      <c r="C226">
        <v>5</v>
      </c>
      <c r="D226" t="b">
        <v>0</v>
      </c>
      <c r="E226" t="s">
        <v>24</v>
      </c>
      <c r="F226" t="s">
        <v>30</v>
      </c>
      <c r="G226">
        <v>0.2</v>
      </c>
      <c r="H226">
        <v>0.2576</v>
      </c>
      <c r="I226">
        <v>0.86</v>
      </c>
      <c r="J226">
        <v>0</v>
      </c>
      <c r="K226">
        <v>1</v>
      </c>
      <c r="L226">
        <v>9</v>
      </c>
      <c r="M226">
        <v>10</v>
      </c>
    </row>
    <row r="227" spans="1:13" x14ac:dyDescent="0.3">
      <c r="A227">
        <v>836</v>
      </c>
      <c r="B227" s="1">
        <v>40581</v>
      </c>
      <c r="C227">
        <v>6</v>
      </c>
      <c r="D227" t="b">
        <v>0</v>
      </c>
      <c r="E227" t="s">
        <v>24</v>
      </c>
      <c r="F227" t="s">
        <v>30</v>
      </c>
      <c r="G227">
        <v>0.18</v>
      </c>
      <c r="H227">
        <v>0.2424</v>
      </c>
      <c r="I227">
        <v>0.93</v>
      </c>
      <c r="J227">
        <v>0</v>
      </c>
      <c r="K227">
        <v>1</v>
      </c>
      <c r="L227">
        <v>29</v>
      </c>
      <c r="M227">
        <v>30</v>
      </c>
    </row>
    <row r="228" spans="1:13" x14ac:dyDescent="0.3">
      <c r="A228">
        <v>837</v>
      </c>
      <c r="B228" s="1">
        <v>40581</v>
      </c>
      <c r="C228">
        <v>7</v>
      </c>
      <c r="D228" t="b">
        <v>0</v>
      </c>
      <c r="E228" t="s">
        <v>24</v>
      </c>
      <c r="F228" t="s">
        <v>30</v>
      </c>
      <c r="G228">
        <v>0.18</v>
      </c>
      <c r="H228">
        <v>0.2424</v>
      </c>
      <c r="I228">
        <v>0.86</v>
      </c>
      <c r="J228">
        <v>0</v>
      </c>
      <c r="K228">
        <v>6</v>
      </c>
      <c r="L228">
        <v>89</v>
      </c>
      <c r="M228">
        <v>95</v>
      </c>
    </row>
    <row r="229" spans="1:13" x14ac:dyDescent="0.3">
      <c r="A229">
        <v>838</v>
      </c>
      <c r="B229" s="1">
        <v>40581</v>
      </c>
      <c r="C229">
        <v>8</v>
      </c>
      <c r="D229" t="b">
        <v>0</v>
      </c>
      <c r="E229" t="s">
        <v>24</v>
      </c>
      <c r="F229" t="s">
        <v>31</v>
      </c>
      <c r="G229">
        <v>0.16</v>
      </c>
      <c r="H229">
        <v>0.2273</v>
      </c>
      <c r="I229">
        <v>1</v>
      </c>
      <c r="J229">
        <v>0</v>
      </c>
      <c r="K229">
        <v>7</v>
      </c>
      <c r="L229">
        <v>223</v>
      </c>
      <c r="M229">
        <v>230</v>
      </c>
    </row>
    <row r="230" spans="1:13" x14ac:dyDescent="0.3">
      <c r="A230">
        <v>839</v>
      </c>
      <c r="B230" s="1">
        <v>40581</v>
      </c>
      <c r="C230">
        <v>9</v>
      </c>
      <c r="D230" t="b">
        <v>0</v>
      </c>
      <c r="E230" t="s">
        <v>24</v>
      </c>
      <c r="F230" t="s">
        <v>30</v>
      </c>
      <c r="G230">
        <v>0.22</v>
      </c>
      <c r="H230">
        <v>0.2727</v>
      </c>
      <c r="I230">
        <v>0.8</v>
      </c>
      <c r="J230">
        <v>0</v>
      </c>
      <c r="K230">
        <v>3</v>
      </c>
      <c r="L230">
        <v>115</v>
      </c>
      <c r="M230">
        <v>118</v>
      </c>
    </row>
    <row r="231" spans="1:13" x14ac:dyDescent="0.3">
      <c r="A231">
        <v>840</v>
      </c>
      <c r="B231" s="1">
        <v>40581</v>
      </c>
      <c r="C231">
        <v>10</v>
      </c>
      <c r="D231" t="b">
        <v>0</v>
      </c>
      <c r="E231" t="s">
        <v>24</v>
      </c>
      <c r="F231" t="s">
        <v>30</v>
      </c>
      <c r="G231">
        <v>0.24</v>
      </c>
      <c r="H231">
        <v>0.2576</v>
      </c>
      <c r="I231">
        <v>0.75</v>
      </c>
      <c r="J231">
        <v>0.1045</v>
      </c>
      <c r="K231">
        <v>6</v>
      </c>
      <c r="L231">
        <v>49</v>
      </c>
      <c r="M231">
        <v>55</v>
      </c>
    </row>
    <row r="232" spans="1:13" x14ac:dyDescent="0.3">
      <c r="A232">
        <v>841</v>
      </c>
      <c r="B232" s="1">
        <v>40581</v>
      </c>
      <c r="C232">
        <v>11</v>
      </c>
      <c r="D232" t="b">
        <v>0</v>
      </c>
      <c r="E232" t="s">
        <v>24</v>
      </c>
      <c r="F232" t="s">
        <v>30</v>
      </c>
      <c r="G232">
        <v>0.3</v>
      </c>
      <c r="H232">
        <v>0.31819999999999998</v>
      </c>
      <c r="I232">
        <v>0.65</v>
      </c>
      <c r="J232">
        <v>8.9599999999999999E-2</v>
      </c>
      <c r="K232">
        <v>11</v>
      </c>
      <c r="L232">
        <v>36</v>
      </c>
      <c r="M232">
        <v>47</v>
      </c>
    </row>
    <row r="233" spans="1:13" x14ac:dyDescent="0.3">
      <c r="A233">
        <v>842</v>
      </c>
      <c r="B233" s="1">
        <v>40581</v>
      </c>
      <c r="C233">
        <v>12</v>
      </c>
      <c r="D233" t="b">
        <v>0</v>
      </c>
      <c r="E233" t="s">
        <v>24</v>
      </c>
      <c r="F233" t="s">
        <v>31</v>
      </c>
      <c r="G233">
        <v>0.32</v>
      </c>
      <c r="H233">
        <v>0.34849999999999998</v>
      </c>
      <c r="I233">
        <v>0.62</v>
      </c>
      <c r="J233">
        <v>0</v>
      </c>
      <c r="K233">
        <v>7</v>
      </c>
      <c r="L233">
        <v>59</v>
      </c>
      <c r="M233">
        <v>66</v>
      </c>
    </row>
    <row r="234" spans="1:13" x14ac:dyDescent="0.3">
      <c r="A234">
        <v>843</v>
      </c>
      <c r="B234" s="1">
        <v>40581</v>
      </c>
      <c r="C234">
        <v>13</v>
      </c>
      <c r="D234" t="b">
        <v>0</v>
      </c>
      <c r="E234" t="s">
        <v>24</v>
      </c>
      <c r="F234" t="s">
        <v>31</v>
      </c>
      <c r="G234">
        <v>0.36</v>
      </c>
      <c r="H234">
        <v>0.36359999999999998</v>
      </c>
      <c r="I234">
        <v>0.56999999999999995</v>
      </c>
      <c r="J234">
        <v>8.9599999999999999E-2</v>
      </c>
      <c r="K234">
        <v>10</v>
      </c>
      <c r="L234">
        <v>54</v>
      </c>
      <c r="M234">
        <v>64</v>
      </c>
    </row>
    <row r="235" spans="1:13" x14ac:dyDescent="0.3">
      <c r="A235">
        <v>844</v>
      </c>
      <c r="B235" s="1">
        <v>40581</v>
      </c>
      <c r="C235">
        <v>14</v>
      </c>
      <c r="D235" t="b">
        <v>0</v>
      </c>
      <c r="E235" t="s">
        <v>24</v>
      </c>
      <c r="F235" t="s">
        <v>31</v>
      </c>
      <c r="G235">
        <v>0.36</v>
      </c>
      <c r="H235">
        <v>0.36359999999999998</v>
      </c>
      <c r="I235">
        <v>0.56999999999999995</v>
      </c>
      <c r="J235">
        <v>8.9599999999999999E-2</v>
      </c>
      <c r="K235">
        <v>8</v>
      </c>
      <c r="L235">
        <v>52</v>
      </c>
      <c r="M235">
        <v>60</v>
      </c>
    </row>
    <row r="236" spans="1:13" x14ac:dyDescent="0.3">
      <c r="A236">
        <v>845</v>
      </c>
      <c r="B236" s="1">
        <v>40581</v>
      </c>
      <c r="C236">
        <v>15</v>
      </c>
      <c r="D236" t="b">
        <v>0</v>
      </c>
      <c r="E236" t="s">
        <v>24</v>
      </c>
      <c r="F236" t="s">
        <v>31</v>
      </c>
      <c r="G236">
        <v>0.38</v>
      </c>
      <c r="H236">
        <v>0.39389999999999997</v>
      </c>
      <c r="I236">
        <v>0.54</v>
      </c>
      <c r="J236">
        <v>8.9599999999999999E-2</v>
      </c>
      <c r="K236">
        <v>4</v>
      </c>
      <c r="L236">
        <v>46</v>
      </c>
      <c r="M236">
        <v>50</v>
      </c>
    </row>
    <row r="237" spans="1:13" x14ac:dyDescent="0.3">
      <c r="A237">
        <v>846</v>
      </c>
      <c r="B237" s="1">
        <v>40581</v>
      </c>
      <c r="C237">
        <v>16</v>
      </c>
      <c r="D237" t="b">
        <v>0</v>
      </c>
      <c r="E237" t="s">
        <v>24</v>
      </c>
      <c r="F237" t="s">
        <v>31</v>
      </c>
      <c r="G237">
        <v>0.36</v>
      </c>
      <c r="H237">
        <v>0.34849999999999998</v>
      </c>
      <c r="I237">
        <v>0.56999999999999995</v>
      </c>
      <c r="J237">
        <v>0.1343</v>
      </c>
      <c r="K237">
        <v>16</v>
      </c>
      <c r="L237">
        <v>98</v>
      </c>
      <c r="M237">
        <v>114</v>
      </c>
    </row>
    <row r="238" spans="1:13" x14ac:dyDescent="0.3">
      <c r="A238">
        <v>847</v>
      </c>
      <c r="B238" s="1">
        <v>40581</v>
      </c>
      <c r="C238">
        <v>17</v>
      </c>
      <c r="D238" t="b">
        <v>0</v>
      </c>
      <c r="E238" t="s">
        <v>24</v>
      </c>
      <c r="F238" t="s">
        <v>31</v>
      </c>
      <c r="G238">
        <v>0.32</v>
      </c>
      <c r="H238">
        <v>0.31819999999999998</v>
      </c>
      <c r="I238">
        <v>0.7</v>
      </c>
      <c r="J238">
        <v>0.16420000000000001</v>
      </c>
      <c r="K238">
        <v>9</v>
      </c>
      <c r="L238">
        <v>207</v>
      </c>
      <c r="M238">
        <v>216</v>
      </c>
    </row>
    <row r="239" spans="1:13" x14ac:dyDescent="0.3">
      <c r="A239">
        <v>848</v>
      </c>
      <c r="B239" s="1">
        <v>40581</v>
      </c>
      <c r="C239">
        <v>18</v>
      </c>
      <c r="D239" t="b">
        <v>0</v>
      </c>
      <c r="E239" t="s">
        <v>24</v>
      </c>
      <c r="F239" t="s">
        <v>31</v>
      </c>
      <c r="G239">
        <v>0.34</v>
      </c>
      <c r="H239">
        <v>0.33329999999999999</v>
      </c>
      <c r="I239">
        <v>0.66</v>
      </c>
      <c r="J239">
        <v>0.1343</v>
      </c>
      <c r="K239">
        <v>5</v>
      </c>
      <c r="L239">
        <v>170</v>
      </c>
      <c r="M239">
        <v>175</v>
      </c>
    </row>
    <row r="240" spans="1:13" x14ac:dyDescent="0.3">
      <c r="A240">
        <v>849</v>
      </c>
      <c r="B240" s="1">
        <v>40581</v>
      </c>
      <c r="C240">
        <v>19</v>
      </c>
      <c r="D240" t="b">
        <v>0</v>
      </c>
      <c r="E240" t="s">
        <v>24</v>
      </c>
      <c r="F240" t="s">
        <v>31</v>
      </c>
      <c r="G240">
        <v>0.32</v>
      </c>
      <c r="H240">
        <v>0.34849999999999998</v>
      </c>
      <c r="I240">
        <v>0.7</v>
      </c>
      <c r="J240">
        <v>0</v>
      </c>
      <c r="K240">
        <v>5</v>
      </c>
      <c r="L240">
        <v>123</v>
      </c>
      <c r="M240">
        <v>128</v>
      </c>
    </row>
    <row r="241" spans="1:13" x14ac:dyDescent="0.3">
      <c r="A241">
        <v>850</v>
      </c>
      <c r="B241" s="1">
        <v>40581</v>
      </c>
      <c r="C241">
        <v>20</v>
      </c>
      <c r="D241" t="b">
        <v>0</v>
      </c>
      <c r="E241" t="s">
        <v>24</v>
      </c>
      <c r="F241" t="s">
        <v>31</v>
      </c>
      <c r="G241">
        <v>0.32</v>
      </c>
      <c r="H241">
        <v>0.33329999999999999</v>
      </c>
      <c r="I241">
        <v>0.7</v>
      </c>
      <c r="J241">
        <v>0.1045</v>
      </c>
      <c r="K241">
        <v>6</v>
      </c>
      <c r="L241">
        <v>82</v>
      </c>
      <c r="M241">
        <v>88</v>
      </c>
    </row>
    <row r="242" spans="1:13" x14ac:dyDescent="0.3">
      <c r="A242">
        <v>851</v>
      </c>
      <c r="B242" s="1">
        <v>40581</v>
      </c>
      <c r="C242">
        <v>21</v>
      </c>
      <c r="D242" t="b">
        <v>0</v>
      </c>
      <c r="E242" t="s">
        <v>24</v>
      </c>
      <c r="F242" t="s">
        <v>30</v>
      </c>
      <c r="G242">
        <v>0.32</v>
      </c>
      <c r="H242">
        <v>0.34849999999999998</v>
      </c>
      <c r="I242">
        <v>0.7</v>
      </c>
      <c r="J242">
        <v>0</v>
      </c>
      <c r="K242">
        <v>3</v>
      </c>
      <c r="L242">
        <v>75</v>
      </c>
      <c r="M242">
        <v>78</v>
      </c>
    </row>
    <row r="243" spans="1:13" x14ac:dyDescent="0.3">
      <c r="A243">
        <v>852</v>
      </c>
      <c r="B243" s="1">
        <v>40581</v>
      </c>
      <c r="C243">
        <v>22</v>
      </c>
      <c r="D243" t="b">
        <v>0</v>
      </c>
      <c r="E243" t="s">
        <v>24</v>
      </c>
      <c r="F243" t="s">
        <v>30</v>
      </c>
      <c r="G243">
        <v>0.28000000000000003</v>
      </c>
      <c r="H243">
        <v>0.30299999999999999</v>
      </c>
      <c r="I243">
        <v>0.81</v>
      </c>
      <c r="J243">
        <v>8.9599999999999999E-2</v>
      </c>
      <c r="K243">
        <v>3</v>
      </c>
      <c r="L243">
        <v>34</v>
      </c>
      <c r="M243">
        <v>37</v>
      </c>
    </row>
    <row r="244" spans="1:13" x14ac:dyDescent="0.3">
      <c r="A244">
        <v>853</v>
      </c>
      <c r="B244" s="1">
        <v>40581</v>
      </c>
      <c r="C244">
        <v>23</v>
      </c>
      <c r="D244" t="b">
        <v>0</v>
      </c>
      <c r="E244" t="s">
        <v>24</v>
      </c>
      <c r="F244" t="s">
        <v>31</v>
      </c>
      <c r="G244">
        <v>0.3</v>
      </c>
      <c r="H244">
        <v>0.33329999999999999</v>
      </c>
      <c r="I244">
        <v>0.81</v>
      </c>
      <c r="J244">
        <v>0</v>
      </c>
      <c r="K244">
        <v>6</v>
      </c>
      <c r="L244">
        <v>19</v>
      </c>
      <c r="M244">
        <v>25</v>
      </c>
    </row>
    <row r="245" spans="1:13" x14ac:dyDescent="0.3">
      <c r="A245">
        <v>854</v>
      </c>
      <c r="B245" s="1">
        <v>40582</v>
      </c>
      <c r="C245">
        <v>0</v>
      </c>
      <c r="D245" t="b">
        <v>0</v>
      </c>
      <c r="E245" t="s">
        <v>25</v>
      </c>
      <c r="F245" t="s">
        <v>31</v>
      </c>
      <c r="G245">
        <v>0.28000000000000003</v>
      </c>
      <c r="H245">
        <v>0.31819999999999998</v>
      </c>
      <c r="I245">
        <v>0.87</v>
      </c>
      <c r="J245">
        <v>0</v>
      </c>
      <c r="K245">
        <v>4</v>
      </c>
      <c r="L245">
        <v>6</v>
      </c>
      <c r="M245">
        <v>10</v>
      </c>
    </row>
    <row r="246" spans="1:13" x14ac:dyDescent="0.3">
      <c r="A246">
        <v>855</v>
      </c>
      <c r="B246" s="1">
        <v>40582</v>
      </c>
      <c r="C246">
        <v>1</v>
      </c>
      <c r="D246" t="b">
        <v>0</v>
      </c>
      <c r="E246" t="s">
        <v>25</v>
      </c>
      <c r="F246" t="s">
        <v>31</v>
      </c>
      <c r="G246">
        <v>0.28000000000000003</v>
      </c>
      <c r="H246">
        <v>0.31819999999999998</v>
      </c>
      <c r="I246">
        <v>0.87</v>
      </c>
      <c r="J246">
        <v>0</v>
      </c>
      <c r="K246">
        <v>0</v>
      </c>
      <c r="L246">
        <v>4</v>
      </c>
      <c r="M246">
        <v>4</v>
      </c>
    </row>
    <row r="247" spans="1:13" x14ac:dyDescent="0.3">
      <c r="A247">
        <v>856</v>
      </c>
      <c r="B247" s="1">
        <v>40582</v>
      </c>
      <c r="C247">
        <v>2</v>
      </c>
      <c r="D247" t="b">
        <v>0</v>
      </c>
      <c r="E247" t="s">
        <v>25</v>
      </c>
      <c r="F247" t="s">
        <v>31</v>
      </c>
      <c r="G247">
        <v>0.26</v>
      </c>
      <c r="H247">
        <v>0.2727</v>
      </c>
      <c r="I247">
        <v>0.93</v>
      </c>
      <c r="J247">
        <v>0.1045</v>
      </c>
      <c r="K247">
        <v>1</v>
      </c>
      <c r="L247">
        <v>1</v>
      </c>
      <c r="M247">
        <v>2</v>
      </c>
    </row>
    <row r="248" spans="1:13" x14ac:dyDescent="0.3">
      <c r="A248">
        <v>857</v>
      </c>
      <c r="B248" s="1">
        <v>40582</v>
      </c>
      <c r="C248">
        <v>3</v>
      </c>
      <c r="D248" t="b">
        <v>0</v>
      </c>
      <c r="E248" t="s">
        <v>25</v>
      </c>
      <c r="F248" t="s">
        <v>32</v>
      </c>
      <c r="G248">
        <v>0.28000000000000003</v>
      </c>
      <c r="H248">
        <v>0.2727</v>
      </c>
      <c r="I248">
        <v>0.93</v>
      </c>
      <c r="J248">
        <v>0.16420000000000001</v>
      </c>
      <c r="K248">
        <v>0</v>
      </c>
      <c r="L248">
        <v>1</v>
      </c>
      <c r="M248">
        <v>1</v>
      </c>
    </row>
    <row r="249" spans="1:13" x14ac:dyDescent="0.3">
      <c r="A249">
        <v>858</v>
      </c>
      <c r="B249" s="1">
        <v>40582</v>
      </c>
      <c r="C249">
        <v>4</v>
      </c>
      <c r="D249" t="b">
        <v>0</v>
      </c>
      <c r="E249" t="s">
        <v>25</v>
      </c>
      <c r="F249" t="s">
        <v>30</v>
      </c>
      <c r="G249">
        <v>0.26</v>
      </c>
      <c r="H249">
        <v>0.2576</v>
      </c>
      <c r="I249">
        <v>0.93</v>
      </c>
      <c r="J249">
        <v>0.16420000000000001</v>
      </c>
      <c r="K249">
        <v>0</v>
      </c>
      <c r="L249">
        <v>3</v>
      </c>
      <c r="M249">
        <v>3</v>
      </c>
    </row>
    <row r="250" spans="1:13" x14ac:dyDescent="0.3">
      <c r="A250">
        <v>859</v>
      </c>
      <c r="B250" s="1">
        <v>40582</v>
      </c>
      <c r="C250">
        <v>5</v>
      </c>
      <c r="D250" t="b">
        <v>0</v>
      </c>
      <c r="E250" t="s">
        <v>25</v>
      </c>
      <c r="F250" t="s">
        <v>30</v>
      </c>
      <c r="G250">
        <v>0.26</v>
      </c>
      <c r="H250">
        <v>0.2273</v>
      </c>
      <c r="I250">
        <v>0.81</v>
      </c>
      <c r="J250">
        <v>0.32840000000000003</v>
      </c>
      <c r="K250">
        <v>0</v>
      </c>
      <c r="L250">
        <v>2</v>
      </c>
      <c r="M250">
        <v>2</v>
      </c>
    </row>
    <row r="251" spans="1:13" x14ac:dyDescent="0.3">
      <c r="A251">
        <v>860</v>
      </c>
      <c r="B251" s="1">
        <v>40582</v>
      </c>
      <c r="C251">
        <v>6</v>
      </c>
      <c r="D251" t="b">
        <v>0</v>
      </c>
      <c r="E251" t="s">
        <v>25</v>
      </c>
      <c r="F251" t="s">
        <v>30</v>
      </c>
      <c r="G251">
        <v>0.26</v>
      </c>
      <c r="H251">
        <v>0.2273</v>
      </c>
      <c r="I251">
        <v>0.7</v>
      </c>
      <c r="J251">
        <v>0.32840000000000003</v>
      </c>
      <c r="K251">
        <v>0</v>
      </c>
      <c r="L251">
        <v>39</v>
      </c>
      <c r="M251">
        <v>39</v>
      </c>
    </row>
    <row r="252" spans="1:13" x14ac:dyDescent="0.3">
      <c r="A252">
        <v>861</v>
      </c>
      <c r="B252" s="1">
        <v>40582</v>
      </c>
      <c r="C252">
        <v>7</v>
      </c>
      <c r="D252" t="b">
        <v>0</v>
      </c>
      <c r="E252" t="s">
        <v>25</v>
      </c>
      <c r="F252" t="s">
        <v>30</v>
      </c>
      <c r="G252">
        <v>0.24</v>
      </c>
      <c r="H252">
        <v>0.19700000000000001</v>
      </c>
      <c r="I252">
        <v>0.65</v>
      </c>
      <c r="J252">
        <v>0.41789999999999999</v>
      </c>
      <c r="K252">
        <v>3</v>
      </c>
      <c r="L252">
        <v>97</v>
      </c>
      <c r="M252">
        <v>100</v>
      </c>
    </row>
    <row r="253" spans="1:13" x14ac:dyDescent="0.3">
      <c r="A253">
        <v>862</v>
      </c>
      <c r="B253" s="1">
        <v>40582</v>
      </c>
      <c r="C253">
        <v>8</v>
      </c>
      <c r="D253" t="b">
        <v>0</v>
      </c>
      <c r="E253" t="s">
        <v>25</v>
      </c>
      <c r="F253" t="s">
        <v>30</v>
      </c>
      <c r="G253">
        <v>0.24</v>
      </c>
      <c r="H253">
        <v>0.19700000000000001</v>
      </c>
      <c r="I253">
        <v>0.56000000000000005</v>
      </c>
      <c r="J253">
        <v>0.49249999999999999</v>
      </c>
      <c r="K253">
        <v>7</v>
      </c>
      <c r="L253">
        <v>236</v>
      </c>
      <c r="M253">
        <v>243</v>
      </c>
    </row>
    <row r="254" spans="1:13" x14ac:dyDescent="0.3">
      <c r="A254">
        <v>863</v>
      </c>
      <c r="B254" s="1">
        <v>40582</v>
      </c>
      <c r="C254">
        <v>9</v>
      </c>
      <c r="D254" t="b">
        <v>0</v>
      </c>
      <c r="E254" t="s">
        <v>25</v>
      </c>
      <c r="F254" t="s">
        <v>30</v>
      </c>
      <c r="G254">
        <v>0.24</v>
      </c>
      <c r="H254">
        <v>0.19700000000000001</v>
      </c>
      <c r="I254">
        <v>0.52</v>
      </c>
      <c r="J254">
        <v>0.49249999999999999</v>
      </c>
      <c r="K254">
        <v>7</v>
      </c>
      <c r="L254">
        <v>128</v>
      </c>
      <c r="M254">
        <v>135</v>
      </c>
    </row>
    <row r="255" spans="1:13" x14ac:dyDescent="0.3">
      <c r="A255">
        <v>864</v>
      </c>
      <c r="B255" s="1">
        <v>40582</v>
      </c>
      <c r="C255">
        <v>10</v>
      </c>
      <c r="D255" t="b">
        <v>0</v>
      </c>
      <c r="E255" t="s">
        <v>25</v>
      </c>
      <c r="F255" t="s">
        <v>30</v>
      </c>
      <c r="G255">
        <v>0.22</v>
      </c>
      <c r="H255">
        <v>0.18179999999999999</v>
      </c>
      <c r="I255">
        <v>0.47</v>
      </c>
      <c r="J255">
        <v>0.55220000000000002</v>
      </c>
      <c r="K255">
        <v>4</v>
      </c>
      <c r="L255">
        <v>44</v>
      </c>
      <c r="M255">
        <v>48</v>
      </c>
    </row>
    <row r="256" spans="1:13" x14ac:dyDescent="0.3">
      <c r="A256">
        <v>865</v>
      </c>
      <c r="B256" s="1">
        <v>40582</v>
      </c>
      <c r="C256">
        <v>11</v>
      </c>
      <c r="D256" t="b">
        <v>0</v>
      </c>
      <c r="E256" t="s">
        <v>25</v>
      </c>
      <c r="F256" t="s">
        <v>30</v>
      </c>
      <c r="G256">
        <v>0.22</v>
      </c>
      <c r="H256">
        <v>0.18179999999999999</v>
      </c>
      <c r="I256">
        <v>0.47</v>
      </c>
      <c r="J256">
        <v>0.4627</v>
      </c>
      <c r="K256">
        <v>1</v>
      </c>
      <c r="L256">
        <v>49</v>
      </c>
      <c r="M256">
        <v>50</v>
      </c>
    </row>
    <row r="257" spans="1:13" x14ac:dyDescent="0.3">
      <c r="A257">
        <v>866</v>
      </c>
      <c r="B257" s="1">
        <v>40582</v>
      </c>
      <c r="C257">
        <v>12</v>
      </c>
      <c r="D257" t="b">
        <v>0</v>
      </c>
      <c r="E257" t="s">
        <v>25</v>
      </c>
      <c r="F257" t="s">
        <v>30</v>
      </c>
      <c r="G257">
        <v>0.24</v>
      </c>
      <c r="H257">
        <v>0.19700000000000001</v>
      </c>
      <c r="I257">
        <v>0.38</v>
      </c>
      <c r="J257">
        <v>0.49249999999999999</v>
      </c>
      <c r="K257">
        <v>2</v>
      </c>
      <c r="L257">
        <v>63</v>
      </c>
      <c r="M257">
        <v>65</v>
      </c>
    </row>
    <row r="258" spans="1:13" x14ac:dyDescent="0.3">
      <c r="A258">
        <v>867</v>
      </c>
      <c r="B258" s="1">
        <v>40582</v>
      </c>
      <c r="C258">
        <v>13</v>
      </c>
      <c r="D258" t="b">
        <v>0</v>
      </c>
      <c r="E258" t="s">
        <v>25</v>
      </c>
      <c r="F258" t="s">
        <v>31</v>
      </c>
      <c r="G258">
        <v>0.24</v>
      </c>
      <c r="H258">
        <v>0.19700000000000001</v>
      </c>
      <c r="I258">
        <v>0.32</v>
      </c>
      <c r="J258">
        <v>0.44779999999999998</v>
      </c>
      <c r="K258">
        <v>2</v>
      </c>
      <c r="L258">
        <v>48</v>
      </c>
      <c r="M258">
        <v>50</v>
      </c>
    </row>
    <row r="259" spans="1:13" x14ac:dyDescent="0.3">
      <c r="A259">
        <v>868</v>
      </c>
      <c r="B259" s="1">
        <v>40582</v>
      </c>
      <c r="C259">
        <v>14</v>
      </c>
      <c r="D259" t="b">
        <v>0</v>
      </c>
      <c r="E259" t="s">
        <v>25</v>
      </c>
      <c r="F259" t="s">
        <v>30</v>
      </c>
      <c r="G259">
        <v>0.22</v>
      </c>
      <c r="H259">
        <v>0.19700000000000001</v>
      </c>
      <c r="I259">
        <v>0.37</v>
      </c>
      <c r="J259">
        <v>0.41789999999999999</v>
      </c>
      <c r="K259">
        <v>3</v>
      </c>
      <c r="L259">
        <v>61</v>
      </c>
      <c r="M259">
        <v>64</v>
      </c>
    </row>
    <row r="260" spans="1:13" x14ac:dyDescent="0.3">
      <c r="A260">
        <v>869</v>
      </c>
      <c r="B260" s="1">
        <v>40582</v>
      </c>
      <c r="C260">
        <v>15</v>
      </c>
      <c r="D260" t="b">
        <v>0</v>
      </c>
      <c r="E260" t="s">
        <v>25</v>
      </c>
      <c r="F260" t="s">
        <v>30</v>
      </c>
      <c r="G260">
        <v>0.22</v>
      </c>
      <c r="H260">
        <v>0.19700000000000001</v>
      </c>
      <c r="I260">
        <v>0.35</v>
      </c>
      <c r="J260">
        <v>0.3881</v>
      </c>
      <c r="K260">
        <v>6</v>
      </c>
      <c r="L260">
        <v>45</v>
      </c>
      <c r="M260">
        <v>51</v>
      </c>
    </row>
    <row r="261" spans="1:13" x14ac:dyDescent="0.3">
      <c r="A261">
        <v>870</v>
      </c>
      <c r="B261" s="1">
        <v>40582</v>
      </c>
      <c r="C261">
        <v>16</v>
      </c>
      <c r="D261" t="b">
        <v>0</v>
      </c>
      <c r="E261" t="s">
        <v>25</v>
      </c>
      <c r="F261" t="s">
        <v>30</v>
      </c>
      <c r="G261">
        <v>0.22</v>
      </c>
      <c r="H261">
        <v>0.18179999999999999</v>
      </c>
      <c r="I261">
        <v>0.35</v>
      </c>
      <c r="J261">
        <v>0.52239999999999998</v>
      </c>
      <c r="K261">
        <v>4</v>
      </c>
      <c r="L261">
        <v>79</v>
      </c>
      <c r="M261">
        <v>83</v>
      </c>
    </row>
    <row r="262" spans="1:13" x14ac:dyDescent="0.3">
      <c r="A262">
        <v>871</v>
      </c>
      <c r="B262" s="1">
        <v>40582</v>
      </c>
      <c r="C262">
        <v>17</v>
      </c>
      <c r="D262" t="b">
        <v>0</v>
      </c>
      <c r="E262" t="s">
        <v>25</v>
      </c>
      <c r="F262" t="s">
        <v>30</v>
      </c>
      <c r="G262">
        <v>0.22</v>
      </c>
      <c r="H262">
        <v>0.18179999999999999</v>
      </c>
      <c r="I262">
        <v>0.32</v>
      </c>
      <c r="J262">
        <v>0.58209999999999995</v>
      </c>
      <c r="K262">
        <v>4</v>
      </c>
      <c r="L262">
        <v>172</v>
      </c>
      <c r="M262">
        <v>176</v>
      </c>
    </row>
    <row r="263" spans="1:13" x14ac:dyDescent="0.3">
      <c r="A263">
        <v>872</v>
      </c>
      <c r="B263" s="1">
        <v>40582</v>
      </c>
      <c r="C263">
        <v>18</v>
      </c>
      <c r="D263" t="b">
        <v>0</v>
      </c>
      <c r="E263" t="s">
        <v>25</v>
      </c>
      <c r="F263" t="s">
        <v>30</v>
      </c>
      <c r="G263">
        <v>0.2</v>
      </c>
      <c r="H263">
        <v>0.18179999999999999</v>
      </c>
      <c r="I263">
        <v>0.32</v>
      </c>
      <c r="J263">
        <v>0.3881</v>
      </c>
      <c r="K263">
        <v>1</v>
      </c>
      <c r="L263">
        <v>151</v>
      </c>
      <c r="M263">
        <v>152</v>
      </c>
    </row>
    <row r="264" spans="1:13" x14ac:dyDescent="0.3">
      <c r="A264">
        <v>873</v>
      </c>
      <c r="B264" s="1">
        <v>40582</v>
      </c>
      <c r="C264">
        <v>19</v>
      </c>
      <c r="D264" t="b">
        <v>0</v>
      </c>
      <c r="E264" t="s">
        <v>25</v>
      </c>
      <c r="F264" t="s">
        <v>30</v>
      </c>
      <c r="G264">
        <v>0.16</v>
      </c>
      <c r="H264">
        <v>0.1212</v>
      </c>
      <c r="I264">
        <v>0.4</v>
      </c>
      <c r="J264">
        <v>0.4627</v>
      </c>
      <c r="K264">
        <v>1</v>
      </c>
      <c r="L264">
        <v>100</v>
      </c>
      <c r="M264">
        <v>101</v>
      </c>
    </row>
    <row r="265" spans="1:13" x14ac:dyDescent="0.3">
      <c r="A265">
        <v>874</v>
      </c>
      <c r="B265" s="1">
        <v>40582</v>
      </c>
      <c r="C265">
        <v>20</v>
      </c>
      <c r="D265" t="b">
        <v>0</v>
      </c>
      <c r="E265" t="s">
        <v>25</v>
      </c>
      <c r="F265" t="s">
        <v>30</v>
      </c>
      <c r="G265">
        <v>0.16</v>
      </c>
      <c r="H265">
        <v>0.13639999999999999</v>
      </c>
      <c r="I265">
        <v>0.4</v>
      </c>
      <c r="J265">
        <v>0.32840000000000003</v>
      </c>
      <c r="K265">
        <v>3</v>
      </c>
      <c r="L265">
        <v>53</v>
      </c>
      <c r="M265">
        <v>56</v>
      </c>
    </row>
    <row r="266" spans="1:13" x14ac:dyDescent="0.3">
      <c r="A266">
        <v>875</v>
      </c>
      <c r="B266" s="1">
        <v>40582</v>
      </c>
      <c r="C266">
        <v>21</v>
      </c>
      <c r="D266" t="b">
        <v>0</v>
      </c>
      <c r="E266" t="s">
        <v>25</v>
      </c>
      <c r="F266" t="s">
        <v>30</v>
      </c>
      <c r="G266">
        <v>0.14000000000000001</v>
      </c>
      <c r="H266">
        <v>0.1061</v>
      </c>
      <c r="I266">
        <v>0.33</v>
      </c>
      <c r="J266">
        <v>0.4627</v>
      </c>
      <c r="K266">
        <v>8</v>
      </c>
      <c r="L266">
        <v>46</v>
      </c>
      <c r="M266">
        <v>54</v>
      </c>
    </row>
    <row r="267" spans="1:13" x14ac:dyDescent="0.3">
      <c r="A267">
        <v>876</v>
      </c>
      <c r="B267" s="1">
        <v>40582</v>
      </c>
      <c r="C267">
        <v>22</v>
      </c>
      <c r="D267" t="b">
        <v>0</v>
      </c>
      <c r="E267" t="s">
        <v>25</v>
      </c>
      <c r="F267" t="s">
        <v>30</v>
      </c>
      <c r="G267">
        <v>0.12</v>
      </c>
      <c r="H267">
        <v>0.1061</v>
      </c>
      <c r="I267">
        <v>0.33</v>
      </c>
      <c r="J267">
        <v>0.35820000000000002</v>
      </c>
      <c r="K267">
        <v>0</v>
      </c>
      <c r="L267">
        <v>29</v>
      </c>
      <c r="M267">
        <v>29</v>
      </c>
    </row>
    <row r="268" spans="1:13" x14ac:dyDescent="0.3">
      <c r="A268">
        <v>877</v>
      </c>
      <c r="B268" s="1">
        <v>40582</v>
      </c>
      <c r="C268">
        <v>23</v>
      </c>
      <c r="D268" t="b">
        <v>0</v>
      </c>
      <c r="E268" t="s">
        <v>25</v>
      </c>
      <c r="F268" t="s">
        <v>30</v>
      </c>
      <c r="G268">
        <v>0.12</v>
      </c>
      <c r="H268">
        <v>0.1061</v>
      </c>
      <c r="I268">
        <v>0.33</v>
      </c>
      <c r="J268">
        <v>0.32840000000000003</v>
      </c>
      <c r="K268">
        <v>3</v>
      </c>
      <c r="L268">
        <v>9</v>
      </c>
      <c r="M268">
        <v>12</v>
      </c>
    </row>
    <row r="269" spans="1:13" x14ac:dyDescent="0.3">
      <c r="A269">
        <v>878</v>
      </c>
      <c r="B269" s="1">
        <v>40583</v>
      </c>
      <c r="C269">
        <v>0</v>
      </c>
      <c r="D269" t="b">
        <v>0</v>
      </c>
      <c r="E269" t="s">
        <v>26</v>
      </c>
      <c r="F269" t="s">
        <v>30</v>
      </c>
      <c r="G269">
        <v>0.1</v>
      </c>
      <c r="H269">
        <v>7.5800000000000006E-2</v>
      </c>
      <c r="I269">
        <v>0.36</v>
      </c>
      <c r="J269">
        <v>0.35820000000000002</v>
      </c>
      <c r="K269">
        <v>0</v>
      </c>
      <c r="L269">
        <v>17</v>
      </c>
      <c r="M269">
        <v>17</v>
      </c>
    </row>
    <row r="270" spans="1:13" x14ac:dyDescent="0.3">
      <c r="A270">
        <v>879</v>
      </c>
      <c r="B270" s="1">
        <v>40583</v>
      </c>
      <c r="C270">
        <v>1</v>
      </c>
      <c r="D270" t="b">
        <v>0</v>
      </c>
      <c r="E270" t="s">
        <v>26</v>
      </c>
      <c r="F270" t="s">
        <v>30</v>
      </c>
      <c r="G270">
        <v>0.1</v>
      </c>
      <c r="H270">
        <v>0.1061</v>
      </c>
      <c r="I270">
        <v>0.36</v>
      </c>
      <c r="J270">
        <v>0.22389999999999999</v>
      </c>
      <c r="K270">
        <v>0</v>
      </c>
      <c r="L270">
        <v>7</v>
      </c>
      <c r="M270">
        <v>7</v>
      </c>
    </row>
    <row r="271" spans="1:13" x14ac:dyDescent="0.3">
      <c r="A271">
        <v>880</v>
      </c>
      <c r="B271" s="1">
        <v>40583</v>
      </c>
      <c r="C271">
        <v>2</v>
      </c>
      <c r="D271" t="b">
        <v>0</v>
      </c>
      <c r="E271" t="s">
        <v>26</v>
      </c>
      <c r="F271" t="s">
        <v>30</v>
      </c>
      <c r="G271">
        <v>0.08</v>
      </c>
      <c r="H271">
        <v>7.5800000000000006E-2</v>
      </c>
      <c r="I271">
        <v>0.38</v>
      </c>
      <c r="J271">
        <v>0.28360000000000002</v>
      </c>
      <c r="K271">
        <v>1</v>
      </c>
      <c r="L271">
        <v>2</v>
      </c>
      <c r="M271">
        <v>3</v>
      </c>
    </row>
    <row r="272" spans="1:13" x14ac:dyDescent="0.3">
      <c r="A272">
        <v>881</v>
      </c>
      <c r="B272" s="1">
        <v>40583</v>
      </c>
      <c r="C272">
        <v>3</v>
      </c>
      <c r="D272" t="b">
        <v>0</v>
      </c>
      <c r="E272" t="s">
        <v>26</v>
      </c>
      <c r="F272" t="s">
        <v>30</v>
      </c>
      <c r="G272">
        <v>0.06</v>
      </c>
      <c r="H272">
        <v>7.5800000000000006E-2</v>
      </c>
      <c r="I272">
        <v>0.45</v>
      </c>
      <c r="J272">
        <v>0.1343</v>
      </c>
      <c r="K272">
        <v>0</v>
      </c>
      <c r="L272">
        <v>2</v>
      </c>
      <c r="M272">
        <v>2</v>
      </c>
    </row>
    <row r="273" spans="1:13" x14ac:dyDescent="0.3">
      <c r="A273">
        <v>882</v>
      </c>
      <c r="B273" s="1">
        <v>40583</v>
      </c>
      <c r="C273">
        <v>5</v>
      </c>
      <c r="D273" t="b">
        <v>0</v>
      </c>
      <c r="E273" t="s">
        <v>26</v>
      </c>
      <c r="F273" t="s">
        <v>30</v>
      </c>
      <c r="G273">
        <v>0.06</v>
      </c>
      <c r="H273">
        <v>0.1061</v>
      </c>
      <c r="I273">
        <v>0.45</v>
      </c>
      <c r="J273">
        <v>0.1045</v>
      </c>
      <c r="K273">
        <v>0</v>
      </c>
      <c r="L273">
        <v>7</v>
      </c>
      <c r="M273">
        <v>7</v>
      </c>
    </row>
    <row r="274" spans="1:13" x14ac:dyDescent="0.3">
      <c r="A274">
        <v>883</v>
      </c>
      <c r="B274" s="1">
        <v>40583</v>
      </c>
      <c r="C274">
        <v>6</v>
      </c>
      <c r="D274" t="b">
        <v>0</v>
      </c>
      <c r="E274" t="s">
        <v>26</v>
      </c>
      <c r="F274" t="s">
        <v>30</v>
      </c>
      <c r="G274">
        <v>0.06</v>
      </c>
      <c r="H274">
        <v>0.1515</v>
      </c>
      <c r="I274">
        <v>0.45</v>
      </c>
      <c r="J274">
        <v>0</v>
      </c>
      <c r="K274">
        <v>0</v>
      </c>
      <c r="L274">
        <v>43</v>
      </c>
      <c r="M274">
        <v>43</v>
      </c>
    </row>
    <row r="275" spans="1:13" x14ac:dyDescent="0.3">
      <c r="A275">
        <v>884</v>
      </c>
      <c r="B275" s="1">
        <v>40583</v>
      </c>
      <c r="C275">
        <v>7</v>
      </c>
      <c r="D275" t="b">
        <v>0</v>
      </c>
      <c r="E275" t="s">
        <v>26</v>
      </c>
      <c r="F275" t="s">
        <v>30</v>
      </c>
      <c r="G275">
        <v>0.06</v>
      </c>
      <c r="H275">
        <v>0.1061</v>
      </c>
      <c r="I275">
        <v>0.49</v>
      </c>
      <c r="J275">
        <v>0.1045</v>
      </c>
      <c r="K275">
        <v>4</v>
      </c>
      <c r="L275">
        <v>95</v>
      </c>
      <c r="M275">
        <v>99</v>
      </c>
    </row>
    <row r="276" spans="1:13" x14ac:dyDescent="0.3">
      <c r="A276">
        <v>885</v>
      </c>
      <c r="B276" s="1">
        <v>40583</v>
      </c>
      <c r="C276">
        <v>8</v>
      </c>
      <c r="D276" t="b">
        <v>0</v>
      </c>
      <c r="E276" t="s">
        <v>26</v>
      </c>
      <c r="F276" t="s">
        <v>30</v>
      </c>
      <c r="G276">
        <v>0.1</v>
      </c>
      <c r="H276">
        <v>0.13639999999999999</v>
      </c>
      <c r="I276">
        <v>0.42</v>
      </c>
      <c r="J276">
        <v>0</v>
      </c>
      <c r="K276">
        <v>1</v>
      </c>
      <c r="L276">
        <v>198</v>
      </c>
      <c r="M276">
        <v>199</v>
      </c>
    </row>
    <row r="277" spans="1:13" x14ac:dyDescent="0.3">
      <c r="A277">
        <v>886</v>
      </c>
      <c r="B277" s="1">
        <v>40583</v>
      </c>
      <c r="C277">
        <v>9</v>
      </c>
      <c r="D277" t="b">
        <v>0</v>
      </c>
      <c r="E277" t="s">
        <v>26</v>
      </c>
      <c r="F277" t="s">
        <v>30</v>
      </c>
      <c r="G277">
        <v>0.12</v>
      </c>
      <c r="H277">
        <v>0.13639999999999999</v>
      </c>
      <c r="I277">
        <v>0.39</v>
      </c>
      <c r="J277">
        <v>0.16420000000000001</v>
      </c>
      <c r="K277">
        <v>4</v>
      </c>
      <c r="L277">
        <v>119</v>
      </c>
      <c r="M277">
        <v>123</v>
      </c>
    </row>
    <row r="278" spans="1:13" x14ac:dyDescent="0.3">
      <c r="A278">
        <v>887</v>
      </c>
      <c r="B278" s="1">
        <v>40583</v>
      </c>
      <c r="C278">
        <v>10</v>
      </c>
      <c r="D278" t="b">
        <v>0</v>
      </c>
      <c r="E278" t="s">
        <v>26</v>
      </c>
      <c r="F278" t="s">
        <v>30</v>
      </c>
      <c r="G278">
        <v>0.14000000000000001</v>
      </c>
      <c r="H278">
        <v>0.18179999999999999</v>
      </c>
      <c r="I278">
        <v>0.36</v>
      </c>
      <c r="J278">
        <v>0</v>
      </c>
      <c r="K278">
        <v>8</v>
      </c>
      <c r="L278">
        <v>51</v>
      </c>
      <c r="M278">
        <v>59</v>
      </c>
    </row>
    <row r="279" spans="1:13" x14ac:dyDescent="0.3">
      <c r="A279">
        <v>888</v>
      </c>
      <c r="B279" s="1">
        <v>40583</v>
      </c>
      <c r="C279">
        <v>11</v>
      </c>
      <c r="D279" t="b">
        <v>0</v>
      </c>
      <c r="E279" t="s">
        <v>26</v>
      </c>
      <c r="F279" t="s">
        <v>31</v>
      </c>
      <c r="G279">
        <v>0.14000000000000001</v>
      </c>
      <c r="H279">
        <v>0.1515</v>
      </c>
      <c r="I279">
        <v>0.43</v>
      </c>
      <c r="J279">
        <v>0.16420000000000001</v>
      </c>
      <c r="K279">
        <v>1</v>
      </c>
      <c r="L279">
        <v>40</v>
      </c>
      <c r="M279">
        <v>41</v>
      </c>
    </row>
    <row r="280" spans="1:13" x14ac:dyDescent="0.3">
      <c r="A280">
        <v>889</v>
      </c>
      <c r="B280" s="1">
        <v>40583</v>
      </c>
      <c r="C280">
        <v>12</v>
      </c>
      <c r="D280" t="b">
        <v>0</v>
      </c>
      <c r="E280" t="s">
        <v>26</v>
      </c>
      <c r="F280" t="s">
        <v>31</v>
      </c>
      <c r="G280">
        <v>0.18</v>
      </c>
      <c r="H280">
        <v>0.18179999999999999</v>
      </c>
      <c r="I280">
        <v>0.4</v>
      </c>
      <c r="J280">
        <v>0.22389999999999999</v>
      </c>
      <c r="K280">
        <v>4</v>
      </c>
      <c r="L280">
        <v>57</v>
      </c>
      <c r="M280">
        <v>61</v>
      </c>
    </row>
    <row r="281" spans="1:13" x14ac:dyDescent="0.3">
      <c r="A281">
        <v>890</v>
      </c>
      <c r="B281" s="1">
        <v>40583</v>
      </c>
      <c r="C281">
        <v>13</v>
      </c>
      <c r="D281" t="b">
        <v>0</v>
      </c>
      <c r="E281" t="s">
        <v>26</v>
      </c>
      <c r="F281" t="s">
        <v>30</v>
      </c>
      <c r="G281">
        <v>0.18</v>
      </c>
      <c r="H281">
        <v>0.16669999999999999</v>
      </c>
      <c r="I281">
        <v>0.4</v>
      </c>
      <c r="J281">
        <v>0.25369999999999998</v>
      </c>
      <c r="K281">
        <v>2</v>
      </c>
      <c r="L281">
        <v>67</v>
      </c>
      <c r="M281">
        <v>69</v>
      </c>
    </row>
    <row r="282" spans="1:13" x14ac:dyDescent="0.3">
      <c r="A282">
        <v>891</v>
      </c>
      <c r="B282" s="1">
        <v>40583</v>
      </c>
      <c r="C282">
        <v>14</v>
      </c>
      <c r="D282" t="b">
        <v>0</v>
      </c>
      <c r="E282" t="s">
        <v>26</v>
      </c>
      <c r="F282" t="s">
        <v>30</v>
      </c>
      <c r="G282">
        <v>0.2</v>
      </c>
      <c r="H282">
        <v>0.18179999999999999</v>
      </c>
      <c r="I282">
        <v>0.34</v>
      </c>
      <c r="J282">
        <v>0.29849999999999999</v>
      </c>
      <c r="K282">
        <v>2</v>
      </c>
      <c r="L282">
        <v>56</v>
      </c>
      <c r="M282">
        <v>58</v>
      </c>
    </row>
    <row r="283" spans="1:13" x14ac:dyDescent="0.3">
      <c r="A283">
        <v>892</v>
      </c>
      <c r="B283" s="1">
        <v>40583</v>
      </c>
      <c r="C283">
        <v>15</v>
      </c>
      <c r="D283" t="b">
        <v>0</v>
      </c>
      <c r="E283" t="s">
        <v>26</v>
      </c>
      <c r="F283" t="s">
        <v>31</v>
      </c>
      <c r="G283">
        <v>0.2</v>
      </c>
      <c r="H283">
        <v>0.18179999999999999</v>
      </c>
      <c r="I283">
        <v>0.34</v>
      </c>
      <c r="J283">
        <v>0.28360000000000002</v>
      </c>
      <c r="K283">
        <v>3</v>
      </c>
      <c r="L283">
        <v>61</v>
      </c>
      <c r="M283">
        <v>64</v>
      </c>
    </row>
    <row r="284" spans="1:13" x14ac:dyDescent="0.3">
      <c r="A284">
        <v>893</v>
      </c>
      <c r="B284" s="1">
        <v>40583</v>
      </c>
      <c r="C284">
        <v>16</v>
      </c>
      <c r="D284" t="b">
        <v>0</v>
      </c>
      <c r="E284" t="s">
        <v>26</v>
      </c>
      <c r="F284" t="s">
        <v>31</v>
      </c>
      <c r="G284">
        <v>0.2</v>
      </c>
      <c r="H284">
        <v>0.19700000000000001</v>
      </c>
      <c r="I284">
        <v>0.37</v>
      </c>
      <c r="J284">
        <v>0.25369999999999998</v>
      </c>
      <c r="K284">
        <v>7</v>
      </c>
      <c r="L284">
        <v>72</v>
      </c>
      <c r="M284">
        <v>79</v>
      </c>
    </row>
    <row r="285" spans="1:13" x14ac:dyDescent="0.3">
      <c r="A285">
        <v>894</v>
      </c>
      <c r="B285" s="1">
        <v>40583</v>
      </c>
      <c r="C285">
        <v>17</v>
      </c>
      <c r="D285" t="b">
        <v>0</v>
      </c>
      <c r="E285" t="s">
        <v>26</v>
      </c>
      <c r="F285" t="s">
        <v>31</v>
      </c>
      <c r="G285">
        <v>0.2</v>
      </c>
      <c r="H285">
        <v>0.19700000000000001</v>
      </c>
      <c r="I285">
        <v>0.34</v>
      </c>
      <c r="J285">
        <v>0.25369999999999998</v>
      </c>
      <c r="K285">
        <v>9</v>
      </c>
      <c r="L285">
        <v>157</v>
      </c>
      <c r="M285">
        <v>166</v>
      </c>
    </row>
    <row r="286" spans="1:13" x14ac:dyDescent="0.3">
      <c r="A286">
        <v>895</v>
      </c>
      <c r="B286" s="1">
        <v>40583</v>
      </c>
      <c r="C286">
        <v>18</v>
      </c>
      <c r="D286" t="b">
        <v>0</v>
      </c>
      <c r="E286" t="s">
        <v>26</v>
      </c>
      <c r="F286" t="s">
        <v>31</v>
      </c>
      <c r="G286">
        <v>0.18</v>
      </c>
      <c r="H286">
        <v>0.16669999999999999</v>
      </c>
      <c r="I286">
        <v>0.47</v>
      </c>
      <c r="J286">
        <v>0.29849999999999999</v>
      </c>
      <c r="K286">
        <v>2</v>
      </c>
      <c r="L286">
        <v>168</v>
      </c>
      <c r="M286">
        <v>170</v>
      </c>
    </row>
    <row r="287" spans="1:13" x14ac:dyDescent="0.3">
      <c r="A287">
        <v>896</v>
      </c>
      <c r="B287" s="1">
        <v>40583</v>
      </c>
      <c r="C287">
        <v>19</v>
      </c>
      <c r="D287" t="b">
        <v>0</v>
      </c>
      <c r="E287" t="s">
        <v>26</v>
      </c>
      <c r="F287" t="s">
        <v>32</v>
      </c>
      <c r="G287">
        <v>0.14000000000000001</v>
      </c>
      <c r="H287">
        <v>0.1212</v>
      </c>
      <c r="I287">
        <v>0.86</v>
      </c>
      <c r="J287">
        <v>0.25369999999999998</v>
      </c>
      <c r="K287">
        <v>1</v>
      </c>
      <c r="L287">
        <v>87</v>
      </c>
      <c r="M287">
        <v>88</v>
      </c>
    </row>
    <row r="288" spans="1:13" x14ac:dyDescent="0.3">
      <c r="A288">
        <v>897</v>
      </c>
      <c r="B288" s="1">
        <v>40583</v>
      </c>
      <c r="C288">
        <v>20</v>
      </c>
      <c r="D288" t="b">
        <v>0</v>
      </c>
      <c r="E288" t="s">
        <v>26</v>
      </c>
      <c r="F288" t="s">
        <v>32</v>
      </c>
      <c r="G288">
        <v>0.14000000000000001</v>
      </c>
      <c r="H288">
        <v>0.1515</v>
      </c>
      <c r="I288">
        <v>0.86</v>
      </c>
      <c r="J288">
        <v>0.16420000000000001</v>
      </c>
      <c r="K288">
        <v>0</v>
      </c>
      <c r="L288">
        <v>84</v>
      </c>
      <c r="M288">
        <v>84</v>
      </c>
    </row>
    <row r="289" spans="1:13" x14ac:dyDescent="0.3">
      <c r="A289">
        <v>898</v>
      </c>
      <c r="B289" s="1">
        <v>40583</v>
      </c>
      <c r="C289">
        <v>21</v>
      </c>
      <c r="D289" t="b">
        <v>0</v>
      </c>
      <c r="E289" t="s">
        <v>26</v>
      </c>
      <c r="F289" t="s">
        <v>31</v>
      </c>
      <c r="G289">
        <v>0.14000000000000001</v>
      </c>
      <c r="H289">
        <v>0.1515</v>
      </c>
      <c r="I289">
        <v>0.86</v>
      </c>
      <c r="J289">
        <v>0.16420000000000001</v>
      </c>
      <c r="K289">
        <v>0</v>
      </c>
      <c r="L289">
        <v>83</v>
      </c>
      <c r="M289">
        <v>83</v>
      </c>
    </row>
    <row r="290" spans="1:13" x14ac:dyDescent="0.3">
      <c r="A290">
        <v>899</v>
      </c>
      <c r="B290" s="1">
        <v>40583</v>
      </c>
      <c r="C290">
        <v>22</v>
      </c>
      <c r="D290" t="b">
        <v>0</v>
      </c>
      <c r="E290" t="s">
        <v>26</v>
      </c>
      <c r="F290" t="s">
        <v>32</v>
      </c>
      <c r="G290">
        <v>0.16</v>
      </c>
      <c r="H290">
        <v>0.16669999999999999</v>
      </c>
      <c r="I290">
        <v>0.8</v>
      </c>
      <c r="J290">
        <v>0.16420000000000001</v>
      </c>
      <c r="K290">
        <v>4</v>
      </c>
      <c r="L290">
        <v>42</v>
      </c>
      <c r="M290">
        <v>46</v>
      </c>
    </row>
    <row r="291" spans="1:13" x14ac:dyDescent="0.3">
      <c r="A291">
        <v>900</v>
      </c>
      <c r="B291" s="1">
        <v>40583</v>
      </c>
      <c r="C291">
        <v>23</v>
      </c>
      <c r="D291" t="b">
        <v>0</v>
      </c>
      <c r="E291" t="s">
        <v>26</v>
      </c>
      <c r="F291" t="s">
        <v>32</v>
      </c>
      <c r="G291">
        <v>0.16</v>
      </c>
      <c r="H291">
        <v>0.1515</v>
      </c>
      <c r="I291">
        <v>0.8</v>
      </c>
      <c r="J291">
        <v>0.19400000000000001</v>
      </c>
      <c r="K291">
        <v>0</v>
      </c>
      <c r="L291">
        <v>37</v>
      </c>
      <c r="M291">
        <v>37</v>
      </c>
    </row>
    <row r="292" spans="1:13" x14ac:dyDescent="0.3">
      <c r="A292">
        <v>901</v>
      </c>
      <c r="B292" s="1">
        <v>40584</v>
      </c>
      <c r="C292">
        <v>0</v>
      </c>
      <c r="D292" t="b">
        <v>0</v>
      </c>
      <c r="E292" t="s">
        <v>27</v>
      </c>
      <c r="F292" t="s">
        <v>32</v>
      </c>
      <c r="G292">
        <v>0.14000000000000001</v>
      </c>
      <c r="H292">
        <v>0.13639999999999999</v>
      </c>
      <c r="I292">
        <v>0.86</v>
      </c>
      <c r="J292">
        <v>0.19400000000000001</v>
      </c>
      <c r="K292">
        <v>0</v>
      </c>
      <c r="L292">
        <v>16</v>
      </c>
      <c r="M292">
        <v>16</v>
      </c>
    </row>
    <row r="293" spans="1:13" x14ac:dyDescent="0.3">
      <c r="A293">
        <v>902</v>
      </c>
      <c r="B293" s="1">
        <v>40584</v>
      </c>
      <c r="C293">
        <v>1</v>
      </c>
      <c r="D293" t="b">
        <v>0</v>
      </c>
      <c r="E293" t="s">
        <v>27</v>
      </c>
      <c r="F293" t="s">
        <v>32</v>
      </c>
      <c r="G293">
        <v>0.14000000000000001</v>
      </c>
      <c r="H293">
        <v>0.1515</v>
      </c>
      <c r="I293">
        <v>0.8</v>
      </c>
      <c r="J293">
        <v>0.1343</v>
      </c>
      <c r="K293">
        <v>0</v>
      </c>
      <c r="L293">
        <v>7</v>
      </c>
      <c r="M293">
        <v>7</v>
      </c>
    </row>
    <row r="294" spans="1:13" x14ac:dyDescent="0.3">
      <c r="A294">
        <v>903</v>
      </c>
      <c r="B294" s="1">
        <v>40584</v>
      </c>
      <c r="C294">
        <v>2</v>
      </c>
      <c r="D294" t="b">
        <v>0</v>
      </c>
      <c r="E294" t="s">
        <v>27</v>
      </c>
      <c r="F294" t="s">
        <v>32</v>
      </c>
      <c r="G294">
        <v>0.14000000000000001</v>
      </c>
      <c r="H294">
        <v>0.1515</v>
      </c>
      <c r="I294">
        <v>0.8</v>
      </c>
      <c r="J294">
        <v>0.1343</v>
      </c>
      <c r="K294">
        <v>0</v>
      </c>
      <c r="L294">
        <v>3</v>
      </c>
      <c r="M294">
        <v>3</v>
      </c>
    </row>
    <row r="295" spans="1:13" x14ac:dyDescent="0.3">
      <c r="A295">
        <v>904</v>
      </c>
      <c r="B295" s="1">
        <v>40584</v>
      </c>
      <c r="C295">
        <v>4</v>
      </c>
      <c r="D295" t="b">
        <v>0</v>
      </c>
      <c r="E295" t="s">
        <v>27</v>
      </c>
      <c r="F295" t="s">
        <v>31</v>
      </c>
      <c r="G295">
        <v>0.14000000000000001</v>
      </c>
      <c r="H295">
        <v>0.13639999999999999</v>
      </c>
      <c r="I295">
        <v>0.59</v>
      </c>
      <c r="J295">
        <v>0.22389999999999999</v>
      </c>
      <c r="K295">
        <v>0</v>
      </c>
      <c r="L295">
        <v>1</v>
      </c>
      <c r="M295">
        <v>1</v>
      </c>
    </row>
    <row r="296" spans="1:13" x14ac:dyDescent="0.3">
      <c r="A296">
        <v>905</v>
      </c>
      <c r="B296" s="1">
        <v>40584</v>
      </c>
      <c r="C296">
        <v>5</v>
      </c>
      <c r="D296" t="b">
        <v>0</v>
      </c>
      <c r="E296" t="s">
        <v>27</v>
      </c>
      <c r="F296" t="s">
        <v>31</v>
      </c>
      <c r="G296">
        <v>0.12</v>
      </c>
      <c r="H296">
        <v>0.1212</v>
      </c>
      <c r="I296">
        <v>0.5</v>
      </c>
      <c r="J296">
        <v>0.22389999999999999</v>
      </c>
      <c r="K296">
        <v>0</v>
      </c>
      <c r="L296">
        <v>6</v>
      </c>
      <c r="M296">
        <v>6</v>
      </c>
    </row>
    <row r="297" spans="1:13" x14ac:dyDescent="0.3">
      <c r="A297">
        <v>906</v>
      </c>
      <c r="B297" s="1">
        <v>40584</v>
      </c>
      <c r="C297">
        <v>6</v>
      </c>
      <c r="D297" t="b">
        <v>0</v>
      </c>
      <c r="E297" t="s">
        <v>27</v>
      </c>
      <c r="F297" t="s">
        <v>31</v>
      </c>
      <c r="G297">
        <v>0.12</v>
      </c>
      <c r="H297">
        <v>0.1212</v>
      </c>
      <c r="I297">
        <v>0.54</v>
      </c>
      <c r="J297">
        <v>0.28360000000000002</v>
      </c>
      <c r="K297">
        <v>0</v>
      </c>
      <c r="L297">
        <v>26</v>
      </c>
      <c r="M297">
        <v>26</v>
      </c>
    </row>
    <row r="298" spans="1:13" x14ac:dyDescent="0.3">
      <c r="A298">
        <v>907</v>
      </c>
      <c r="B298" s="1">
        <v>40584</v>
      </c>
      <c r="C298">
        <v>7</v>
      </c>
      <c r="D298" t="b">
        <v>0</v>
      </c>
      <c r="E298" t="s">
        <v>27</v>
      </c>
      <c r="F298" t="s">
        <v>30</v>
      </c>
      <c r="G298">
        <v>0.1</v>
      </c>
      <c r="H298">
        <v>7.5800000000000006E-2</v>
      </c>
      <c r="I298">
        <v>0.5</v>
      </c>
      <c r="J298">
        <v>0.41789999999999999</v>
      </c>
      <c r="K298">
        <v>0</v>
      </c>
      <c r="L298">
        <v>99</v>
      </c>
      <c r="M298">
        <v>99</v>
      </c>
    </row>
    <row r="299" spans="1:13" x14ac:dyDescent="0.3">
      <c r="A299">
        <v>908</v>
      </c>
      <c r="B299" s="1">
        <v>40584</v>
      </c>
      <c r="C299">
        <v>8</v>
      </c>
      <c r="D299" t="b">
        <v>0</v>
      </c>
      <c r="E299" t="s">
        <v>27</v>
      </c>
      <c r="F299" t="s">
        <v>30</v>
      </c>
      <c r="G299">
        <v>0.1</v>
      </c>
      <c r="H299">
        <v>7.5800000000000006E-2</v>
      </c>
      <c r="I299">
        <v>0.49</v>
      </c>
      <c r="J299">
        <v>0.32840000000000003</v>
      </c>
      <c r="K299">
        <v>5</v>
      </c>
      <c r="L299">
        <v>173</v>
      </c>
      <c r="M299">
        <v>178</v>
      </c>
    </row>
    <row r="300" spans="1:13" x14ac:dyDescent="0.3">
      <c r="A300">
        <v>909</v>
      </c>
      <c r="B300" s="1">
        <v>40584</v>
      </c>
      <c r="C300">
        <v>9</v>
      </c>
      <c r="D300" t="b">
        <v>0</v>
      </c>
      <c r="E300" t="s">
        <v>27</v>
      </c>
      <c r="F300" t="s">
        <v>30</v>
      </c>
      <c r="G300">
        <v>0.12</v>
      </c>
      <c r="H300">
        <v>0.1061</v>
      </c>
      <c r="I300">
        <v>0.42</v>
      </c>
      <c r="J300">
        <v>0.35820000000000002</v>
      </c>
      <c r="K300">
        <v>1</v>
      </c>
      <c r="L300">
        <v>121</v>
      </c>
      <c r="M300">
        <v>122</v>
      </c>
    </row>
    <row r="301" spans="1:13" x14ac:dyDescent="0.3">
      <c r="A301">
        <v>910</v>
      </c>
      <c r="B301" s="1">
        <v>40584</v>
      </c>
      <c r="C301">
        <v>10</v>
      </c>
      <c r="D301" t="b">
        <v>0</v>
      </c>
      <c r="E301" t="s">
        <v>27</v>
      </c>
      <c r="F301" t="s">
        <v>30</v>
      </c>
      <c r="G301">
        <v>0.12</v>
      </c>
      <c r="H301">
        <v>0.1061</v>
      </c>
      <c r="I301">
        <v>0.42</v>
      </c>
      <c r="J301">
        <v>0.29849999999999999</v>
      </c>
      <c r="K301">
        <v>1</v>
      </c>
      <c r="L301">
        <v>34</v>
      </c>
      <c r="M301">
        <v>35</v>
      </c>
    </row>
    <row r="302" spans="1:13" x14ac:dyDescent="0.3">
      <c r="A302">
        <v>911</v>
      </c>
      <c r="B302" s="1">
        <v>40584</v>
      </c>
      <c r="C302">
        <v>11</v>
      </c>
      <c r="D302" t="b">
        <v>0</v>
      </c>
      <c r="E302" t="s">
        <v>27</v>
      </c>
      <c r="F302" t="s">
        <v>30</v>
      </c>
      <c r="G302">
        <v>0.14000000000000001</v>
      </c>
      <c r="H302">
        <v>0.1212</v>
      </c>
      <c r="I302">
        <v>0.39</v>
      </c>
      <c r="J302">
        <v>0.35820000000000002</v>
      </c>
      <c r="K302">
        <v>1</v>
      </c>
      <c r="L302">
        <v>44</v>
      </c>
      <c r="M302">
        <v>45</v>
      </c>
    </row>
    <row r="303" spans="1:13" x14ac:dyDescent="0.3">
      <c r="A303">
        <v>912</v>
      </c>
      <c r="B303" s="1">
        <v>40584</v>
      </c>
      <c r="C303">
        <v>12</v>
      </c>
      <c r="D303" t="b">
        <v>0</v>
      </c>
      <c r="E303" t="s">
        <v>27</v>
      </c>
      <c r="F303" t="s">
        <v>30</v>
      </c>
      <c r="G303">
        <v>0.16</v>
      </c>
      <c r="H303">
        <v>0.13639999999999999</v>
      </c>
      <c r="I303">
        <v>0.34</v>
      </c>
      <c r="J303">
        <v>0.3881</v>
      </c>
      <c r="K303">
        <v>4</v>
      </c>
      <c r="L303">
        <v>65</v>
      </c>
      <c r="M303">
        <v>69</v>
      </c>
    </row>
    <row r="304" spans="1:13" x14ac:dyDescent="0.3">
      <c r="A304">
        <v>913</v>
      </c>
      <c r="B304" s="1">
        <v>40584</v>
      </c>
      <c r="C304">
        <v>13</v>
      </c>
      <c r="D304" t="b">
        <v>0</v>
      </c>
      <c r="E304" t="s">
        <v>27</v>
      </c>
      <c r="F304" t="s">
        <v>30</v>
      </c>
      <c r="G304">
        <v>0.18</v>
      </c>
      <c r="H304">
        <v>0.16669999999999999</v>
      </c>
      <c r="I304">
        <v>0.28999999999999998</v>
      </c>
      <c r="J304">
        <v>0.29849999999999999</v>
      </c>
      <c r="K304">
        <v>3</v>
      </c>
      <c r="L304">
        <v>59</v>
      </c>
      <c r="M304">
        <v>62</v>
      </c>
    </row>
    <row r="305" spans="1:13" x14ac:dyDescent="0.3">
      <c r="A305">
        <v>914</v>
      </c>
      <c r="B305" s="1">
        <v>40584</v>
      </c>
      <c r="C305">
        <v>14</v>
      </c>
      <c r="D305" t="b">
        <v>0</v>
      </c>
      <c r="E305" t="s">
        <v>27</v>
      </c>
      <c r="F305" t="s">
        <v>30</v>
      </c>
      <c r="G305">
        <v>0.2</v>
      </c>
      <c r="H305">
        <v>0.18179999999999999</v>
      </c>
      <c r="I305">
        <v>0.27</v>
      </c>
      <c r="J305">
        <v>0.28360000000000002</v>
      </c>
      <c r="K305">
        <v>6</v>
      </c>
      <c r="L305">
        <v>42</v>
      </c>
      <c r="M305">
        <v>48</v>
      </c>
    </row>
    <row r="306" spans="1:13" x14ac:dyDescent="0.3">
      <c r="A306">
        <v>915</v>
      </c>
      <c r="B306" s="1">
        <v>40584</v>
      </c>
      <c r="C306">
        <v>15</v>
      </c>
      <c r="D306" t="b">
        <v>0</v>
      </c>
      <c r="E306" t="s">
        <v>27</v>
      </c>
      <c r="F306" t="s">
        <v>30</v>
      </c>
      <c r="G306">
        <v>0.2</v>
      </c>
      <c r="H306">
        <v>0.19700000000000001</v>
      </c>
      <c r="I306">
        <v>0.25</v>
      </c>
      <c r="J306">
        <v>0.25369999999999998</v>
      </c>
      <c r="K306">
        <v>0</v>
      </c>
      <c r="L306">
        <v>50</v>
      </c>
      <c r="M306">
        <v>50</v>
      </c>
    </row>
    <row r="307" spans="1:13" x14ac:dyDescent="0.3">
      <c r="A307">
        <v>916</v>
      </c>
      <c r="B307" s="1">
        <v>40584</v>
      </c>
      <c r="C307">
        <v>16</v>
      </c>
      <c r="D307" t="b">
        <v>0</v>
      </c>
      <c r="E307" t="s">
        <v>27</v>
      </c>
      <c r="F307" t="s">
        <v>30</v>
      </c>
      <c r="G307">
        <v>0.2</v>
      </c>
      <c r="H307">
        <v>0.18179999999999999</v>
      </c>
      <c r="I307">
        <v>0.27</v>
      </c>
      <c r="J307">
        <v>0.29849999999999999</v>
      </c>
      <c r="K307">
        <v>4</v>
      </c>
      <c r="L307">
        <v>76</v>
      </c>
      <c r="M307">
        <v>80</v>
      </c>
    </row>
    <row r="308" spans="1:13" x14ac:dyDescent="0.3">
      <c r="A308">
        <v>917</v>
      </c>
      <c r="B308" s="1">
        <v>40584</v>
      </c>
      <c r="C308">
        <v>17</v>
      </c>
      <c r="D308" t="b">
        <v>0</v>
      </c>
      <c r="E308" t="s">
        <v>27</v>
      </c>
      <c r="F308" t="s">
        <v>30</v>
      </c>
      <c r="G308">
        <v>0.18</v>
      </c>
      <c r="H308">
        <v>0.18179999999999999</v>
      </c>
      <c r="I308">
        <v>0.26</v>
      </c>
      <c r="J308">
        <v>0.19400000000000001</v>
      </c>
      <c r="K308">
        <v>6</v>
      </c>
      <c r="L308">
        <v>159</v>
      </c>
      <c r="M308">
        <v>165</v>
      </c>
    </row>
    <row r="309" spans="1:13" x14ac:dyDescent="0.3">
      <c r="A309">
        <v>918</v>
      </c>
      <c r="B309" s="1">
        <v>40584</v>
      </c>
      <c r="C309">
        <v>18</v>
      </c>
      <c r="D309" t="b">
        <v>0</v>
      </c>
      <c r="E309" t="s">
        <v>27</v>
      </c>
      <c r="F309" t="s">
        <v>30</v>
      </c>
      <c r="G309">
        <v>0.16</v>
      </c>
      <c r="H309">
        <v>0.18179999999999999</v>
      </c>
      <c r="I309">
        <v>0.28000000000000003</v>
      </c>
      <c r="J309">
        <v>0.1343</v>
      </c>
      <c r="K309">
        <v>3</v>
      </c>
      <c r="L309">
        <v>157</v>
      </c>
      <c r="M309">
        <v>160</v>
      </c>
    </row>
    <row r="310" spans="1:13" x14ac:dyDescent="0.3">
      <c r="A310">
        <v>919</v>
      </c>
      <c r="B310" s="1">
        <v>40584</v>
      </c>
      <c r="C310">
        <v>19</v>
      </c>
      <c r="D310" t="b">
        <v>0</v>
      </c>
      <c r="E310" t="s">
        <v>27</v>
      </c>
      <c r="F310" t="s">
        <v>30</v>
      </c>
      <c r="G310">
        <v>0.14000000000000001</v>
      </c>
      <c r="H310">
        <v>0.16669999999999999</v>
      </c>
      <c r="I310">
        <v>0.28000000000000003</v>
      </c>
      <c r="J310">
        <v>0.1045</v>
      </c>
      <c r="K310">
        <v>2</v>
      </c>
      <c r="L310">
        <v>110</v>
      </c>
      <c r="M310">
        <v>112</v>
      </c>
    </row>
    <row r="311" spans="1:13" x14ac:dyDescent="0.3">
      <c r="A311">
        <v>920</v>
      </c>
      <c r="B311" s="1">
        <v>40584</v>
      </c>
      <c r="C311">
        <v>20</v>
      </c>
      <c r="D311" t="b">
        <v>0</v>
      </c>
      <c r="E311" t="s">
        <v>27</v>
      </c>
      <c r="F311" t="s">
        <v>30</v>
      </c>
      <c r="G311">
        <v>0.14000000000000001</v>
      </c>
      <c r="H311">
        <v>0.18179999999999999</v>
      </c>
      <c r="I311">
        <v>0.31</v>
      </c>
      <c r="J311">
        <v>8.9599999999999999E-2</v>
      </c>
      <c r="K311">
        <v>4</v>
      </c>
      <c r="L311">
        <v>93</v>
      </c>
      <c r="M311">
        <v>97</v>
      </c>
    </row>
    <row r="312" spans="1:13" x14ac:dyDescent="0.3">
      <c r="A312">
        <v>921</v>
      </c>
      <c r="B312" s="1">
        <v>40584</v>
      </c>
      <c r="C312">
        <v>21</v>
      </c>
      <c r="D312" t="b">
        <v>0</v>
      </c>
      <c r="E312" t="s">
        <v>27</v>
      </c>
      <c r="F312" t="s">
        <v>30</v>
      </c>
      <c r="G312">
        <v>0.14000000000000001</v>
      </c>
      <c r="H312">
        <v>0.21210000000000001</v>
      </c>
      <c r="I312">
        <v>0.39</v>
      </c>
      <c r="J312">
        <v>0</v>
      </c>
      <c r="K312">
        <v>2</v>
      </c>
      <c r="L312">
        <v>70</v>
      </c>
      <c r="M312">
        <v>72</v>
      </c>
    </row>
    <row r="313" spans="1:13" x14ac:dyDescent="0.3">
      <c r="A313">
        <v>922</v>
      </c>
      <c r="B313" s="1">
        <v>40584</v>
      </c>
      <c r="C313">
        <v>22</v>
      </c>
      <c r="D313" t="b">
        <v>0</v>
      </c>
      <c r="E313" t="s">
        <v>27</v>
      </c>
      <c r="F313" t="s">
        <v>30</v>
      </c>
      <c r="G313">
        <v>0.12</v>
      </c>
      <c r="H313">
        <v>0.19700000000000001</v>
      </c>
      <c r="I313">
        <v>0.39</v>
      </c>
      <c r="J313">
        <v>0</v>
      </c>
      <c r="K313">
        <v>4</v>
      </c>
      <c r="L313">
        <v>47</v>
      </c>
      <c r="M313">
        <v>51</v>
      </c>
    </row>
    <row r="314" spans="1:13" x14ac:dyDescent="0.3">
      <c r="A314">
        <v>923</v>
      </c>
      <c r="B314" s="1">
        <v>40584</v>
      </c>
      <c r="C314">
        <v>23</v>
      </c>
      <c r="D314" t="b">
        <v>0</v>
      </c>
      <c r="E314" t="s">
        <v>27</v>
      </c>
      <c r="F314" t="s">
        <v>30</v>
      </c>
      <c r="G314">
        <v>0.12</v>
      </c>
      <c r="H314">
        <v>0.1515</v>
      </c>
      <c r="I314">
        <v>0.42</v>
      </c>
      <c r="J314">
        <v>0.1045</v>
      </c>
      <c r="K314">
        <v>1</v>
      </c>
      <c r="L314">
        <v>33</v>
      </c>
      <c r="M314">
        <v>34</v>
      </c>
    </row>
    <row r="315" spans="1:13" x14ac:dyDescent="0.3">
      <c r="A315">
        <v>924</v>
      </c>
      <c r="B315" s="1">
        <v>40585</v>
      </c>
      <c r="C315">
        <v>0</v>
      </c>
      <c r="D315" t="b">
        <v>0</v>
      </c>
      <c r="E315" t="s">
        <v>28</v>
      </c>
      <c r="F315" t="s">
        <v>30</v>
      </c>
      <c r="G315">
        <v>0.1</v>
      </c>
      <c r="H315">
        <v>0.13639999999999999</v>
      </c>
      <c r="I315">
        <v>0.49</v>
      </c>
      <c r="J315">
        <v>0.1045</v>
      </c>
      <c r="K315">
        <v>2</v>
      </c>
      <c r="L315">
        <v>12</v>
      </c>
      <c r="M315">
        <v>14</v>
      </c>
    </row>
    <row r="316" spans="1:13" x14ac:dyDescent="0.3">
      <c r="A316">
        <v>925</v>
      </c>
      <c r="B316" s="1">
        <v>40585</v>
      </c>
      <c r="C316">
        <v>1</v>
      </c>
      <c r="D316" t="b">
        <v>0</v>
      </c>
      <c r="E316" t="s">
        <v>28</v>
      </c>
      <c r="F316" t="s">
        <v>30</v>
      </c>
      <c r="G316">
        <v>0.1</v>
      </c>
      <c r="H316">
        <v>0.13639999999999999</v>
      </c>
      <c r="I316">
        <v>0.54</v>
      </c>
      <c r="J316">
        <v>8.9599999999999999E-2</v>
      </c>
      <c r="K316">
        <v>1</v>
      </c>
      <c r="L316">
        <v>6</v>
      </c>
      <c r="M316">
        <v>7</v>
      </c>
    </row>
    <row r="317" spans="1:13" x14ac:dyDescent="0.3">
      <c r="A317">
        <v>926</v>
      </c>
      <c r="B317" s="1">
        <v>40585</v>
      </c>
      <c r="C317">
        <v>2</v>
      </c>
      <c r="D317" t="b">
        <v>0</v>
      </c>
      <c r="E317" t="s">
        <v>28</v>
      </c>
      <c r="F317" t="s">
        <v>30</v>
      </c>
      <c r="G317">
        <v>0.1</v>
      </c>
      <c r="H317">
        <v>0.13639999999999999</v>
      </c>
      <c r="I317">
        <v>0.54</v>
      </c>
      <c r="J317">
        <v>8.9599999999999999E-2</v>
      </c>
      <c r="K317">
        <v>0</v>
      </c>
      <c r="L317">
        <v>3</v>
      </c>
      <c r="M317">
        <v>3</v>
      </c>
    </row>
    <row r="318" spans="1:13" x14ac:dyDescent="0.3">
      <c r="A318">
        <v>927</v>
      </c>
      <c r="B318" s="1">
        <v>40585</v>
      </c>
      <c r="C318">
        <v>5</v>
      </c>
      <c r="D318" t="b">
        <v>0</v>
      </c>
      <c r="E318" t="s">
        <v>28</v>
      </c>
      <c r="F318" t="s">
        <v>30</v>
      </c>
      <c r="G318">
        <v>0.08</v>
      </c>
      <c r="H318">
        <v>0.1212</v>
      </c>
      <c r="I318">
        <v>0.63</v>
      </c>
      <c r="J318">
        <v>8.9599999999999999E-2</v>
      </c>
      <c r="K318">
        <v>0</v>
      </c>
      <c r="L318">
        <v>4</v>
      </c>
      <c r="M318">
        <v>4</v>
      </c>
    </row>
    <row r="319" spans="1:13" x14ac:dyDescent="0.3">
      <c r="A319">
        <v>928</v>
      </c>
      <c r="B319" s="1">
        <v>40585</v>
      </c>
      <c r="C319">
        <v>6</v>
      </c>
      <c r="D319" t="b">
        <v>0</v>
      </c>
      <c r="E319" t="s">
        <v>28</v>
      </c>
      <c r="F319" t="s">
        <v>30</v>
      </c>
      <c r="G319">
        <v>0.1</v>
      </c>
      <c r="H319">
        <v>0.18179999999999999</v>
      </c>
      <c r="I319">
        <v>0.68</v>
      </c>
      <c r="J319">
        <v>0</v>
      </c>
      <c r="K319">
        <v>1</v>
      </c>
      <c r="L319">
        <v>23</v>
      </c>
      <c r="M319">
        <v>24</v>
      </c>
    </row>
    <row r="320" spans="1:13" x14ac:dyDescent="0.3">
      <c r="A320">
        <v>929</v>
      </c>
      <c r="B320" s="1">
        <v>40585</v>
      </c>
      <c r="C320">
        <v>7</v>
      </c>
      <c r="D320" t="b">
        <v>0</v>
      </c>
      <c r="E320" t="s">
        <v>28</v>
      </c>
      <c r="F320" t="s">
        <v>30</v>
      </c>
      <c r="G320">
        <v>0.08</v>
      </c>
      <c r="H320">
        <v>0.16669999999999999</v>
      </c>
      <c r="I320">
        <v>0.73</v>
      </c>
      <c r="J320">
        <v>0</v>
      </c>
      <c r="K320">
        <v>1</v>
      </c>
      <c r="L320">
        <v>73</v>
      </c>
      <c r="M320">
        <v>74</v>
      </c>
    </row>
    <row r="321" spans="1:13" x14ac:dyDescent="0.3">
      <c r="A321">
        <v>930</v>
      </c>
      <c r="B321" s="1">
        <v>40585</v>
      </c>
      <c r="C321">
        <v>8</v>
      </c>
      <c r="D321" t="b">
        <v>0</v>
      </c>
      <c r="E321" t="s">
        <v>28</v>
      </c>
      <c r="F321" t="s">
        <v>30</v>
      </c>
      <c r="G321">
        <v>0.1</v>
      </c>
      <c r="H321">
        <v>0.1212</v>
      </c>
      <c r="I321">
        <v>0.74</v>
      </c>
      <c r="J321">
        <v>0.16420000000000001</v>
      </c>
      <c r="K321">
        <v>4</v>
      </c>
      <c r="L321">
        <v>212</v>
      </c>
      <c r="M321">
        <v>216</v>
      </c>
    </row>
    <row r="322" spans="1:13" x14ac:dyDescent="0.3">
      <c r="A322">
        <v>931</v>
      </c>
      <c r="B322" s="1">
        <v>40585</v>
      </c>
      <c r="C322">
        <v>9</v>
      </c>
      <c r="D322" t="b">
        <v>0</v>
      </c>
      <c r="E322" t="s">
        <v>28</v>
      </c>
      <c r="F322" t="s">
        <v>30</v>
      </c>
      <c r="G322">
        <v>0.12</v>
      </c>
      <c r="H322">
        <v>0.1212</v>
      </c>
      <c r="I322">
        <v>0.74</v>
      </c>
      <c r="J322">
        <v>0.22389999999999999</v>
      </c>
      <c r="K322">
        <v>8</v>
      </c>
      <c r="L322">
        <v>132</v>
      </c>
      <c r="M322">
        <v>140</v>
      </c>
    </row>
    <row r="323" spans="1:13" x14ac:dyDescent="0.3">
      <c r="A323">
        <v>932</v>
      </c>
      <c r="B323" s="1">
        <v>40585</v>
      </c>
      <c r="C323">
        <v>10</v>
      </c>
      <c r="D323" t="b">
        <v>0</v>
      </c>
      <c r="E323" t="s">
        <v>28</v>
      </c>
      <c r="F323" t="s">
        <v>30</v>
      </c>
      <c r="G323">
        <v>0.14000000000000001</v>
      </c>
      <c r="H323">
        <v>0.13639999999999999</v>
      </c>
      <c r="I323">
        <v>0.69</v>
      </c>
      <c r="J323">
        <v>0.19400000000000001</v>
      </c>
      <c r="K323">
        <v>5</v>
      </c>
      <c r="L323">
        <v>39</v>
      </c>
      <c r="M323">
        <v>44</v>
      </c>
    </row>
    <row r="324" spans="1:13" x14ac:dyDescent="0.3">
      <c r="A324">
        <v>933</v>
      </c>
      <c r="B324" s="1">
        <v>40585</v>
      </c>
      <c r="C324">
        <v>11</v>
      </c>
      <c r="D324" t="b">
        <v>0</v>
      </c>
      <c r="E324" t="s">
        <v>28</v>
      </c>
      <c r="F324" t="s">
        <v>30</v>
      </c>
      <c r="G324">
        <v>0.22</v>
      </c>
      <c r="H324">
        <v>0.2273</v>
      </c>
      <c r="I324">
        <v>0.47</v>
      </c>
      <c r="J324">
        <v>0.1343</v>
      </c>
      <c r="K324">
        <v>12</v>
      </c>
      <c r="L324">
        <v>52</v>
      </c>
      <c r="M324">
        <v>64</v>
      </c>
    </row>
    <row r="325" spans="1:13" x14ac:dyDescent="0.3">
      <c r="A325">
        <v>934</v>
      </c>
      <c r="B325" s="1">
        <v>40585</v>
      </c>
      <c r="C325">
        <v>12</v>
      </c>
      <c r="D325" t="b">
        <v>0</v>
      </c>
      <c r="E325" t="s">
        <v>28</v>
      </c>
      <c r="F325" t="s">
        <v>30</v>
      </c>
      <c r="G325">
        <v>0.22</v>
      </c>
      <c r="H325">
        <v>0.2273</v>
      </c>
      <c r="I325">
        <v>0.47</v>
      </c>
      <c r="J325">
        <v>0.1343</v>
      </c>
      <c r="K325">
        <v>7</v>
      </c>
      <c r="L325">
        <v>64</v>
      </c>
      <c r="M325">
        <v>71</v>
      </c>
    </row>
    <row r="326" spans="1:13" x14ac:dyDescent="0.3">
      <c r="A326">
        <v>935</v>
      </c>
      <c r="B326" s="1">
        <v>40585</v>
      </c>
      <c r="C326">
        <v>13</v>
      </c>
      <c r="D326" t="b">
        <v>0</v>
      </c>
      <c r="E326" t="s">
        <v>28</v>
      </c>
      <c r="F326" t="s">
        <v>30</v>
      </c>
      <c r="G326">
        <v>0.24</v>
      </c>
      <c r="H326">
        <v>0.2273</v>
      </c>
      <c r="I326">
        <v>0.35</v>
      </c>
      <c r="J326">
        <v>0.19400000000000001</v>
      </c>
      <c r="K326">
        <v>21</v>
      </c>
      <c r="L326">
        <v>89</v>
      </c>
      <c r="M326">
        <v>110</v>
      </c>
    </row>
    <row r="327" spans="1:13" x14ac:dyDescent="0.3">
      <c r="A327">
        <v>936</v>
      </c>
      <c r="B327" s="1">
        <v>40585</v>
      </c>
      <c r="C327">
        <v>14</v>
      </c>
      <c r="D327" t="b">
        <v>0</v>
      </c>
      <c r="E327" t="s">
        <v>28</v>
      </c>
      <c r="F327" t="s">
        <v>30</v>
      </c>
      <c r="G327">
        <v>0.3</v>
      </c>
      <c r="H327">
        <v>0.28789999999999999</v>
      </c>
      <c r="I327">
        <v>0.26</v>
      </c>
      <c r="J327">
        <v>0.25369999999999998</v>
      </c>
      <c r="K327">
        <v>17</v>
      </c>
      <c r="L327">
        <v>67</v>
      </c>
      <c r="M327">
        <v>84</v>
      </c>
    </row>
    <row r="328" spans="1:13" x14ac:dyDescent="0.3">
      <c r="A328">
        <v>937</v>
      </c>
      <c r="B328" s="1">
        <v>40585</v>
      </c>
      <c r="C328">
        <v>15</v>
      </c>
      <c r="D328" t="b">
        <v>0</v>
      </c>
      <c r="E328" t="s">
        <v>28</v>
      </c>
      <c r="F328" t="s">
        <v>30</v>
      </c>
      <c r="G328">
        <v>0.32</v>
      </c>
      <c r="H328">
        <v>0.31819999999999998</v>
      </c>
      <c r="I328">
        <v>0.21</v>
      </c>
      <c r="J328">
        <v>0.16420000000000001</v>
      </c>
      <c r="K328">
        <v>12</v>
      </c>
      <c r="L328">
        <v>62</v>
      </c>
      <c r="M328">
        <v>74</v>
      </c>
    </row>
    <row r="329" spans="1:13" x14ac:dyDescent="0.3">
      <c r="A329">
        <v>938</v>
      </c>
      <c r="B329" s="1">
        <v>40585</v>
      </c>
      <c r="C329">
        <v>16</v>
      </c>
      <c r="D329" t="b">
        <v>0</v>
      </c>
      <c r="E329" t="s">
        <v>28</v>
      </c>
      <c r="F329" t="s">
        <v>30</v>
      </c>
      <c r="G329">
        <v>0.3</v>
      </c>
      <c r="H329">
        <v>0.28789999999999999</v>
      </c>
      <c r="I329">
        <v>0.28000000000000003</v>
      </c>
      <c r="J329">
        <v>0.19400000000000001</v>
      </c>
      <c r="K329">
        <v>14</v>
      </c>
      <c r="L329">
        <v>111</v>
      </c>
      <c r="M329">
        <v>125</v>
      </c>
    </row>
    <row r="330" spans="1:13" x14ac:dyDescent="0.3">
      <c r="A330">
        <v>939</v>
      </c>
      <c r="B330" s="1">
        <v>40585</v>
      </c>
      <c r="C330">
        <v>17</v>
      </c>
      <c r="D330" t="b">
        <v>0</v>
      </c>
      <c r="E330" t="s">
        <v>28</v>
      </c>
      <c r="F330" t="s">
        <v>30</v>
      </c>
      <c r="G330">
        <v>0.3</v>
      </c>
      <c r="H330">
        <v>0.33329999999999999</v>
      </c>
      <c r="I330">
        <v>0.24</v>
      </c>
      <c r="J330">
        <v>0</v>
      </c>
      <c r="K330">
        <v>18</v>
      </c>
      <c r="L330">
        <v>193</v>
      </c>
      <c r="M330">
        <v>211</v>
      </c>
    </row>
    <row r="331" spans="1:13" x14ac:dyDescent="0.3">
      <c r="A331">
        <v>940</v>
      </c>
      <c r="B331" s="1">
        <v>40585</v>
      </c>
      <c r="C331">
        <v>18</v>
      </c>
      <c r="D331" t="b">
        <v>0</v>
      </c>
      <c r="E331" t="s">
        <v>28</v>
      </c>
      <c r="F331" t="s">
        <v>30</v>
      </c>
      <c r="G331">
        <v>0.28000000000000003</v>
      </c>
      <c r="H331">
        <v>0.31819999999999998</v>
      </c>
      <c r="I331">
        <v>0.28000000000000003</v>
      </c>
      <c r="J331">
        <v>0</v>
      </c>
      <c r="K331">
        <v>9</v>
      </c>
      <c r="L331">
        <v>165</v>
      </c>
      <c r="M331">
        <v>174</v>
      </c>
    </row>
    <row r="332" spans="1:13" x14ac:dyDescent="0.3">
      <c r="A332">
        <v>941</v>
      </c>
      <c r="B332" s="1">
        <v>40585</v>
      </c>
      <c r="C332">
        <v>19</v>
      </c>
      <c r="D332" t="b">
        <v>0</v>
      </c>
      <c r="E332" t="s">
        <v>28</v>
      </c>
      <c r="F332" t="s">
        <v>30</v>
      </c>
      <c r="G332">
        <v>0.26</v>
      </c>
      <c r="H332">
        <v>0.30299999999999999</v>
      </c>
      <c r="I332">
        <v>0.33</v>
      </c>
      <c r="J332">
        <v>0</v>
      </c>
      <c r="K332">
        <v>7</v>
      </c>
      <c r="L332">
        <v>94</v>
      </c>
      <c r="M332">
        <v>101</v>
      </c>
    </row>
    <row r="333" spans="1:13" x14ac:dyDescent="0.3">
      <c r="A333">
        <v>942</v>
      </c>
      <c r="B333" s="1">
        <v>40585</v>
      </c>
      <c r="C333">
        <v>20</v>
      </c>
      <c r="D333" t="b">
        <v>0</v>
      </c>
      <c r="E333" t="s">
        <v>28</v>
      </c>
      <c r="F333" t="s">
        <v>30</v>
      </c>
      <c r="G333">
        <v>0.22</v>
      </c>
      <c r="H333">
        <v>0.2273</v>
      </c>
      <c r="I333">
        <v>0.55000000000000004</v>
      </c>
      <c r="J333">
        <v>0.1343</v>
      </c>
      <c r="K333">
        <v>2</v>
      </c>
      <c r="L333">
        <v>61</v>
      </c>
      <c r="M333">
        <v>63</v>
      </c>
    </row>
    <row r="334" spans="1:13" x14ac:dyDescent="0.3">
      <c r="A334">
        <v>943</v>
      </c>
      <c r="B334" s="1">
        <v>40585</v>
      </c>
      <c r="C334">
        <v>21</v>
      </c>
      <c r="D334" t="b">
        <v>0</v>
      </c>
      <c r="E334" t="s">
        <v>28</v>
      </c>
      <c r="F334" t="s">
        <v>30</v>
      </c>
      <c r="G334">
        <v>0.2</v>
      </c>
      <c r="H334">
        <v>0.21210000000000001</v>
      </c>
      <c r="I334">
        <v>0.59</v>
      </c>
      <c r="J334">
        <v>0.1343</v>
      </c>
      <c r="K334">
        <v>1</v>
      </c>
      <c r="L334">
        <v>46</v>
      </c>
      <c r="M334">
        <v>47</v>
      </c>
    </row>
    <row r="335" spans="1:13" x14ac:dyDescent="0.3">
      <c r="A335">
        <v>944</v>
      </c>
      <c r="B335" s="1">
        <v>40585</v>
      </c>
      <c r="C335">
        <v>22</v>
      </c>
      <c r="D335" t="b">
        <v>0</v>
      </c>
      <c r="E335" t="s">
        <v>28</v>
      </c>
      <c r="F335" t="s">
        <v>30</v>
      </c>
      <c r="G335">
        <v>0.2</v>
      </c>
      <c r="H335">
        <v>0.2273</v>
      </c>
      <c r="I335">
        <v>0.64</v>
      </c>
      <c r="J335">
        <v>8.9599999999999999E-2</v>
      </c>
      <c r="K335">
        <v>2</v>
      </c>
      <c r="L335">
        <v>41</v>
      </c>
      <c r="M335">
        <v>43</v>
      </c>
    </row>
    <row r="336" spans="1:13" x14ac:dyDescent="0.3">
      <c r="A336">
        <v>945</v>
      </c>
      <c r="B336" s="1">
        <v>40585</v>
      </c>
      <c r="C336">
        <v>23</v>
      </c>
      <c r="D336" t="b">
        <v>0</v>
      </c>
      <c r="E336" t="s">
        <v>28</v>
      </c>
      <c r="F336" t="s">
        <v>30</v>
      </c>
      <c r="G336">
        <v>0.18</v>
      </c>
      <c r="H336">
        <v>0.2424</v>
      </c>
      <c r="I336">
        <v>0.69</v>
      </c>
      <c r="J336">
        <v>0</v>
      </c>
      <c r="K336">
        <v>5</v>
      </c>
      <c r="L336">
        <v>48</v>
      </c>
      <c r="M336">
        <v>53</v>
      </c>
    </row>
    <row r="337" spans="1:13" x14ac:dyDescent="0.3">
      <c r="A337">
        <v>946</v>
      </c>
      <c r="B337" s="1">
        <v>40586</v>
      </c>
      <c r="C337">
        <v>0</v>
      </c>
      <c r="D337" t="b">
        <v>0</v>
      </c>
      <c r="E337" t="s">
        <v>29</v>
      </c>
      <c r="F337" t="s">
        <v>30</v>
      </c>
      <c r="G337">
        <v>0.16</v>
      </c>
      <c r="H337">
        <v>0.19700000000000001</v>
      </c>
      <c r="I337">
        <v>0.69</v>
      </c>
      <c r="J337">
        <v>8.9599999999999999E-2</v>
      </c>
      <c r="K337">
        <v>3</v>
      </c>
      <c r="L337">
        <v>27</v>
      </c>
      <c r="M337">
        <v>30</v>
      </c>
    </row>
    <row r="338" spans="1:13" x14ac:dyDescent="0.3">
      <c r="A338">
        <v>947</v>
      </c>
      <c r="B338" s="1">
        <v>40586</v>
      </c>
      <c r="C338">
        <v>1</v>
      </c>
      <c r="D338" t="b">
        <v>0</v>
      </c>
      <c r="E338" t="s">
        <v>29</v>
      </c>
      <c r="F338" t="s">
        <v>30</v>
      </c>
      <c r="G338">
        <v>0.14000000000000001</v>
      </c>
      <c r="H338">
        <v>0.21210000000000001</v>
      </c>
      <c r="I338">
        <v>0.86</v>
      </c>
      <c r="J338">
        <v>0</v>
      </c>
      <c r="K338">
        <v>2</v>
      </c>
      <c r="L338">
        <v>22</v>
      </c>
      <c r="M338">
        <v>24</v>
      </c>
    </row>
    <row r="339" spans="1:13" x14ac:dyDescent="0.3">
      <c r="A339">
        <v>948</v>
      </c>
      <c r="B339" s="1">
        <v>40586</v>
      </c>
      <c r="C339">
        <v>2</v>
      </c>
      <c r="D339" t="b">
        <v>0</v>
      </c>
      <c r="E339" t="s">
        <v>29</v>
      </c>
      <c r="F339" t="s">
        <v>30</v>
      </c>
      <c r="G339">
        <v>0.14000000000000001</v>
      </c>
      <c r="H339">
        <v>0.21210000000000001</v>
      </c>
      <c r="I339">
        <v>0.8</v>
      </c>
      <c r="J339">
        <v>0</v>
      </c>
      <c r="K339">
        <v>2</v>
      </c>
      <c r="L339">
        <v>13</v>
      </c>
      <c r="M339">
        <v>15</v>
      </c>
    </row>
    <row r="340" spans="1:13" x14ac:dyDescent="0.3">
      <c r="A340">
        <v>949</v>
      </c>
      <c r="B340" s="1">
        <v>40586</v>
      </c>
      <c r="C340">
        <v>3</v>
      </c>
      <c r="D340" t="b">
        <v>0</v>
      </c>
      <c r="E340" t="s">
        <v>29</v>
      </c>
      <c r="F340" t="s">
        <v>30</v>
      </c>
      <c r="G340">
        <v>0.12</v>
      </c>
      <c r="H340">
        <v>0.19700000000000001</v>
      </c>
      <c r="I340">
        <v>0.8</v>
      </c>
      <c r="J340">
        <v>0</v>
      </c>
      <c r="K340">
        <v>3</v>
      </c>
      <c r="L340">
        <v>7</v>
      </c>
      <c r="M340">
        <v>10</v>
      </c>
    </row>
    <row r="341" spans="1:13" x14ac:dyDescent="0.3">
      <c r="A341">
        <v>950</v>
      </c>
      <c r="B341" s="1">
        <v>40586</v>
      </c>
      <c r="C341">
        <v>4</v>
      </c>
      <c r="D341" t="b">
        <v>0</v>
      </c>
      <c r="E341" t="s">
        <v>29</v>
      </c>
      <c r="F341" t="s">
        <v>30</v>
      </c>
      <c r="G341">
        <v>0.12</v>
      </c>
      <c r="H341">
        <v>0.16669999999999999</v>
      </c>
      <c r="I341">
        <v>0.74</v>
      </c>
      <c r="J341">
        <v>8.9599999999999999E-2</v>
      </c>
      <c r="K341">
        <v>0</v>
      </c>
      <c r="L341">
        <v>4</v>
      </c>
      <c r="M341">
        <v>4</v>
      </c>
    </row>
    <row r="342" spans="1:13" x14ac:dyDescent="0.3">
      <c r="A342">
        <v>951</v>
      </c>
      <c r="B342" s="1">
        <v>40586</v>
      </c>
      <c r="C342">
        <v>5</v>
      </c>
      <c r="D342" t="b">
        <v>0</v>
      </c>
      <c r="E342" t="s">
        <v>29</v>
      </c>
      <c r="F342" t="s">
        <v>30</v>
      </c>
      <c r="G342">
        <v>0.12</v>
      </c>
      <c r="H342">
        <v>0.16669999999999999</v>
      </c>
      <c r="I342">
        <v>0.74</v>
      </c>
      <c r="J342">
        <v>8.9599999999999999E-2</v>
      </c>
      <c r="K342">
        <v>0</v>
      </c>
      <c r="L342">
        <v>1</v>
      </c>
      <c r="M342">
        <v>1</v>
      </c>
    </row>
    <row r="343" spans="1:13" x14ac:dyDescent="0.3">
      <c r="A343">
        <v>952</v>
      </c>
      <c r="B343" s="1">
        <v>40586</v>
      </c>
      <c r="C343">
        <v>6</v>
      </c>
      <c r="D343" t="b">
        <v>0</v>
      </c>
      <c r="E343" t="s">
        <v>29</v>
      </c>
      <c r="F343" t="s">
        <v>30</v>
      </c>
      <c r="G343">
        <v>0.12</v>
      </c>
      <c r="H343">
        <v>0.13639999999999999</v>
      </c>
      <c r="I343">
        <v>0.93</v>
      </c>
      <c r="J343">
        <v>0.19400000000000001</v>
      </c>
      <c r="K343">
        <v>1</v>
      </c>
      <c r="L343">
        <v>1</v>
      </c>
      <c r="M343">
        <v>2</v>
      </c>
    </row>
    <row r="344" spans="1:13" x14ac:dyDescent="0.3">
      <c r="A344">
        <v>953</v>
      </c>
      <c r="B344" s="1">
        <v>40586</v>
      </c>
      <c r="C344">
        <v>7</v>
      </c>
      <c r="D344" t="b">
        <v>0</v>
      </c>
      <c r="E344" t="s">
        <v>29</v>
      </c>
      <c r="F344" t="s">
        <v>30</v>
      </c>
      <c r="G344">
        <v>0.12</v>
      </c>
      <c r="H344">
        <v>0.1515</v>
      </c>
      <c r="I344">
        <v>0.8</v>
      </c>
      <c r="J344">
        <v>0.1045</v>
      </c>
      <c r="K344">
        <v>2</v>
      </c>
      <c r="L344">
        <v>9</v>
      </c>
      <c r="M344">
        <v>11</v>
      </c>
    </row>
    <row r="345" spans="1:13" x14ac:dyDescent="0.3">
      <c r="A345">
        <v>954</v>
      </c>
      <c r="B345" s="1">
        <v>40586</v>
      </c>
      <c r="C345">
        <v>8</v>
      </c>
      <c r="D345" t="b">
        <v>0</v>
      </c>
      <c r="E345" t="s">
        <v>29</v>
      </c>
      <c r="F345" t="s">
        <v>30</v>
      </c>
      <c r="G345">
        <v>0.14000000000000001</v>
      </c>
      <c r="H345">
        <v>0.1515</v>
      </c>
      <c r="I345">
        <v>0.86</v>
      </c>
      <c r="J345">
        <v>0.1343</v>
      </c>
      <c r="K345">
        <v>2</v>
      </c>
      <c r="L345">
        <v>28</v>
      </c>
      <c r="M345">
        <v>30</v>
      </c>
    </row>
    <row r="346" spans="1:13" x14ac:dyDescent="0.3">
      <c r="A346">
        <v>955</v>
      </c>
      <c r="B346" s="1">
        <v>40586</v>
      </c>
      <c r="C346">
        <v>9</v>
      </c>
      <c r="D346" t="b">
        <v>0</v>
      </c>
      <c r="E346" t="s">
        <v>29</v>
      </c>
      <c r="F346" t="s">
        <v>30</v>
      </c>
      <c r="G346">
        <v>0.16</v>
      </c>
      <c r="H346">
        <v>0.18179999999999999</v>
      </c>
      <c r="I346">
        <v>0.64</v>
      </c>
      <c r="J346">
        <v>0.1343</v>
      </c>
      <c r="K346">
        <v>5</v>
      </c>
      <c r="L346">
        <v>38</v>
      </c>
      <c r="M346">
        <v>43</v>
      </c>
    </row>
    <row r="347" spans="1:13" x14ac:dyDescent="0.3">
      <c r="A347">
        <v>956</v>
      </c>
      <c r="B347" s="1">
        <v>40586</v>
      </c>
      <c r="C347">
        <v>10</v>
      </c>
      <c r="D347" t="b">
        <v>0</v>
      </c>
      <c r="E347" t="s">
        <v>29</v>
      </c>
      <c r="F347" t="s">
        <v>30</v>
      </c>
      <c r="G347">
        <v>0.22</v>
      </c>
      <c r="H347">
        <v>0.21210000000000001</v>
      </c>
      <c r="I347">
        <v>0.41</v>
      </c>
      <c r="J347">
        <v>0.25369999999999998</v>
      </c>
      <c r="K347">
        <v>13</v>
      </c>
      <c r="L347">
        <v>71</v>
      </c>
      <c r="M347">
        <v>84</v>
      </c>
    </row>
    <row r="348" spans="1:13" x14ac:dyDescent="0.3">
      <c r="A348">
        <v>957</v>
      </c>
      <c r="B348" s="1">
        <v>40586</v>
      </c>
      <c r="C348">
        <v>11</v>
      </c>
      <c r="D348" t="b">
        <v>0</v>
      </c>
      <c r="E348" t="s">
        <v>29</v>
      </c>
      <c r="F348" t="s">
        <v>30</v>
      </c>
      <c r="G348">
        <v>0.3</v>
      </c>
      <c r="H348">
        <v>0.2727</v>
      </c>
      <c r="I348">
        <v>0.28000000000000003</v>
      </c>
      <c r="J348">
        <v>0.32840000000000003</v>
      </c>
      <c r="K348">
        <v>30</v>
      </c>
      <c r="L348">
        <v>84</v>
      </c>
      <c r="M348">
        <v>114</v>
      </c>
    </row>
    <row r="349" spans="1:13" x14ac:dyDescent="0.3">
      <c r="A349">
        <v>958</v>
      </c>
      <c r="B349" s="1">
        <v>40586</v>
      </c>
      <c r="C349">
        <v>12</v>
      </c>
      <c r="D349" t="b">
        <v>0</v>
      </c>
      <c r="E349" t="s">
        <v>29</v>
      </c>
      <c r="F349" t="s">
        <v>30</v>
      </c>
      <c r="G349">
        <v>0.3</v>
      </c>
      <c r="H349">
        <v>0.2727</v>
      </c>
      <c r="I349">
        <v>0.39</v>
      </c>
      <c r="J349">
        <v>0.4627</v>
      </c>
      <c r="K349">
        <v>27</v>
      </c>
      <c r="L349">
        <v>93</v>
      </c>
      <c r="M349">
        <v>120</v>
      </c>
    </row>
    <row r="350" spans="1:13" x14ac:dyDescent="0.3">
      <c r="A350">
        <v>959</v>
      </c>
      <c r="B350" s="1">
        <v>40586</v>
      </c>
      <c r="C350">
        <v>13</v>
      </c>
      <c r="D350" t="b">
        <v>0</v>
      </c>
      <c r="E350" t="s">
        <v>29</v>
      </c>
      <c r="F350" t="s">
        <v>30</v>
      </c>
      <c r="G350">
        <v>0.3</v>
      </c>
      <c r="H350">
        <v>0.2727</v>
      </c>
      <c r="I350">
        <v>0.39</v>
      </c>
      <c r="J350">
        <v>0.41789999999999999</v>
      </c>
      <c r="K350">
        <v>32</v>
      </c>
      <c r="L350">
        <v>103</v>
      </c>
      <c r="M350">
        <v>135</v>
      </c>
    </row>
    <row r="351" spans="1:13" x14ac:dyDescent="0.3">
      <c r="A351">
        <v>960</v>
      </c>
      <c r="B351" s="1">
        <v>40586</v>
      </c>
      <c r="C351">
        <v>14</v>
      </c>
      <c r="D351" t="b">
        <v>0</v>
      </c>
      <c r="E351" t="s">
        <v>29</v>
      </c>
      <c r="F351" t="s">
        <v>30</v>
      </c>
      <c r="G351">
        <v>0.34</v>
      </c>
      <c r="H351">
        <v>0.31819999999999998</v>
      </c>
      <c r="I351">
        <v>0.31</v>
      </c>
      <c r="J351">
        <v>0.28360000000000002</v>
      </c>
      <c r="K351">
        <v>30</v>
      </c>
      <c r="L351">
        <v>90</v>
      </c>
      <c r="M351">
        <v>120</v>
      </c>
    </row>
    <row r="352" spans="1:13" x14ac:dyDescent="0.3">
      <c r="A352">
        <v>961</v>
      </c>
      <c r="B352" s="1">
        <v>40586</v>
      </c>
      <c r="C352">
        <v>15</v>
      </c>
      <c r="D352" t="b">
        <v>0</v>
      </c>
      <c r="E352" t="s">
        <v>29</v>
      </c>
      <c r="F352" t="s">
        <v>30</v>
      </c>
      <c r="G352">
        <v>0.34</v>
      </c>
      <c r="H352">
        <v>0.30299999999999999</v>
      </c>
      <c r="I352">
        <v>0.28999999999999998</v>
      </c>
      <c r="J352">
        <v>0.41789999999999999</v>
      </c>
      <c r="K352">
        <v>47</v>
      </c>
      <c r="L352">
        <v>127</v>
      </c>
      <c r="M352">
        <v>174</v>
      </c>
    </row>
    <row r="353" spans="1:13" x14ac:dyDescent="0.3">
      <c r="A353">
        <v>962</v>
      </c>
      <c r="B353" s="1">
        <v>40586</v>
      </c>
      <c r="C353">
        <v>16</v>
      </c>
      <c r="D353" t="b">
        <v>0</v>
      </c>
      <c r="E353" t="s">
        <v>29</v>
      </c>
      <c r="F353" t="s">
        <v>30</v>
      </c>
      <c r="G353">
        <v>0.34</v>
      </c>
      <c r="H353">
        <v>0.30299999999999999</v>
      </c>
      <c r="I353">
        <v>0.28999999999999998</v>
      </c>
      <c r="J353">
        <v>0.41789999999999999</v>
      </c>
      <c r="K353">
        <v>42</v>
      </c>
      <c r="L353">
        <v>103</v>
      </c>
      <c r="M353">
        <v>145</v>
      </c>
    </row>
    <row r="354" spans="1:13" x14ac:dyDescent="0.3">
      <c r="A354">
        <v>963</v>
      </c>
      <c r="B354" s="1">
        <v>40586</v>
      </c>
      <c r="C354">
        <v>17</v>
      </c>
      <c r="D354" t="b">
        <v>0</v>
      </c>
      <c r="E354" t="s">
        <v>29</v>
      </c>
      <c r="F354" t="s">
        <v>30</v>
      </c>
      <c r="G354">
        <v>0.32</v>
      </c>
      <c r="H354">
        <v>0.28789999999999999</v>
      </c>
      <c r="I354">
        <v>0.31</v>
      </c>
      <c r="J354">
        <v>0.52239999999999998</v>
      </c>
      <c r="K354">
        <v>24</v>
      </c>
      <c r="L354">
        <v>113</v>
      </c>
      <c r="M354">
        <v>137</v>
      </c>
    </row>
    <row r="355" spans="1:13" x14ac:dyDescent="0.3">
      <c r="A355">
        <v>964</v>
      </c>
      <c r="B355" s="1">
        <v>40586</v>
      </c>
      <c r="C355">
        <v>18</v>
      </c>
      <c r="D355" t="b">
        <v>0</v>
      </c>
      <c r="E355" t="s">
        <v>29</v>
      </c>
      <c r="F355" t="s">
        <v>30</v>
      </c>
      <c r="G355">
        <v>0.28000000000000003</v>
      </c>
      <c r="H355">
        <v>0.2576</v>
      </c>
      <c r="I355">
        <v>0.38</v>
      </c>
      <c r="J355">
        <v>0.32840000000000003</v>
      </c>
      <c r="K355">
        <v>4</v>
      </c>
      <c r="L355">
        <v>60</v>
      </c>
      <c r="M355">
        <v>64</v>
      </c>
    </row>
    <row r="356" spans="1:13" x14ac:dyDescent="0.3">
      <c r="A356">
        <v>965</v>
      </c>
      <c r="B356" s="1">
        <v>40586</v>
      </c>
      <c r="C356">
        <v>19</v>
      </c>
      <c r="D356" t="b">
        <v>0</v>
      </c>
      <c r="E356" t="s">
        <v>29</v>
      </c>
      <c r="F356" t="s">
        <v>30</v>
      </c>
      <c r="G356">
        <v>0.28000000000000003</v>
      </c>
      <c r="H356">
        <v>0.2727</v>
      </c>
      <c r="I356">
        <v>0.38</v>
      </c>
      <c r="J356">
        <v>0.16420000000000001</v>
      </c>
      <c r="K356">
        <v>2</v>
      </c>
      <c r="L356">
        <v>39</v>
      </c>
      <c r="M356">
        <v>41</v>
      </c>
    </row>
    <row r="357" spans="1:13" x14ac:dyDescent="0.3">
      <c r="A357">
        <v>966</v>
      </c>
      <c r="B357" s="1">
        <v>40586</v>
      </c>
      <c r="C357">
        <v>20</v>
      </c>
      <c r="D357" t="b">
        <v>0</v>
      </c>
      <c r="E357" t="s">
        <v>29</v>
      </c>
      <c r="F357" t="s">
        <v>30</v>
      </c>
      <c r="G357">
        <v>0.26</v>
      </c>
      <c r="H357">
        <v>0.2576</v>
      </c>
      <c r="I357">
        <v>0.41</v>
      </c>
      <c r="J357">
        <v>0.22389999999999999</v>
      </c>
      <c r="K357">
        <v>1</v>
      </c>
      <c r="L357">
        <v>39</v>
      </c>
      <c r="M357">
        <v>40</v>
      </c>
    </row>
    <row r="358" spans="1:13" x14ac:dyDescent="0.3">
      <c r="A358">
        <v>967</v>
      </c>
      <c r="B358" s="1">
        <v>40586</v>
      </c>
      <c r="C358">
        <v>21</v>
      </c>
      <c r="D358" t="b">
        <v>0</v>
      </c>
      <c r="E358" t="s">
        <v>29</v>
      </c>
      <c r="F358" t="s">
        <v>30</v>
      </c>
      <c r="G358">
        <v>0.26</v>
      </c>
      <c r="H358">
        <v>0.30299999999999999</v>
      </c>
      <c r="I358">
        <v>0.41</v>
      </c>
      <c r="J358">
        <v>0</v>
      </c>
      <c r="K358">
        <v>9</v>
      </c>
      <c r="L358">
        <v>42</v>
      </c>
      <c r="M358">
        <v>51</v>
      </c>
    </row>
    <row r="359" spans="1:13" x14ac:dyDescent="0.3">
      <c r="A359">
        <v>968</v>
      </c>
      <c r="B359" s="1">
        <v>40586</v>
      </c>
      <c r="C359">
        <v>22</v>
      </c>
      <c r="D359" t="b">
        <v>0</v>
      </c>
      <c r="E359" t="s">
        <v>29</v>
      </c>
      <c r="F359" t="s">
        <v>30</v>
      </c>
      <c r="G359">
        <v>0.24</v>
      </c>
      <c r="H359">
        <v>0.2576</v>
      </c>
      <c r="I359">
        <v>0.44</v>
      </c>
      <c r="J359">
        <v>8.9599999999999999E-2</v>
      </c>
      <c r="K359">
        <v>6</v>
      </c>
      <c r="L359">
        <v>39</v>
      </c>
      <c r="M359">
        <v>45</v>
      </c>
    </row>
    <row r="360" spans="1:13" x14ac:dyDescent="0.3">
      <c r="A360">
        <v>969</v>
      </c>
      <c r="B360" s="1">
        <v>40586</v>
      </c>
      <c r="C360">
        <v>23</v>
      </c>
      <c r="D360" t="b">
        <v>0</v>
      </c>
      <c r="E360" t="s">
        <v>29</v>
      </c>
      <c r="F360" t="s">
        <v>30</v>
      </c>
      <c r="G360">
        <v>0.22</v>
      </c>
      <c r="H360">
        <v>0.2273</v>
      </c>
      <c r="I360">
        <v>0.51</v>
      </c>
      <c r="J360">
        <v>0.1343</v>
      </c>
      <c r="K360">
        <v>1</v>
      </c>
      <c r="L360">
        <v>31</v>
      </c>
      <c r="M360">
        <v>32</v>
      </c>
    </row>
    <row r="361" spans="1:13" x14ac:dyDescent="0.3">
      <c r="A361">
        <v>970</v>
      </c>
      <c r="B361" s="1">
        <v>40587</v>
      </c>
      <c r="C361">
        <v>0</v>
      </c>
      <c r="D361" t="b">
        <v>0</v>
      </c>
      <c r="E361" t="s">
        <v>23</v>
      </c>
      <c r="F361" t="s">
        <v>30</v>
      </c>
      <c r="G361">
        <v>0.2</v>
      </c>
      <c r="H361">
        <v>0.2273</v>
      </c>
      <c r="I361">
        <v>0.64</v>
      </c>
      <c r="J361">
        <v>0.1045</v>
      </c>
      <c r="K361">
        <v>5</v>
      </c>
      <c r="L361">
        <v>34</v>
      </c>
      <c r="M361">
        <v>39</v>
      </c>
    </row>
    <row r="362" spans="1:13" x14ac:dyDescent="0.3">
      <c r="A362">
        <v>971</v>
      </c>
      <c r="B362" s="1">
        <v>40587</v>
      </c>
      <c r="C362">
        <v>1</v>
      </c>
      <c r="D362" t="b">
        <v>0</v>
      </c>
      <c r="E362" t="s">
        <v>23</v>
      </c>
      <c r="F362" t="s">
        <v>30</v>
      </c>
      <c r="G362">
        <v>0.2</v>
      </c>
      <c r="H362">
        <v>0.2273</v>
      </c>
      <c r="I362">
        <v>0.59</v>
      </c>
      <c r="J362">
        <v>8.9599999999999999E-2</v>
      </c>
      <c r="K362">
        <v>1</v>
      </c>
      <c r="L362">
        <v>23</v>
      </c>
      <c r="M362">
        <v>24</v>
      </c>
    </row>
    <row r="363" spans="1:13" x14ac:dyDescent="0.3">
      <c r="A363">
        <v>972</v>
      </c>
      <c r="B363" s="1">
        <v>40587</v>
      </c>
      <c r="C363">
        <v>2</v>
      </c>
      <c r="D363" t="b">
        <v>0</v>
      </c>
      <c r="E363" t="s">
        <v>23</v>
      </c>
      <c r="F363" t="s">
        <v>31</v>
      </c>
      <c r="G363">
        <v>0.2</v>
      </c>
      <c r="H363">
        <v>0.2273</v>
      </c>
      <c r="I363">
        <v>0.75</v>
      </c>
      <c r="J363">
        <v>8.9599999999999999E-2</v>
      </c>
      <c r="K363">
        <v>1</v>
      </c>
      <c r="L363">
        <v>19</v>
      </c>
      <c r="M363">
        <v>20</v>
      </c>
    </row>
    <row r="364" spans="1:13" x14ac:dyDescent="0.3">
      <c r="A364">
        <v>973</v>
      </c>
      <c r="B364" s="1">
        <v>40587</v>
      </c>
      <c r="C364">
        <v>3</v>
      </c>
      <c r="D364" t="b">
        <v>0</v>
      </c>
      <c r="E364" t="s">
        <v>23</v>
      </c>
      <c r="F364" t="s">
        <v>31</v>
      </c>
      <c r="G364">
        <v>0.2</v>
      </c>
      <c r="H364">
        <v>0.2273</v>
      </c>
      <c r="I364">
        <v>0.69</v>
      </c>
      <c r="J364">
        <v>0.1045</v>
      </c>
      <c r="K364">
        <v>4</v>
      </c>
      <c r="L364">
        <v>8</v>
      </c>
      <c r="M364">
        <v>12</v>
      </c>
    </row>
    <row r="365" spans="1:13" x14ac:dyDescent="0.3">
      <c r="A365">
        <v>974</v>
      </c>
      <c r="B365" s="1">
        <v>40587</v>
      </c>
      <c r="C365">
        <v>4</v>
      </c>
      <c r="D365" t="b">
        <v>0</v>
      </c>
      <c r="E365" t="s">
        <v>23</v>
      </c>
      <c r="F365" t="s">
        <v>31</v>
      </c>
      <c r="G365">
        <v>0.2</v>
      </c>
      <c r="H365">
        <v>0.21210000000000001</v>
      </c>
      <c r="I365">
        <v>0.69</v>
      </c>
      <c r="J365">
        <v>0.16420000000000001</v>
      </c>
      <c r="K365">
        <v>0</v>
      </c>
      <c r="L365">
        <v>2</v>
      </c>
      <c r="M365">
        <v>2</v>
      </c>
    </row>
    <row r="366" spans="1:13" x14ac:dyDescent="0.3">
      <c r="A366">
        <v>975</v>
      </c>
      <c r="B366" s="1">
        <v>40587</v>
      </c>
      <c r="C366">
        <v>6</v>
      </c>
      <c r="D366" t="b">
        <v>0</v>
      </c>
      <c r="E366" t="s">
        <v>23</v>
      </c>
      <c r="F366" t="s">
        <v>31</v>
      </c>
      <c r="G366">
        <v>0.2</v>
      </c>
      <c r="H366">
        <v>0.21210000000000001</v>
      </c>
      <c r="I366">
        <v>0.69</v>
      </c>
      <c r="J366">
        <v>0.1343</v>
      </c>
      <c r="K366">
        <v>2</v>
      </c>
      <c r="L366">
        <v>3</v>
      </c>
      <c r="M366">
        <v>5</v>
      </c>
    </row>
    <row r="367" spans="1:13" x14ac:dyDescent="0.3">
      <c r="A367">
        <v>976</v>
      </c>
      <c r="B367" s="1">
        <v>40587</v>
      </c>
      <c r="C367">
        <v>7</v>
      </c>
      <c r="D367" t="b">
        <v>0</v>
      </c>
      <c r="E367" t="s">
        <v>23</v>
      </c>
      <c r="F367" t="s">
        <v>31</v>
      </c>
      <c r="G367">
        <v>0.22</v>
      </c>
      <c r="H367">
        <v>0.2727</v>
      </c>
      <c r="I367">
        <v>0.55000000000000004</v>
      </c>
      <c r="J367">
        <v>0</v>
      </c>
      <c r="K367">
        <v>0</v>
      </c>
      <c r="L367">
        <v>3</v>
      </c>
      <c r="M367">
        <v>3</v>
      </c>
    </row>
    <row r="368" spans="1:13" x14ac:dyDescent="0.3">
      <c r="A368">
        <v>977</v>
      </c>
      <c r="B368" s="1">
        <v>40587</v>
      </c>
      <c r="C368">
        <v>8</v>
      </c>
      <c r="D368" t="b">
        <v>0</v>
      </c>
      <c r="E368" t="s">
        <v>23</v>
      </c>
      <c r="F368" t="s">
        <v>31</v>
      </c>
      <c r="G368">
        <v>0.22</v>
      </c>
      <c r="H368">
        <v>0.2273</v>
      </c>
      <c r="I368">
        <v>0.64</v>
      </c>
      <c r="J368">
        <v>0.19400000000000001</v>
      </c>
      <c r="K368">
        <v>1</v>
      </c>
      <c r="L368">
        <v>11</v>
      </c>
      <c r="M368">
        <v>12</v>
      </c>
    </row>
    <row r="369" spans="1:13" x14ac:dyDescent="0.3">
      <c r="A369">
        <v>978</v>
      </c>
      <c r="B369" s="1">
        <v>40587</v>
      </c>
      <c r="C369">
        <v>9</v>
      </c>
      <c r="D369" t="b">
        <v>0</v>
      </c>
      <c r="E369" t="s">
        <v>23</v>
      </c>
      <c r="F369" t="s">
        <v>31</v>
      </c>
      <c r="G369">
        <v>0.24</v>
      </c>
      <c r="H369">
        <v>0.2273</v>
      </c>
      <c r="I369">
        <v>0.6</v>
      </c>
      <c r="J369">
        <v>0.22389999999999999</v>
      </c>
      <c r="K369">
        <v>12</v>
      </c>
      <c r="L369">
        <v>35</v>
      </c>
      <c r="M369">
        <v>47</v>
      </c>
    </row>
    <row r="370" spans="1:13" x14ac:dyDescent="0.3">
      <c r="A370">
        <v>979</v>
      </c>
      <c r="B370" s="1">
        <v>40587</v>
      </c>
      <c r="C370">
        <v>10</v>
      </c>
      <c r="D370" t="b">
        <v>0</v>
      </c>
      <c r="E370" t="s">
        <v>23</v>
      </c>
      <c r="F370" t="s">
        <v>30</v>
      </c>
      <c r="G370">
        <v>0.3</v>
      </c>
      <c r="H370">
        <v>0.2727</v>
      </c>
      <c r="I370">
        <v>0.45</v>
      </c>
      <c r="J370">
        <v>0.32840000000000003</v>
      </c>
      <c r="K370">
        <v>19</v>
      </c>
      <c r="L370">
        <v>86</v>
      </c>
      <c r="M370">
        <v>105</v>
      </c>
    </row>
    <row r="371" spans="1:13" x14ac:dyDescent="0.3">
      <c r="A371">
        <v>980</v>
      </c>
      <c r="B371" s="1">
        <v>40587</v>
      </c>
      <c r="C371">
        <v>11</v>
      </c>
      <c r="D371" t="b">
        <v>0</v>
      </c>
      <c r="E371" t="s">
        <v>23</v>
      </c>
      <c r="F371" t="s">
        <v>30</v>
      </c>
      <c r="G371">
        <v>0.32</v>
      </c>
      <c r="H371">
        <v>0.28789999999999999</v>
      </c>
      <c r="I371">
        <v>0.39</v>
      </c>
      <c r="J371">
        <v>0.44779999999999998</v>
      </c>
      <c r="K371">
        <v>26</v>
      </c>
      <c r="L371">
        <v>86</v>
      </c>
      <c r="M371">
        <v>112</v>
      </c>
    </row>
    <row r="372" spans="1:13" x14ac:dyDescent="0.3">
      <c r="A372">
        <v>981</v>
      </c>
      <c r="B372" s="1">
        <v>40587</v>
      </c>
      <c r="C372">
        <v>12</v>
      </c>
      <c r="D372" t="b">
        <v>0</v>
      </c>
      <c r="E372" t="s">
        <v>23</v>
      </c>
      <c r="F372" t="s">
        <v>30</v>
      </c>
      <c r="G372">
        <v>0.36</v>
      </c>
      <c r="H372">
        <v>0.31819999999999998</v>
      </c>
      <c r="I372">
        <v>0.32</v>
      </c>
      <c r="J372">
        <v>0.4627</v>
      </c>
      <c r="K372">
        <v>58</v>
      </c>
      <c r="L372">
        <v>94</v>
      </c>
      <c r="M372">
        <v>152</v>
      </c>
    </row>
    <row r="373" spans="1:13" x14ac:dyDescent="0.3">
      <c r="A373">
        <v>982</v>
      </c>
      <c r="B373" s="1">
        <v>40587</v>
      </c>
      <c r="C373">
        <v>13</v>
      </c>
      <c r="D373" t="b">
        <v>0</v>
      </c>
      <c r="E373" t="s">
        <v>23</v>
      </c>
      <c r="F373" t="s">
        <v>30</v>
      </c>
      <c r="G373">
        <v>0.38</v>
      </c>
      <c r="H373">
        <v>0.39389999999999997</v>
      </c>
      <c r="I373">
        <v>0.28999999999999998</v>
      </c>
      <c r="J373">
        <v>0.35820000000000002</v>
      </c>
      <c r="K373">
        <v>62</v>
      </c>
      <c r="L373">
        <v>92</v>
      </c>
      <c r="M373">
        <v>154</v>
      </c>
    </row>
    <row r="374" spans="1:13" x14ac:dyDescent="0.3">
      <c r="A374">
        <v>983</v>
      </c>
      <c r="B374" s="1">
        <v>40587</v>
      </c>
      <c r="C374">
        <v>14</v>
      </c>
      <c r="D374" t="b">
        <v>0</v>
      </c>
      <c r="E374" t="s">
        <v>23</v>
      </c>
      <c r="F374" t="s">
        <v>31</v>
      </c>
      <c r="G374">
        <v>0.4</v>
      </c>
      <c r="H374">
        <v>0.40910000000000002</v>
      </c>
      <c r="I374">
        <v>0.3</v>
      </c>
      <c r="J374">
        <v>0.41789999999999999</v>
      </c>
      <c r="K374">
        <v>51</v>
      </c>
      <c r="L374">
        <v>110</v>
      </c>
      <c r="M374">
        <v>161</v>
      </c>
    </row>
    <row r="375" spans="1:13" x14ac:dyDescent="0.3">
      <c r="A375">
        <v>984</v>
      </c>
      <c r="B375" s="1">
        <v>40587</v>
      </c>
      <c r="C375">
        <v>15</v>
      </c>
      <c r="D375" t="b">
        <v>0</v>
      </c>
      <c r="E375" t="s">
        <v>23</v>
      </c>
      <c r="F375" t="s">
        <v>31</v>
      </c>
      <c r="G375">
        <v>0.4</v>
      </c>
      <c r="H375">
        <v>0.40910000000000002</v>
      </c>
      <c r="I375">
        <v>0.3</v>
      </c>
      <c r="J375">
        <v>0.29849999999999999</v>
      </c>
      <c r="K375">
        <v>40</v>
      </c>
      <c r="L375">
        <v>122</v>
      </c>
      <c r="M375">
        <v>162</v>
      </c>
    </row>
    <row r="376" spans="1:13" x14ac:dyDescent="0.3">
      <c r="A376">
        <v>985</v>
      </c>
      <c r="B376" s="1">
        <v>40587</v>
      </c>
      <c r="C376">
        <v>16</v>
      </c>
      <c r="D376" t="b">
        <v>0</v>
      </c>
      <c r="E376" t="s">
        <v>23</v>
      </c>
      <c r="F376" t="s">
        <v>31</v>
      </c>
      <c r="G376">
        <v>0.42</v>
      </c>
      <c r="H376">
        <v>0.42420000000000002</v>
      </c>
      <c r="I376">
        <v>0.28000000000000003</v>
      </c>
      <c r="J376">
        <v>0.32840000000000003</v>
      </c>
      <c r="K376">
        <v>28</v>
      </c>
      <c r="L376">
        <v>106</v>
      </c>
      <c r="M376">
        <v>134</v>
      </c>
    </row>
    <row r="377" spans="1:13" x14ac:dyDescent="0.3">
      <c r="A377">
        <v>986</v>
      </c>
      <c r="B377" s="1">
        <v>40587</v>
      </c>
      <c r="C377">
        <v>17</v>
      </c>
      <c r="D377" t="b">
        <v>0</v>
      </c>
      <c r="E377" t="s">
        <v>23</v>
      </c>
      <c r="F377" t="s">
        <v>30</v>
      </c>
      <c r="G377">
        <v>0.42</v>
      </c>
      <c r="H377">
        <v>0.42420000000000002</v>
      </c>
      <c r="I377">
        <v>0.28000000000000003</v>
      </c>
      <c r="J377">
        <v>0.32840000000000003</v>
      </c>
      <c r="K377">
        <v>30</v>
      </c>
      <c r="L377">
        <v>95</v>
      </c>
      <c r="M377">
        <v>125</v>
      </c>
    </row>
    <row r="378" spans="1:13" x14ac:dyDescent="0.3">
      <c r="A378">
        <v>987</v>
      </c>
      <c r="B378" s="1">
        <v>40587</v>
      </c>
      <c r="C378">
        <v>18</v>
      </c>
      <c r="D378" t="b">
        <v>0</v>
      </c>
      <c r="E378" t="s">
        <v>23</v>
      </c>
      <c r="F378" t="s">
        <v>30</v>
      </c>
      <c r="G378">
        <v>0.4</v>
      </c>
      <c r="H378">
        <v>0.40910000000000002</v>
      </c>
      <c r="I378">
        <v>0.32</v>
      </c>
      <c r="J378">
        <v>0.29849999999999999</v>
      </c>
      <c r="K378">
        <v>17</v>
      </c>
      <c r="L378">
        <v>78</v>
      </c>
      <c r="M378">
        <v>95</v>
      </c>
    </row>
    <row r="379" spans="1:13" x14ac:dyDescent="0.3">
      <c r="A379">
        <v>988</v>
      </c>
      <c r="B379" s="1">
        <v>40587</v>
      </c>
      <c r="C379">
        <v>19</v>
      </c>
      <c r="D379" t="b">
        <v>0</v>
      </c>
      <c r="E379" t="s">
        <v>23</v>
      </c>
      <c r="F379" t="s">
        <v>30</v>
      </c>
      <c r="G379">
        <v>0.4</v>
      </c>
      <c r="H379">
        <v>0.40910000000000002</v>
      </c>
      <c r="I379">
        <v>0.35</v>
      </c>
      <c r="J379">
        <v>0.28360000000000002</v>
      </c>
      <c r="K379">
        <v>11</v>
      </c>
      <c r="L379">
        <v>50</v>
      </c>
      <c r="M379">
        <v>61</v>
      </c>
    </row>
    <row r="380" spans="1:13" x14ac:dyDescent="0.3">
      <c r="A380">
        <v>989</v>
      </c>
      <c r="B380" s="1">
        <v>40587</v>
      </c>
      <c r="C380">
        <v>20</v>
      </c>
      <c r="D380" t="b">
        <v>0</v>
      </c>
      <c r="E380" t="s">
        <v>23</v>
      </c>
      <c r="F380" t="s">
        <v>30</v>
      </c>
      <c r="G380">
        <v>0.4</v>
      </c>
      <c r="H380">
        <v>0.40910000000000002</v>
      </c>
      <c r="I380">
        <v>0.35</v>
      </c>
      <c r="J380">
        <v>0.32840000000000003</v>
      </c>
      <c r="K380">
        <v>15</v>
      </c>
      <c r="L380">
        <v>32</v>
      </c>
      <c r="M380">
        <v>47</v>
      </c>
    </row>
    <row r="381" spans="1:13" x14ac:dyDescent="0.3">
      <c r="A381">
        <v>990</v>
      </c>
      <c r="B381" s="1">
        <v>40587</v>
      </c>
      <c r="C381">
        <v>21</v>
      </c>
      <c r="D381" t="b">
        <v>0</v>
      </c>
      <c r="E381" t="s">
        <v>23</v>
      </c>
      <c r="F381" t="s">
        <v>30</v>
      </c>
      <c r="G381">
        <v>0.4</v>
      </c>
      <c r="H381">
        <v>0.40910000000000002</v>
      </c>
      <c r="I381">
        <v>0.35</v>
      </c>
      <c r="J381">
        <v>0.35820000000000002</v>
      </c>
      <c r="K381">
        <v>6</v>
      </c>
      <c r="L381">
        <v>45</v>
      </c>
      <c r="M381">
        <v>51</v>
      </c>
    </row>
    <row r="382" spans="1:13" x14ac:dyDescent="0.3">
      <c r="A382">
        <v>991</v>
      </c>
      <c r="B382" s="1">
        <v>40587</v>
      </c>
      <c r="C382">
        <v>22</v>
      </c>
      <c r="D382" t="b">
        <v>0</v>
      </c>
      <c r="E382" t="s">
        <v>23</v>
      </c>
      <c r="F382" t="s">
        <v>30</v>
      </c>
      <c r="G382">
        <v>0.4</v>
      </c>
      <c r="H382">
        <v>0.40910000000000002</v>
      </c>
      <c r="I382">
        <v>0.35</v>
      </c>
      <c r="J382">
        <v>0.29849999999999999</v>
      </c>
      <c r="K382">
        <v>5</v>
      </c>
      <c r="L382">
        <v>31</v>
      </c>
      <c r="M382">
        <v>36</v>
      </c>
    </row>
    <row r="383" spans="1:13" x14ac:dyDescent="0.3">
      <c r="A383">
        <v>992</v>
      </c>
      <c r="B383" s="1">
        <v>40587</v>
      </c>
      <c r="C383">
        <v>23</v>
      </c>
      <c r="D383" t="b">
        <v>0</v>
      </c>
      <c r="E383" t="s">
        <v>23</v>
      </c>
      <c r="F383" t="s">
        <v>30</v>
      </c>
      <c r="G383">
        <v>0.4</v>
      </c>
      <c r="H383">
        <v>0.40910000000000002</v>
      </c>
      <c r="I383">
        <v>0.35</v>
      </c>
      <c r="J383">
        <v>0.35820000000000002</v>
      </c>
      <c r="K383">
        <v>3</v>
      </c>
      <c r="L383">
        <v>27</v>
      </c>
      <c r="M383">
        <v>30</v>
      </c>
    </row>
    <row r="384" spans="1:13" x14ac:dyDescent="0.3">
      <c r="A384">
        <v>993</v>
      </c>
      <c r="B384" s="1">
        <v>40588</v>
      </c>
      <c r="C384">
        <v>0</v>
      </c>
      <c r="D384" t="b">
        <v>0</v>
      </c>
      <c r="E384" t="s">
        <v>24</v>
      </c>
      <c r="F384" t="s">
        <v>30</v>
      </c>
      <c r="G384">
        <v>0.38</v>
      </c>
      <c r="H384">
        <v>0.39389999999999997</v>
      </c>
      <c r="I384">
        <v>0.37</v>
      </c>
      <c r="J384">
        <v>0.35820000000000002</v>
      </c>
      <c r="K384">
        <v>3</v>
      </c>
      <c r="L384">
        <v>8</v>
      </c>
      <c r="M384">
        <v>11</v>
      </c>
    </row>
    <row r="385" spans="1:13" x14ac:dyDescent="0.3">
      <c r="A385">
        <v>994</v>
      </c>
      <c r="B385" s="1">
        <v>40588</v>
      </c>
      <c r="C385">
        <v>1</v>
      </c>
      <c r="D385" t="b">
        <v>0</v>
      </c>
      <c r="E385" t="s">
        <v>24</v>
      </c>
      <c r="F385" t="s">
        <v>30</v>
      </c>
      <c r="G385">
        <v>0.38</v>
      </c>
      <c r="H385">
        <v>0.39389999999999997</v>
      </c>
      <c r="I385">
        <v>0.37</v>
      </c>
      <c r="J385">
        <v>0.35820000000000002</v>
      </c>
      <c r="K385">
        <v>1</v>
      </c>
      <c r="L385">
        <v>6</v>
      </c>
      <c r="M385">
        <v>7</v>
      </c>
    </row>
    <row r="386" spans="1:13" x14ac:dyDescent="0.3">
      <c r="A386">
        <v>995</v>
      </c>
      <c r="B386" s="1">
        <v>40588</v>
      </c>
      <c r="C386">
        <v>2</v>
      </c>
      <c r="D386" t="b">
        <v>0</v>
      </c>
      <c r="E386" t="s">
        <v>24</v>
      </c>
      <c r="F386" t="s">
        <v>30</v>
      </c>
      <c r="G386">
        <v>0.36</v>
      </c>
      <c r="H386">
        <v>0.33329999999999999</v>
      </c>
      <c r="I386">
        <v>0.4</v>
      </c>
      <c r="J386">
        <v>0.29849999999999999</v>
      </c>
      <c r="K386">
        <v>0</v>
      </c>
      <c r="L386">
        <v>2</v>
      </c>
      <c r="M386">
        <v>2</v>
      </c>
    </row>
    <row r="387" spans="1:13" x14ac:dyDescent="0.3">
      <c r="A387">
        <v>996</v>
      </c>
      <c r="B387" s="1">
        <v>40588</v>
      </c>
      <c r="C387">
        <v>3</v>
      </c>
      <c r="D387" t="b">
        <v>0</v>
      </c>
      <c r="E387" t="s">
        <v>24</v>
      </c>
      <c r="F387" t="s">
        <v>30</v>
      </c>
      <c r="G387">
        <v>0.34</v>
      </c>
      <c r="H387">
        <v>0.31819999999999998</v>
      </c>
      <c r="I387">
        <v>0.46</v>
      </c>
      <c r="J387">
        <v>0.22389999999999999</v>
      </c>
      <c r="K387">
        <v>1</v>
      </c>
      <c r="L387">
        <v>1</v>
      </c>
      <c r="M387">
        <v>2</v>
      </c>
    </row>
    <row r="388" spans="1:13" x14ac:dyDescent="0.3">
      <c r="A388">
        <v>997</v>
      </c>
      <c r="B388" s="1">
        <v>40588</v>
      </c>
      <c r="C388">
        <v>4</v>
      </c>
      <c r="D388" t="b">
        <v>0</v>
      </c>
      <c r="E388" t="s">
        <v>24</v>
      </c>
      <c r="F388" t="s">
        <v>30</v>
      </c>
      <c r="G388">
        <v>0.32</v>
      </c>
      <c r="H388">
        <v>0.30299999999999999</v>
      </c>
      <c r="I388">
        <v>0.53</v>
      </c>
      <c r="J388">
        <v>0.28360000000000002</v>
      </c>
      <c r="K388">
        <v>0</v>
      </c>
      <c r="L388">
        <v>2</v>
      </c>
      <c r="M388">
        <v>2</v>
      </c>
    </row>
    <row r="389" spans="1:13" x14ac:dyDescent="0.3">
      <c r="A389">
        <v>998</v>
      </c>
      <c r="B389" s="1">
        <v>40588</v>
      </c>
      <c r="C389">
        <v>5</v>
      </c>
      <c r="D389" t="b">
        <v>0</v>
      </c>
      <c r="E389" t="s">
        <v>24</v>
      </c>
      <c r="F389" t="s">
        <v>30</v>
      </c>
      <c r="G389">
        <v>0.32</v>
      </c>
      <c r="H389">
        <v>0.30299999999999999</v>
      </c>
      <c r="I389">
        <v>0.53</v>
      </c>
      <c r="J389">
        <v>0.28360000000000002</v>
      </c>
      <c r="K389">
        <v>0</v>
      </c>
      <c r="L389">
        <v>3</v>
      </c>
      <c r="M389">
        <v>3</v>
      </c>
    </row>
    <row r="390" spans="1:13" x14ac:dyDescent="0.3">
      <c r="A390">
        <v>999</v>
      </c>
      <c r="B390" s="1">
        <v>40588</v>
      </c>
      <c r="C390">
        <v>6</v>
      </c>
      <c r="D390" t="b">
        <v>0</v>
      </c>
      <c r="E390" t="s">
        <v>24</v>
      </c>
      <c r="F390" t="s">
        <v>30</v>
      </c>
      <c r="G390">
        <v>0.34</v>
      </c>
      <c r="H390">
        <v>0.30299999999999999</v>
      </c>
      <c r="I390">
        <v>0.46</v>
      </c>
      <c r="J390">
        <v>0.29849999999999999</v>
      </c>
      <c r="K390">
        <v>1</v>
      </c>
      <c r="L390">
        <v>25</v>
      </c>
      <c r="M390">
        <v>26</v>
      </c>
    </row>
    <row r="391" spans="1:13" x14ac:dyDescent="0.3">
      <c r="A391">
        <v>1000</v>
      </c>
      <c r="B391" s="1">
        <v>40588</v>
      </c>
      <c r="C391">
        <v>7</v>
      </c>
      <c r="D391" t="b">
        <v>0</v>
      </c>
      <c r="E391" t="s">
        <v>24</v>
      </c>
      <c r="F391" t="s">
        <v>30</v>
      </c>
      <c r="G391">
        <v>0.34</v>
      </c>
      <c r="H391">
        <v>0.30299999999999999</v>
      </c>
      <c r="I391">
        <v>0.46</v>
      </c>
      <c r="J391">
        <v>0.29849999999999999</v>
      </c>
      <c r="K391">
        <v>2</v>
      </c>
      <c r="L391">
        <v>96</v>
      </c>
      <c r="M391">
        <v>98</v>
      </c>
    </row>
  </sheetData>
  <phoneticPr fontId="3" type="noConversion"/>
  <conditionalFormatting sqref="F1:F1048576">
    <cfRule type="containsText" dxfId="24" priority="1" operator="containsText" text="Orange Alert">
      <formula>NOT(ISERROR(SEARCH("Orange Alert",F1)))</formula>
    </cfRule>
    <cfRule type="containsText" dxfId="23" priority="2" operator="containsText" text="Yellow Alert">
      <formula>NOT(ISERROR(SEARCH("Yellow Alert",F1)))</formula>
    </cfRule>
    <cfRule type="containsText" dxfId="22" priority="3" operator="containsText" text="Normal">
      <formula>NOT(ISERROR(SEARCH("Normal",F1)))</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28ACB-2D8D-4E03-9158-29551AD47927}">
  <sheetPr codeName="Sheet7"/>
  <dimension ref="A1:M611"/>
  <sheetViews>
    <sheetView topLeftCell="A580" workbookViewId="0">
      <selection activeCell="I16" sqref="I16"/>
    </sheetView>
  </sheetViews>
  <sheetFormatPr defaultRowHeight="14.4" x14ac:dyDescent="0.3"/>
  <cols>
    <col min="1" max="1" width="9" bestFit="1" customWidth="1"/>
    <col min="2" max="2" width="10.33203125" bestFit="1" customWidth="1"/>
    <col min="3" max="3" width="7.21875" bestFit="1" customWidth="1"/>
    <col min="4" max="4" width="9.6640625" bestFit="1" customWidth="1"/>
    <col min="5" max="5" width="10.88671875" bestFit="1" customWidth="1"/>
    <col min="6" max="6" width="12.33203125" bestFit="1" customWidth="1"/>
    <col min="7" max="7" width="7.88671875" bestFit="1" customWidth="1"/>
    <col min="8" max="8" width="16.44140625" bestFit="1" customWidth="1"/>
    <col min="9" max="9" width="11" bestFit="1" customWidth="1"/>
    <col min="10" max="10" width="12.6640625" bestFit="1" customWidth="1"/>
    <col min="11" max="11" width="18.77734375" bestFit="1" customWidth="1"/>
    <col min="12" max="12" width="22.109375" bestFit="1" customWidth="1"/>
    <col min="13" max="13" width="13" bestFit="1" customWidth="1"/>
  </cols>
  <sheetData>
    <row r="1" spans="1:13" x14ac:dyDescent="0.3">
      <c r="A1" t="s">
        <v>0</v>
      </c>
      <c r="B1" t="s">
        <v>16</v>
      </c>
      <c r="C1" t="s">
        <v>41</v>
      </c>
      <c r="D1" t="s">
        <v>17</v>
      </c>
      <c r="E1" t="s">
        <v>18</v>
      </c>
      <c r="F1" t="s">
        <v>19</v>
      </c>
      <c r="G1" t="s">
        <v>20</v>
      </c>
      <c r="H1" t="s">
        <v>34</v>
      </c>
      <c r="I1" t="s">
        <v>21</v>
      </c>
      <c r="J1" t="s">
        <v>22</v>
      </c>
      <c r="K1" t="s">
        <v>36</v>
      </c>
      <c r="L1" t="s">
        <v>35</v>
      </c>
      <c r="M1" t="s">
        <v>42</v>
      </c>
    </row>
    <row r="2" spans="1:13" x14ac:dyDescent="0.3">
      <c r="A2">
        <v>1</v>
      </c>
      <c r="B2" s="1">
        <v>40544</v>
      </c>
      <c r="C2">
        <v>0</v>
      </c>
      <c r="D2" t="b">
        <v>0</v>
      </c>
      <c r="E2" t="s">
        <v>29</v>
      </c>
      <c r="F2" t="s">
        <v>30</v>
      </c>
      <c r="G2">
        <v>0.24</v>
      </c>
      <c r="H2">
        <v>0.28789999999999999</v>
      </c>
      <c r="I2">
        <v>0.81</v>
      </c>
      <c r="J2">
        <v>0</v>
      </c>
      <c r="K2">
        <v>3</v>
      </c>
      <c r="L2">
        <v>13</v>
      </c>
      <c r="M2">
        <v>16</v>
      </c>
    </row>
    <row r="3" spans="1:13" x14ac:dyDescent="0.3">
      <c r="A3">
        <v>2</v>
      </c>
      <c r="B3" s="1">
        <v>40544</v>
      </c>
      <c r="C3">
        <v>1</v>
      </c>
      <c r="D3" t="b">
        <v>0</v>
      </c>
      <c r="E3" t="s">
        <v>29</v>
      </c>
      <c r="F3" t="s">
        <v>30</v>
      </c>
      <c r="G3">
        <v>0.22</v>
      </c>
      <c r="H3">
        <v>0.2727</v>
      </c>
      <c r="I3">
        <v>0.8</v>
      </c>
      <c r="J3">
        <v>0</v>
      </c>
      <c r="K3">
        <v>8</v>
      </c>
      <c r="L3">
        <v>32</v>
      </c>
      <c r="M3">
        <v>40</v>
      </c>
    </row>
    <row r="4" spans="1:13" x14ac:dyDescent="0.3">
      <c r="A4">
        <v>3</v>
      </c>
      <c r="B4" s="1">
        <v>40544</v>
      </c>
      <c r="C4">
        <v>2</v>
      </c>
      <c r="D4" t="b">
        <v>0</v>
      </c>
      <c r="E4" t="s">
        <v>29</v>
      </c>
      <c r="F4" t="s">
        <v>30</v>
      </c>
      <c r="G4">
        <v>0.22</v>
      </c>
      <c r="H4">
        <v>0.2727</v>
      </c>
      <c r="I4">
        <v>0.8</v>
      </c>
      <c r="J4">
        <v>0</v>
      </c>
      <c r="K4">
        <v>5</v>
      </c>
      <c r="L4">
        <v>27</v>
      </c>
      <c r="M4">
        <v>32</v>
      </c>
    </row>
    <row r="5" spans="1:13" x14ac:dyDescent="0.3">
      <c r="A5">
        <v>4</v>
      </c>
      <c r="B5" s="1">
        <v>40544</v>
      </c>
      <c r="C5">
        <v>3</v>
      </c>
      <c r="D5" t="b">
        <v>0</v>
      </c>
      <c r="E5" t="s">
        <v>29</v>
      </c>
      <c r="F5" t="s">
        <v>30</v>
      </c>
      <c r="G5">
        <v>0.24</v>
      </c>
      <c r="H5">
        <v>0.28789999999999999</v>
      </c>
      <c r="I5">
        <v>0.75</v>
      </c>
      <c r="J5">
        <v>0</v>
      </c>
      <c r="K5">
        <v>3</v>
      </c>
      <c r="L5">
        <v>10</v>
      </c>
      <c r="M5">
        <v>13</v>
      </c>
    </row>
    <row r="6" spans="1:13" x14ac:dyDescent="0.3">
      <c r="A6">
        <v>5</v>
      </c>
      <c r="B6" s="1">
        <v>40544</v>
      </c>
      <c r="C6">
        <v>4</v>
      </c>
      <c r="D6" t="b">
        <v>0</v>
      </c>
      <c r="E6" t="s">
        <v>29</v>
      </c>
      <c r="F6" t="s">
        <v>30</v>
      </c>
      <c r="G6">
        <v>0.24</v>
      </c>
      <c r="H6">
        <v>0.28789999999999999</v>
      </c>
      <c r="I6">
        <v>0.75</v>
      </c>
      <c r="J6">
        <v>0</v>
      </c>
      <c r="K6">
        <v>0</v>
      </c>
      <c r="L6">
        <v>1</v>
      </c>
      <c r="M6">
        <v>1</v>
      </c>
    </row>
    <row r="7" spans="1:13" x14ac:dyDescent="0.3">
      <c r="A7">
        <v>6</v>
      </c>
      <c r="B7" s="1">
        <v>40544</v>
      </c>
      <c r="C7">
        <v>5</v>
      </c>
      <c r="D7" t="b">
        <v>0</v>
      </c>
      <c r="E7" t="s">
        <v>29</v>
      </c>
      <c r="F7" t="s">
        <v>31</v>
      </c>
      <c r="G7">
        <v>0.24</v>
      </c>
      <c r="H7">
        <v>0.2576</v>
      </c>
      <c r="I7">
        <v>0.75</v>
      </c>
      <c r="J7">
        <v>8.9599999999999999E-2</v>
      </c>
      <c r="K7">
        <v>0</v>
      </c>
      <c r="L7">
        <v>1</v>
      </c>
      <c r="M7">
        <v>1</v>
      </c>
    </row>
    <row r="8" spans="1:13" x14ac:dyDescent="0.3">
      <c r="A8">
        <v>7</v>
      </c>
      <c r="B8" s="1">
        <v>40544</v>
      </c>
      <c r="C8">
        <v>6</v>
      </c>
      <c r="D8" t="b">
        <v>0</v>
      </c>
      <c r="E8" t="s">
        <v>29</v>
      </c>
      <c r="F8" t="s">
        <v>30</v>
      </c>
      <c r="G8">
        <v>0.22</v>
      </c>
      <c r="H8">
        <v>0.2727</v>
      </c>
      <c r="I8">
        <v>0.8</v>
      </c>
      <c r="J8">
        <v>0</v>
      </c>
      <c r="K8">
        <v>2</v>
      </c>
      <c r="L8">
        <v>0</v>
      </c>
      <c r="M8">
        <v>2</v>
      </c>
    </row>
    <row r="9" spans="1:13" x14ac:dyDescent="0.3">
      <c r="A9">
        <v>8</v>
      </c>
      <c r="B9" s="1">
        <v>40544</v>
      </c>
      <c r="C9">
        <v>7</v>
      </c>
      <c r="D9" t="b">
        <v>0</v>
      </c>
      <c r="E9" t="s">
        <v>29</v>
      </c>
      <c r="F9" t="s">
        <v>30</v>
      </c>
      <c r="G9">
        <v>0.2</v>
      </c>
      <c r="H9">
        <v>0.2576</v>
      </c>
      <c r="I9">
        <v>0.86</v>
      </c>
      <c r="J9">
        <v>0</v>
      </c>
      <c r="K9">
        <v>1</v>
      </c>
      <c r="L9">
        <v>2</v>
      </c>
      <c r="M9">
        <v>3</v>
      </c>
    </row>
    <row r="10" spans="1:13" x14ac:dyDescent="0.3">
      <c r="A10">
        <v>9</v>
      </c>
      <c r="B10" s="1">
        <v>40544</v>
      </c>
      <c r="C10">
        <v>8</v>
      </c>
      <c r="D10" t="b">
        <v>0</v>
      </c>
      <c r="E10" t="s">
        <v>29</v>
      </c>
      <c r="F10" t="s">
        <v>30</v>
      </c>
      <c r="G10">
        <v>0.24</v>
      </c>
      <c r="H10">
        <v>0</v>
      </c>
      <c r="I10">
        <v>0.75</v>
      </c>
      <c r="J10">
        <v>0</v>
      </c>
      <c r="K10">
        <v>1</v>
      </c>
      <c r="L10">
        <v>7</v>
      </c>
      <c r="M10">
        <v>8</v>
      </c>
    </row>
    <row r="11" spans="1:13" x14ac:dyDescent="0.3">
      <c r="A11">
        <v>10</v>
      </c>
      <c r="B11" s="1">
        <v>40544</v>
      </c>
      <c r="C11">
        <v>9</v>
      </c>
      <c r="D11" t="b">
        <v>0</v>
      </c>
      <c r="E11" t="s">
        <v>29</v>
      </c>
      <c r="F11" t="s">
        <v>30</v>
      </c>
      <c r="G11">
        <v>0.32</v>
      </c>
      <c r="H11">
        <v>0.34849999999999998</v>
      </c>
      <c r="I11">
        <v>0.76</v>
      </c>
      <c r="J11">
        <v>0</v>
      </c>
      <c r="K11">
        <v>8</v>
      </c>
      <c r="L11">
        <v>6</v>
      </c>
      <c r="M11">
        <v>14</v>
      </c>
    </row>
    <row r="12" spans="1:13" x14ac:dyDescent="0.3">
      <c r="A12">
        <v>11</v>
      </c>
      <c r="B12" s="1">
        <v>40544</v>
      </c>
      <c r="C12">
        <v>10</v>
      </c>
      <c r="D12" t="b">
        <v>0</v>
      </c>
      <c r="E12" t="s">
        <v>29</v>
      </c>
      <c r="F12" t="s">
        <v>30</v>
      </c>
      <c r="G12">
        <v>0.38</v>
      </c>
      <c r="H12">
        <v>0.39389999999999997</v>
      </c>
      <c r="I12">
        <v>0.76</v>
      </c>
      <c r="J12">
        <v>0.25369999999999998</v>
      </c>
      <c r="K12">
        <v>12</v>
      </c>
      <c r="L12">
        <v>24</v>
      </c>
      <c r="M12">
        <v>36</v>
      </c>
    </row>
    <row r="13" spans="1:13" x14ac:dyDescent="0.3">
      <c r="A13">
        <v>12</v>
      </c>
      <c r="B13" s="1">
        <v>40544</v>
      </c>
      <c r="C13">
        <v>11</v>
      </c>
      <c r="D13" t="b">
        <v>0</v>
      </c>
      <c r="E13" t="s">
        <v>29</v>
      </c>
      <c r="F13" t="s">
        <v>30</v>
      </c>
      <c r="G13">
        <v>0.36</v>
      </c>
      <c r="H13">
        <v>0.33329999999999999</v>
      </c>
      <c r="I13">
        <v>0.81</v>
      </c>
      <c r="J13">
        <v>0.28360000000000002</v>
      </c>
      <c r="K13">
        <v>26</v>
      </c>
      <c r="L13">
        <v>30</v>
      </c>
      <c r="M13">
        <v>56</v>
      </c>
    </row>
    <row r="14" spans="1:13" x14ac:dyDescent="0.3">
      <c r="A14">
        <v>13</v>
      </c>
      <c r="B14" s="1">
        <v>40544</v>
      </c>
      <c r="C14">
        <v>12</v>
      </c>
      <c r="D14" t="b">
        <v>0</v>
      </c>
      <c r="E14" t="s">
        <v>29</v>
      </c>
      <c r="F14" t="s">
        <v>30</v>
      </c>
      <c r="G14">
        <v>0.42</v>
      </c>
      <c r="H14">
        <v>0.42420000000000002</v>
      </c>
      <c r="I14">
        <v>0.77</v>
      </c>
      <c r="J14">
        <v>0.28360000000000002</v>
      </c>
      <c r="K14">
        <v>29</v>
      </c>
      <c r="L14">
        <v>55</v>
      </c>
      <c r="M14">
        <v>84</v>
      </c>
    </row>
    <row r="15" spans="1:13" x14ac:dyDescent="0.3">
      <c r="A15">
        <v>14</v>
      </c>
      <c r="B15" s="1">
        <v>40544</v>
      </c>
      <c r="C15">
        <v>13</v>
      </c>
      <c r="D15" t="b">
        <v>0</v>
      </c>
      <c r="E15" t="s">
        <v>29</v>
      </c>
      <c r="F15" t="s">
        <v>31</v>
      </c>
      <c r="G15">
        <v>0.46</v>
      </c>
      <c r="H15">
        <v>0.45450000000000002</v>
      </c>
      <c r="I15">
        <v>0.72</v>
      </c>
      <c r="J15">
        <v>0.29849999999999999</v>
      </c>
      <c r="K15">
        <v>47</v>
      </c>
      <c r="L15">
        <v>47</v>
      </c>
      <c r="M15">
        <v>94</v>
      </c>
    </row>
    <row r="16" spans="1:13" x14ac:dyDescent="0.3">
      <c r="A16">
        <v>15</v>
      </c>
      <c r="B16" s="1">
        <v>40544</v>
      </c>
      <c r="C16">
        <v>14</v>
      </c>
      <c r="D16" t="b">
        <v>0</v>
      </c>
      <c r="E16" t="s">
        <v>29</v>
      </c>
      <c r="F16" t="s">
        <v>31</v>
      </c>
      <c r="G16">
        <v>0.46</v>
      </c>
      <c r="H16">
        <v>0.45450000000000002</v>
      </c>
      <c r="I16">
        <v>0.72</v>
      </c>
      <c r="J16">
        <v>0.28360000000000002</v>
      </c>
      <c r="K16">
        <v>35</v>
      </c>
      <c r="L16">
        <v>71</v>
      </c>
      <c r="M16">
        <v>106</v>
      </c>
    </row>
    <row r="17" spans="1:13" x14ac:dyDescent="0.3">
      <c r="A17">
        <v>16</v>
      </c>
      <c r="B17" s="1">
        <v>40544</v>
      </c>
      <c r="C17">
        <v>15</v>
      </c>
      <c r="D17" t="b">
        <v>0</v>
      </c>
      <c r="E17" t="s">
        <v>29</v>
      </c>
      <c r="F17" t="s">
        <v>31</v>
      </c>
      <c r="G17">
        <v>0.44</v>
      </c>
      <c r="H17">
        <v>0.43940000000000001</v>
      </c>
      <c r="I17">
        <v>0.77</v>
      </c>
      <c r="J17">
        <v>0.29849999999999999</v>
      </c>
      <c r="K17">
        <v>40</v>
      </c>
      <c r="L17">
        <v>70</v>
      </c>
      <c r="M17">
        <v>110</v>
      </c>
    </row>
    <row r="18" spans="1:13" x14ac:dyDescent="0.3">
      <c r="A18">
        <v>17</v>
      </c>
      <c r="B18" s="1">
        <v>40544</v>
      </c>
      <c r="C18">
        <v>16</v>
      </c>
      <c r="D18" t="b">
        <v>0</v>
      </c>
      <c r="E18" t="s">
        <v>29</v>
      </c>
      <c r="F18" t="s">
        <v>31</v>
      </c>
      <c r="G18">
        <v>0.42</v>
      </c>
      <c r="H18">
        <v>0.42420000000000002</v>
      </c>
      <c r="I18">
        <v>0.82</v>
      </c>
      <c r="J18">
        <v>0.29849999999999999</v>
      </c>
      <c r="K18">
        <v>41</v>
      </c>
      <c r="L18">
        <v>52</v>
      </c>
      <c r="M18">
        <v>93</v>
      </c>
    </row>
    <row r="19" spans="1:13" x14ac:dyDescent="0.3">
      <c r="A19">
        <v>18</v>
      </c>
      <c r="B19" s="1">
        <v>40544</v>
      </c>
      <c r="C19">
        <v>17</v>
      </c>
      <c r="D19" t="b">
        <v>0</v>
      </c>
      <c r="E19" t="s">
        <v>29</v>
      </c>
      <c r="F19" t="s">
        <v>31</v>
      </c>
      <c r="G19">
        <v>0.44</v>
      </c>
      <c r="H19">
        <v>0</v>
      </c>
      <c r="I19">
        <v>0.82</v>
      </c>
      <c r="J19">
        <v>0.28360000000000002</v>
      </c>
      <c r="K19">
        <v>15</v>
      </c>
      <c r="L19">
        <v>52</v>
      </c>
      <c r="M19">
        <v>67</v>
      </c>
    </row>
    <row r="20" spans="1:13" x14ac:dyDescent="0.3">
      <c r="A20">
        <v>19</v>
      </c>
      <c r="B20" s="1">
        <v>40544</v>
      </c>
      <c r="C20">
        <v>18</v>
      </c>
      <c r="D20" t="b">
        <v>0</v>
      </c>
      <c r="E20" t="s">
        <v>29</v>
      </c>
      <c r="F20" t="s">
        <v>32</v>
      </c>
      <c r="G20">
        <v>0.42</v>
      </c>
      <c r="H20">
        <v>0.42420000000000002</v>
      </c>
      <c r="I20">
        <v>0.88</v>
      </c>
      <c r="J20">
        <v>0.25369999999999998</v>
      </c>
      <c r="K20">
        <v>9</v>
      </c>
      <c r="L20">
        <v>26</v>
      </c>
      <c r="M20">
        <v>35</v>
      </c>
    </row>
    <row r="21" spans="1:13" x14ac:dyDescent="0.3">
      <c r="A21">
        <v>20</v>
      </c>
      <c r="B21" s="1">
        <v>40544</v>
      </c>
      <c r="C21">
        <v>19</v>
      </c>
      <c r="D21" t="b">
        <v>0</v>
      </c>
      <c r="E21" t="s">
        <v>29</v>
      </c>
      <c r="F21" t="s">
        <v>32</v>
      </c>
      <c r="G21">
        <v>0.42</v>
      </c>
      <c r="H21">
        <v>0.42420000000000002</v>
      </c>
      <c r="I21">
        <v>0.88</v>
      </c>
      <c r="J21">
        <v>0.25369999999999998</v>
      </c>
      <c r="K21">
        <v>6</v>
      </c>
      <c r="L21">
        <v>31</v>
      </c>
      <c r="M21">
        <v>37</v>
      </c>
    </row>
    <row r="22" spans="1:13" x14ac:dyDescent="0.3">
      <c r="A22">
        <v>21</v>
      </c>
      <c r="B22" s="1">
        <v>40544</v>
      </c>
      <c r="C22">
        <v>20</v>
      </c>
      <c r="D22" t="b">
        <v>0</v>
      </c>
      <c r="E22" t="s">
        <v>29</v>
      </c>
      <c r="F22" t="s">
        <v>31</v>
      </c>
      <c r="G22">
        <v>0.4</v>
      </c>
      <c r="H22">
        <v>0.40910000000000002</v>
      </c>
      <c r="I22">
        <v>0.87</v>
      </c>
      <c r="J22">
        <v>0.25369999999999998</v>
      </c>
      <c r="K22">
        <v>11</v>
      </c>
      <c r="L22">
        <v>25</v>
      </c>
      <c r="M22">
        <v>36</v>
      </c>
    </row>
    <row r="23" spans="1:13" x14ac:dyDescent="0.3">
      <c r="A23">
        <v>22</v>
      </c>
      <c r="B23" s="1">
        <v>40544</v>
      </c>
      <c r="C23">
        <v>21</v>
      </c>
      <c r="D23" t="b">
        <v>0</v>
      </c>
      <c r="E23" t="s">
        <v>29</v>
      </c>
      <c r="F23" t="s">
        <v>31</v>
      </c>
      <c r="G23">
        <v>0.4</v>
      </c>
      <c r="H23">
        <v>0.40910000000000002</v>
      </c>
      <c r="I23">
        <v>0.87</v>
      </c>
      <c r="J23">
        <v>0.19400000000000001</v>
      </c>
      <c r="K23">
        <v>3</v>
      </c>
      <c r="L23">
        <v>31</v>
      </c>
      <c r="M23">
        <v>34</v>
      </c>
    </row>
    <row r="24" spans="1:13" x14ac:dyDescent="0.3">
      <c r="A24">
        <v>23</v>
      </c>
      <c r="B24" s="1">
        <v>40544</v>
      </c>
      <c r="C24">
        <v>22</v>
      </c>
      <c r="D24" t="b">
        <v>0</v>
      </c>
      <c r="E24" t="s">
        <v>29</v>
      </c>
      <c r="F24" t="s">
        <v>31</v>
      </c>
      <c r="G24">
        <v>0.4</v>
      </c>
      <c r="H24">
        <v>0.40910000000000002</v>
      </c>
      <c r="I24">
        <v>0.94</v>
      </c>
      <c r="J24">
        <v>0.22389999999999999</v>
      </c>
      <c r="K24">
        <v>11</v>
      </c>
      <c r="L24">
        <v>17</v>
      </c>
      <c r="M24">
        <v>28</v>
      </c>
    </row>
    <row r="25" spans="1:13" x14ac:dyDescent="0.3">
      <c r="A25">
        <v>24</v>
      </c>
      <c r="B25" s="1">
        <v>40544</v>
      </c>
      <c r="C25">
        <v>23</v>
      </c>
      <c r="D25" t="b">
        <v>0</v>
      </c>
      <c r="E25" t="s">
        <v>29</v>
      </c>
      <c r="F25" t="s">
        <v>31</v>
      </c>
      <c r="G25">
        <v>0.46</v>
      </c>
      <c r="H25">
        <v>0</v>
      </c>
      <c r="I25">
        <v>0.88</v>
      </c>
      <c r="J25">
        <v>0.29849999999999999</v>
      </c>
      <c r="K25">
        <v>15</v>
      </c>
      <c r="L25">
        <v>24</v>
      </c>
      <c r="M25">
        <v>39</v>
      </c>
    </row>
    <row r="26" spans="1:13" x14ac:dyDescent="0.3">
      <c r="A26">
        <v>25</v>
      </c>
      <c r="B26" s="1">
        <v>40545</v>
      </c>
      <c r="C26">
        <v>0</v>
      </c>
      <c r="D26" t="b">
        <v>0</v>
      </c>
      <c r="E26" t="s">
        <v>23</v>
      </c>
      <c r="F26" t="s">
        <v>31</v>
      </c>
      <c r="G26">
        <v>0.46</v>
      </c>
      <c r="H26">
        <v>0.45450000000000002</v>
      </c>
      <c r="I26">
        <v>0.88</v>
      </c>
      <c r="J26">
        <v>0.29849999999999999</v>
      </c>
      <c r="K26">
        <v>4</v>
      </c>
      <c r="L26">
        <v>13</v>
      </c>
      <c r="M26">
        <v>17</v>
      </c>
    </row>
    <row r="27" spans="1:13" x14ac:dyDescent="0.3">
      <c r="A27">
        <v>26</v>
      </c>
      <c r="B27" s="1">
        <v>40545</v>
      </c>
      <c r="C27">
        <v>1</v>
      </c>
      <c r="D27" t="b">
        <v>0</v>
      </c>
      <c r="E27" t="s">
        <v>23</v>
      </c>
      <c r="F27" t="s">
        <v>31</v>
      </c>
      <c r="G27">
        <v>0.44</v>
      </c>
      <c r="H27">
        <v>0.43940000000000001</v>
      </c>
      <c r="I27">
        <v>0.94</v>
      </c>
      <c r="J27">
        <v>0.25369999999999998</v>
      </c>
      <c r="K27">
        <v>1</v>
      </c>
      <c r="L27">
        <v>16</v>
      </c>
      <c r="M27">
        <v>17</v>
      </c>
    </row>
    <row r="28" spans="1:13" x14ac:dyDescent="0.3">
      <c r="A28">
        <v>27</v>
      </c>
      <c r="B28" s="1">
        <v>40545</v>
      </c>
      <c r="C28">
        <v>2</v>
      </c>
      <c r="D28" t="b">
        <v>0</v>
      </c>
      <c r="E28" t="s">
        <v>23</v>
      </c>
      <c r="F28" t="s">
        <v>31</v>
      </c>
      <c r="G28">
        <v>0.42</v>
      </c>
      <c r="H28">
        <v>0.42420000000000002</v>
      </c>
      <c r="I28">
        <v>1</v>
      </c>
      <c r="J28">
        <v>0.28360000000000002</v>
      </c>
      <c r="K28">
        <v>1</v>
      </c>
      <c r="L28">
        <v>8</v>
      </c>
      <c r="M28">
        <v>9</v>
      </c>
    </row>
    <row r="29" spans="1:13" x14ac:dyDescent="0.3">
      <c r="A29">
        <v>28</v>
      </c>
      <c r="B29" s="1">
        <v>40545</v>
      </c>
      <c r="C29">
        <v>3</v>
      </c>
      <c r="D29" t="b">
        <v>0</v>
      </c>
      <c r="E29" t="s">
        <v>23</v>
      </c>
      <c r="F29" t="s">
        <v>31</v>
      </c>
      <c r="G29">
        <v>0.46</v>
      </c>
      <c r="H29">
        <v>0.45450000000000002</v>
      </c>
      <c r="I29">
        <v>0.94</v>
      </c>
      <c r="J29">
        <v>0.19400000000000001</v>
      </c>
      <c r="K29">
        <v>2</v>
      </c>
      <c r="L29">
        <v>4</v>
      </c>
      <c r="M29">
        <v>6</v>
      </c>
    </row>
    <row r="30" spans="1:13" x14ac:dyDescent="0.3">
      <c r="A30">
        <v>29</v>
      </c>
      <c r="B30" s="1">
        <v>40545</v>
      </c>
      <c r="C30">
        <v>4</v>
      </c>
      <c r="D30" t="b">
        <v>0</v>
      </c>
      <c r="E30" t="s">
        <v>23</v>
      </c>
      <c r="F30" t="s">
        <v>31</v>
      </c>
      <c r="G30">
        <v>0.46</v>
      </c>
      <c r="H30">
        <v>0</v>
      </c>
      <c r="I30">
        <v>0.94</v>
      </c>
      <c r="J30">
        <v>0.19400000000000001</v>
      </c>
      <c r="K30">
        <v>2</v>
      </c>
      <c r="L30">
        <v>1</v>
      </c>
      <c r="M30">
        <v>3</v>
      </c>
    </row>
    <row r="31" spans="1:13" x14ac:dyDescent="0.3">
      <c r="A31">
        <v>30</v>
      </c>
      <c r="B31" s="1">
        <v>40545</v>
      </c>
      <c r="C31">
        <v>6</v>
      </c>
      <c r="D31" t="b">
        <v>0</v>
      </c>
      <c r="E31" t="s">
        <v>23</v>
      </c>
      <c r="F31" t="s">
        <v>32</v>
      </c>
      <c r="G31">
        <v>0.42</v>
      </c>
      <c r="H31">
        <v>0.42420000000000002</v>
      </c>
      <c r="I31">
        <v>0.77</v>
      </c>
      <c r="J31">
        <v>0.29849999999999999</v>
      </c>
      <c r="K31">
        <v>0</v>
      </c>
      <c r="L31">
        <v>2</v>
      </c>
      <c r="M31">
        <v>2</v>
      </c>
    </row>
    <row r="32" spans="1:13" x14ac:dyDescent="0.3">
      <c r="A32">
        <v>31</v>
      </c>
      <c r="B32" s="1">
        <v>40545</v>
      </c>
      <c r="C32">
        <v>7</v>
      </c>
      <c r="D32" t="b">
        <v>0</v>
      </c>
      <c r="E32" t="s">
        <v>23</v>
      </c>
      <c r="F32" t="s">
        <v>31</v>
      </c>
      <c r="G32">
        <v>0.4</v>
      </c>
      <c r="H32">
        <v>0.40910000000000002</v>
      </c>
      <c r="I32">
        <v>0.76</v>
      </c>
      <c r="J32">
        <v>0.19400000000000001</v>
      </c>
      <c r="K32">
        <v>0</v>
      </c>
      <c r="L32">
        <v>1</v>
      </c>
      <c r="M32">
        <v>1</v>
      </c>
    </row>
    <row r="33" spans="1:13" x14ac:dyDescent="0.3">
      <c r="A33">
        <v>32</v>
      </c>
      <c r="B33" s="1">
        <v>40545</v>
      </c>
      <c r="C33">
        <v>8</v>
      </c>
      <c r="D33" t="b">
        <v>0</v>
      </c>
      <c r="E33" t="s">
        <v>23</v>
      </c>
      <c r="F33" t="s">
        <v>32</v>
      </c>
      <c r="G33">
        <v>0.4</v>
      </c>
      <c r="H33">
        <v>0.40910000000000002</v>
      </c>
      <c r="I33">
        <v>0.71</v>
      </c>
      <c r="J33">
        <v>0.22389999999999999</v>
      </c>
      <c r="K33">
        <v>0</v>
      </c>
      <c r="L33">
        <v>8</v>
      </c>
      <c r="M33">
        <v>8</v>
      </c>
    </row>
    <row r="34" spans="1:13" x14ac:dyDescent="0.3">
      <c r="A34">
        <v>33</v>
      </c>
      <c r="B34" s="1">
        <v>40545</v>
      </c>
      <c r="C34">
        <v>9</v>
      </c>
      <c r="D34" t="b">
        <v>0</v>
      </c>
      <c r="E34" t="s">
        <v>23</v>
      </c>
      <c r="F34" t="s">
        <v>31</v>
      </c>
      <c r="G34">
        <v>0.38</v>
      </c>
      <c r="H34">
        <v>0</v>
      </c>
      <c r="I34">
        <v>0.76</v>
      </c>
      <c r="J34">
        <v>0.22389999999999999</v>
      </c>
      <c r="K34">
        <v>1</v>
      </c>
      <c r="L34">
        <v>19</v>
      </c>
      <c r="M34">
        <v>20</v>
      </c>
    </row>
    <row r="35" spans="1:13" x14ac:dyDescent="0.3">
      <c r="A35">
        <v>34</v>
      </c>
      <c r="B35" s="1">
        <v>40545</v>
      </c>
      <c r="C35">
        <v>10</v>
      </c>
      <c r="D35" t="b">
        <v>0</v>
      </c>
      <c r="E35" t="s">
        <v>23</v>
      </c>
      <c r="F35" t="s">
        <v>31</v>
      </c>
      <c r="G35">
        <v>0.36</v>
      </c>
      <c r="H35">
        <v>0.34849999999999998</v>
      </c>
      <c r="I35">
        <v>0.81</v>
      </c>
      <c r="J35">
        <v>0.22389999999999999</v>
      </c>
      <c r="K35">
        <v>7</v>
      </c>
      <c r="L35">
        <v>46</v>
      </c>
      <c r="M35">
        <v>53</v>
      </c>
    </row>
    <row r="36" spans="1:13" x14ac:dyDescent="0.3">
      <c r="A36">
        <v>35</v>
      </c>
      <c r="B36" s="1">
        <v>40545</v>
      </c>
      <c r="C36">
        <v>11</v>
      </c>
      <c r="D36" t="b">
        <v>0</v>
      </c>
      <c r="E36" t="s">
        <v>23</v>
      </c>
      <c r="F36" t="s">
        <v>31</v>
      </c>
      <c r="G36">
        <v>0.36</v>
      </c>
      <c r="H36">
        <v>0.33329999999999999</v>
      </c>
      <c r="I36">
        <v>0.71</v>
      </c>
      <c r="J36">
        <v>0.25369999999999998</v>
      </c>
      <c r="K36">
        <v>16</v>
      </c>
      <c r="L36">
        <v>54</v>
      </c>
      <c r="M36">
        <v>70</v>
      </c>
    </row>
    <row r="37" spans="1:13" x14ac:dyDescent="0.3">
      <c r="A37">
        <v>36</v>
      </c>
      <c r="B37" s="1">
        <v>40545</v>
      </c>
      <c r="C37">
        <v>12</v>
      </c>
      <c r="D37" t="b">
        <v>0</v>
      </c>
      <c r="E37" t="s">
        <v>23</v>
      </c>
      <c r="F37" t="s">
        <v>31</v>
      </c>
      <c r="G37">
        <v>0.36</v>
      </c>
      <c r="H37">
        <v>0.33329999999999999</v>
      </c>
      <c r="I37">
        <v>0.66</v>
      </c>
      <c r="J37">
        <v>0.29849999999999999</v>
      </c>
      <c r="K37">
        <v>20</v>
      </c>
      <c r="L37">
        <v>73</v>
      </c>
      <c r="M37">
        <v>93</v>
      </c>
    </row>
    <row r="38" spans="1:13" x14ac:dyDescent="0.3">
      <c r="A38">
        <v>37</v>
      </c>
      <c r="B38" s="1">
        <v>40545</v>
      </c>
      <c r="C38">
        <v>13</v>
      </c>
      <c r="D38" t="b">
        <v>0</v>
      </c>
      <c r="E38" t="s">
        <v>23</v>
      </c>
      <c r="F38" t="s">
        <v>31</v>
      </c>
      <c r="G38">
        <v>0.36</v>
      </c>
      <c r="H38">
        <v>0.34849999999999998</v>
      </c>
      <c r="I38">
        <v>0.66</v>
      </c>
      <c r="J38">
        <v>0.1343</v>
      </c>
      <c r="K38">
        <v>11</v>
      </c>
      <c r="L38">
        <v>64</v>
      </c>
      <c r="M38">
        <v>75</v>
      </c>
    </row>
    <row r="39" spans="1:13" x14ac:dyDescent="0.3">
      <c r="A39">
        <v>38</v>
      </c>
      <c r="B39" s="1">
        <v>40545</v>
      </c>
      <c r="C39">
        <v>14</v>
      </c>
      <c r="D39" t="b">
        <v>0</v>
      </c>
      <c r="E39" t="s">
        <v>23</v>
      </c>
      <c r="F39" t="s">
        <v>32</v>
      </c>
      <c r="G39">
        <v>0.36</v>
      </c>
      <c r="H39">
        <v>0</v>
      </c>
      <c r="I39">
        <v>0.76</v>
      </c>
      <c r="J39">
        <v>0.19400000000000001</v>
      </c>
      <c r="K39">
        <v>4</v>
      </c>
      <c r="L39">
        <v>55</v>
      </c>
      <c r="M39">
        <v>59</v>
      </c>
    </row>
    <row r="40" spans="1:13" x14ac:dyDescent="0.3">
      <c r="A40">
        <v>39</v>
      </c>
      <c r="B40" s="1">
        <v>40545</v>
      </c>
      <c r="C40">
        <v>15</v>
      </c>
      <c r="D40" t="b">
        <v>0</v>
      </c>
      <c r="E40" t="s">
        <v>23</v>
      </c>
      <c r="F40" t="s">
        <v>32</v>
      </c>
      <c r="G40">
        <v>0.34</v>
      </c>
      <c r="H40">
        <v>0.33329999999999999</v>
      </c>
      <c r="I40">
        <v>0.81</v>
      </c>
      <c r="J40">
        <v>0.16420000000000001</v>
      </c>
      <c r="K40">
        <v>19</v>
      </c>
      <c r="L40">
        <v>55</v>
      </c>
      <c r="M40">
        <v>74</v>
      </c>
    </row>
    <row r="41" spans="1:13" x14ac:dyDescent="0.3">
      <c r="A41">
        <v>40</v>
      </c>
      <c r="B41" s="1">
        <v>40545</v>
      </c>
      <c r="C41">
        <v>16</v>
      </c>
      <c r="D41" t="b">
        <v>0</v>
      </c>
      <c r="E41" t="s">
        <v>23</v>
      </c>
      <c r="F41" t="s">
        <v>32</v>
      </c>
      <c r="G41">
        <v>0.34</v>
      </c>
      <c r="H41">
        <v>0.33329999999999999</v>
      </c>
      <c r="I41">
        <v>0.71</v>
      </c>
      <c r="J41">
        <v>0.16420000000000001</v>
      </c>
      <c r="K41">
        <v>9</v>
      </c>
      <c r="L41">
        <v>67</v>
      </c>
      <c r="M41">
        <v>76</v>
      </c>
    </row>
    <row r="42" spans="1:13" x14ac:dyDescent="0.3">
      <c r="A42">
        <v>41</v>
      </c>
      <c r="B42" s="1">
        <v>40545</v>
      </c>
      <c r="C42">
        <v>17</v>
      </c>
      <c r="D42" t="b">
        <v>0</v>
      </c>
      <c r="E42" t="s">
        <v>23</v>
      </c>
      <c r="F42" t="s">
        <v>30</v>
      </c>
      <c r="G42">
        <v>0.34</v>
      </c>
      <c r="H42">
        <v>0.33329999999999999</v>
      </c>
      <c r="I42">
        <v>0.56999999999999995</v>
      </c>
      <c r="J42">
        <v>0.19400000000000001</v>
      </c>
      <c r="K42">
        <v>7</v>
      </c>
      <c r="L42">
        <v>58</v>
      </c>
      <c r="M42">
        <v>65</v>
      </c>
    </row>
    <row r="43" spans="1:13" x14ac:dyDescent="0.3">
      <c r="A43">
        <v>42</v>
      </c>
      <c r="B43" s="1">
        <v>40545</v>
      </c>
      <c r="C43">
        <v>18</v>
      </c>
      <c r="D43" t="b">
        <v>0</v>
      </c>
      <c r="E43" t="s">
        <v>23</v>
      </c>
      <c r="F43" t="s">
        <v>31</v>
      </c>
      <c r="G43">
        <v>0.36</v>
      </c>
      <c r="H43">
        <v>0.33329999999999999</v>
      </c>
      <c r="I43">
        <v>0.46</v>
      </c>
      <c r="J43">
        <v>0.32840000000000003</v>
      </c>
      <c r="K43">
        <v>10</v>
      </c>
      <c r="L43">
        <v>43</v>
      </c>
      <c r="M43">
        <v>53</v>
      </c>
    </row>
    <row r="44" spans="1:13" x14ac:dyDescent="0.3">
      <c r="A44">
        <v>43</v>
      </c>
      <c r="B44" s="1">
        <v>40545</v>
      </c>
      <c r="C44">
        <v>19</v>
      </c>
      <c r="D44" t="b">
        <v>0</v>
      </c>
      <c r="E44" t="s">
        <v>23</v>
      </c>
      <c r="F44" t="s">
        <v>30</v>
      </c>
      <c r="G44">
        <v>0.32</v>
      </c>
      <c r="H44">
        <v>0.28789999999999999</v>
      </c>
      <c r="I44">
        <v>0.42</v>
      </c>
      <c r="J44">
        <v>0.44779999999999998</v>
      </c>
      <c r="K44">
        <v>1</v>
      </c>
      <c r="L44">
        <v>29</v>
      </c>
      <c r="M44">
        <v>30</v>
      </c>
    </row>
    <row r="45" spans="1:13" x14ac:dyDescent="0.3">
      <c r="A45">
        <v>44</v>
      </c>
      <c r="B45" s="1">
        <v>40545</v>
      </c>
      <c r="C45">
        <v>20</v>
      </c>
      <c r="D45" t="b">
        <v>0</v>
      </c>
      <c r="E45" t="s">
        <v>23</v>
      </c>
      <c r="F45" t="s">
        <v>30</v>
      </c>
      <c r="G45">
        <v>0.3</v>
      </c>
      <c r="H45">
        <v>0</v>
      </c>
      <c r="I45">
        <v>0.39</v>
      </c>
      <c r="J45">
        <v>0.35820000000000002</v>
      </c>
      <c r="K45">
        <v>5</v>
      </c>
      <c r="L45">
        <v>17</v>
      </c>
      <c r="M45">
        <v>22</v>
      </c>
    </row>
    <row r="46" spans="1:13" x14ac:dyDescent="0.3">
      <c r="A46">
        <v>45</v>
      </c>
      <c r="B46" s="1">
        <v>40545</v>
      </c>
      <c r="C46">
        <v>21</v>
      </c>
      <c r="D46" t="b">
        <v>0</v>
      </c>
      <c r="E46" t="s">
        <v>23</v>
      </c>
      <c r="F46" t="s">
        <v>30</v>
      </c>
      <c r="G46">
        <v>0.26</v>
      </c>
      <c r="H46">
        <v>0.2273</v>
      </c>
      <c r="I46">
        <v>0.44</v>
      </c>
      <c r="J46">
        <v>0.32840000000000003</v>
      </c>
      <c r="K46">
        <v>11</v>
      </c>
      <c r="L46">
        <v>20</v>
      </c>
      <c r="M46">
        <v>31</v>
      </c>
    </row>
    <row r="47" spans="1:13" x14ac:dyDescent="0.3">
      <c r="A47">
        <v>46</v>
      </c>
      <c r="B47" s="1">
        <v>40545</v>
      </c>
      <c r="C47">
        <v>22</v>
      </c>
      <c r="D47" t="b">
        <v>0</v>
      </c>
      <c r="E47" t="s">
        <v>23</v>
      </c>
      <c r="F47" t="s">
        <v>30</v>
      </c>
      <c r="G47">
        <v>0.24</v>
      </c>
      <c r="H47">
        <v>0.21210000000000001</v>
      </c>
      <c r="I47">
        <v>0.44</v>
      </c>
      <c r="J47">
        <v>0.29849999999999999</v>
      </c>
      <c r="K47">
        <v>0</v>
      </c>
      <c r="L47">
        <v>9</v>
      </c>
      <c r="M47">
        <v>9</v>
      </c>
    </row>
    <row r="48" spans="1:13" x14ac:dyDescent="0.3">
      <c r="A48">
        <v>47</v>
      </c>
      <c r="B48" s="1">
        <v>40545</v>
      </c>
      <c r="C48">
        <v>23</v>
      </c>
      <c r="D48" t="b">
        <v>0</v>
      </c>
      <c r="E48" t="s">
        <v>23</v>
      </c>
      <c r="F48" t="s">
        <v>30</v>
      </c>
      <c r="G48">
        <v>0.22</v>
      </c>
      <c r="H48">
        <v>0.2273</v>
      </c>
      <c r="I48">
        <v>0.47</v>
      </c>
      <c r="J48">
        <v>0.16420000000000001</v>
      </c>
      <c r="K48">
        <v>0</v>
      </c>
      <c r="L48">
        <v>8</v>
      </c>
      <c r="M48">
        <v>8</v>
      </c>
    </row>
    <row r="49" spans="1:13" x14ac:dyDescent="0.3">
      <c r="A49">
        <v>48</v>
      </c>
      <c r="B49" s="1">
        <v>40546</v>
      </c>
      <c r="C49">
        <v>0</v>
      </c>
      <c r="D49" t="b">
        <v>0</v>
      </c>
      <c r="E49" t="s">
        <v>24</v>
      </c>
      <c r="F49" t="s">
        <v>30</v>
      </c>
      <c r="G49">
        <v>0.22</v>
      </c>
      <c r="H49">
        <v>0.19700000000000001</v>
      </c>
      <c r="I49">
        <v>0.44</v>
      </c>
      <c r="J49">
        <v>0.35820000000000002</v>
      </c>
      <c r="K49">
        <v>0</v>
      </c>
      <c r="L49">
        <v>5</v>
      </c>
      <c r="M49">
        <v>5</v>
      </c>
    </row>
    <row r="50" spans="1:13" x14ac:dyDescent="0.3">
      <c r="A50">
        <v>49</v>
      </c>
      <c r="B50" s="1">
        <v>40546</v>
      </c>
      <c r="C50">
        <v>1</v>
      </c>
      <c r="D50" t="b">
        <v>0</v>
      </c>
      <c r="E50" t="s">
        <v>24</v>
      </c>
      <c r="F50" t="s">
        <v>30</v>
      </c>
      <c r="G50">
        <v>0.2</v>
      </c>
      <c r="H50">
        <v>0</v>
      </c>
      <c r="I50">
        <v>0.44</v>
      </c>
      <c r="J50">
        <v>0.41789999999999999</v>
      </c>
      <c r="K50">
        <v>0</v>
      </c>
      <c r="L50">
        <v>2</v>
      </c>
      <c r="M50">
        <v>2</v>
      </c>
    </row>
    <row r="51" spans="1:13" x14ac:dyDescent="0.3">
      <c r="A51">
        <v>50</v>
      </c>
      <c r="B51" s="1">
        <v>40546</v>
      </c>
      <c r="C51">
        <v>4</v>
      </c>
      <c r="D51" t="b">
        <v>0</v>
      </c>
      <c r="E51" t="s">
        <v>24</v>
      </c>
      <c r="F51" t="s">
        <v>30</v>
      </c>
      <c r="G51">
        <v>0.16</v>
      </c>
      <c r="H51">
        <v>0.13639999999999999</v>
      </c>
      <c r="I51">
        <v>0.47</v>
      </c>
      <c r="J51">
        <v>0.3881</v>
      </c>
      <c r="K51">
        <v>0</v>
      </c>
      <c r="L51">
        <v>1</v>
      </c>
      <c r="M51">
        <v>1</v>
      </c>
    </row>
    <row r="52" spans="1:13" x14ac:dyDescent="0.3">
      <c r="A52">
        <v>51</v>
      </c>
      <c r="B52" s="1">
        <v>40546</v>
      </c>
      <c r="C52">
        <v>5</v>
      </c>
      <c r="D52" t="b">
        <v>0</v>
      </c>
      <c r="E52" t="s">
        <v>24</v>
      </c>
      <c r="F52" t="s">
        <v>30</v>
      </c>
      <c r="G52">
        <v>0.16</v>
      </c>
      <c r="H52">
        <v>0.13639999999999999</v>
      </c>
      <c r="I52">
        <v>0.47</v>
      </c>
      <c r="J52">
        <v>0.28360000000000002</v>
      </c>
      <c r="K52">
        <v>0</v>
      </c>
      <c r="L52">
        <v>3</v>
      </c>
      <c r="M52">
        <v>3</v>
      </c>
    </row>
    <row r="53" spans="1:13" x14ac:dyDescent="0.3">
      <c r="A53">
        <v>52</v>
      </c>
      <c r="B53" s="1">
        <v>40546</v>
      </c>
      <c r="C53">
        <v>6</v>
      </c>
      <c r="D53" t="b">
        <v>0</v>
      </c>
      <c r="E53" t="s">
        <v>24</v>
      </c>
      <c r="F53" t="s">
        <v>30</v>
      </c>
      <c r="G53">
        <v>0.14000000000000001</v>
      </c>
      <c r="H53">
        <v>0.1061</v>
      </c>
      <c r="I53">
        <v>0.5</v>
      </c>
      <c r="J53">
        <v>0.3881</v>
      </c>
      <c r="K53">
        <v>0</v>
      </c>
      <c r="L53">
        <v>30</v>
      </c>
      <c r="M53">
        <v>30</v>
      </c>
    </row>
    <row r="54" spans="1:13" x14ac:dyDescent="0.3">
      <c r="A54">
        <v>53</v>
      </c>
      <c r="B54" s="1">
        <v>40546</v>
      </c>
      <c r="C54">
        <v>7</v>
      </c>
      <c r="D54" t="b">
        <v>0</v>
      </c>
      <c r="E54" t="s">
        <v>24</v>
      </c>
      <c r="F54" t="s">
        <v>30</v>
      </c>
      <c r="G54">
        <v>0.14000000000000001</v>
      </c>
      <c r="H54">
        <v>0.13639999999999999</v>
      </c>
      <c r="I54">
        <v>0.5</v>
      </c>
      <c r="J54">
        <v>0.19400000000000001</v>
      </c>
      <c r="K54">
        <v>1</v>
      </c>
      <c r="L54">
        <v>63</v>
      </c>
      <c r="M54">
        <v>64</v>
      </c>
    </row>
    <row r="55" spans="1:13" x14ac:dyDescent="0.3">
      <c r="A55">
        <v>54</v>
      </c>
      <c r="B55" s="1">
        <v>40546</v>
      </c>
      <c r="C55">
        <v>8</v>
      </c>
      <c r="D55" t="b">
        <v>0</v>
      </c>
      <c r="E55" t="s">
        <v>24</v>
      </c>
      <c r="F55" t="s">
        <v>30</v>
      </c>
      <c r="G55">
        <v>0.14000000000000001</v>
      </c>
      <c r="H55">
        <v>0.1212</v>
      </c>
      <c r="I55">
        <v>0.5</v>
      </c>
      <c r="J55">
        <v>0.28360000000000002</v>
      </c>
      <c r="K55">
        <v>1</v>
      </c>
      <c r="L55">
        <v>153</v>
      </c>
      <c r="M55">
        <v>154</v>
      </c>
    </row>
    <row r="56" spans="1:13" x14ac:dyDescent="0.3">
      <c r="A56">
        <v>55</v>
      </c>
      <c r="B56" s="1">
        <v>40546</v>
      </c>
      <c r="C56">
        <v>9</v>
      </c>
      <c r="D56" t="b">
        <v>0</v>
      </c>
      <c r="E56" t="s">
        <v>24</v>
      </c>
      <c r="F56" t="s">
        <v>30</v>
      </c>
      <c r="G56">
        <v>0.16</v>
      </c>
      <c r="H56">
        <v>0.13639999999999999</v>
      </c>
      <c r="I56">
        <v>0.43</v>
      </c>
      <c r="J56">
        <v>0.3881</v>
      </c>
      <c r="K56">
        <v>7</v>
      </c>
      <c r="L56">
        <v>81</v>
      </c>
      <c r="M56">
        <v>88</v>
      </c>
    </row>
    <row r="57" spans="1:13" x14ac:dyDescent="0.3">
      <c r="A57">
        <v>56</v>
      </c>
      <c r="B57" s="1">
        <v>40546</v>
      </c>
      <c r="C57">
        <v>10</v>
      </c>
      <c r="D57" t="b">
        <v>0</v>
      </c>
      <c r="E57" t="s">
        <v>24</v>
      </c>
      <c r="F57" t="s">
        <v>30</v>
      </c>
      <c r="G57">
        <v>0.18</v>
      </c>
      <c r="H57">
        <v>0.16669999999999999</v>
      </c>
      <c r="I57">
        <v>0.43</v>
      </c>
      <c r="J57">
        <v>0.25369999999999998</v>
      </c>
      <c r="K57">
        <v>11</v>
      </c>
      <c r="L57">
        <v>33</v>
      </c>
      <c r="M57">
        <v>44</v>
      </c>
    </row>
    <row r="58" spans="1:13" x14ac:dyDescent="0.3">
      <c r="A58">
        <v>57</v>
      </c>
      <c r="B58" s="1">
        <v>40546</v>
      </c>
      <c r="C58">
        <v>11</v>
      </c>
      <c r="D58" t="b">
        <v>0</v>
      </c>
      <c r="E58" t="s">
        <v>24</v>
      </c>
      <c r="F58" t="s">
        <v>30</v>
      </c>
      <c r="G58">
        <v>0.2</v>
      </c>
      <c r="H58">
        <v>0.18179999999999999</v>
      </c>
      <c r="I58">
        <v>0.4</v>
      </c>
      <c r="J58">
        <v>0.32840000000000003</v>
      </c>
      <c r="K58">
        <v>10</v>
      </c>
      <c r="L58">
        <v>41</v>
      </c>
      <c r="M58">
        <v>51</v>
      </c>
    </row>
    <row r="59" spans="1:13" x14ac:dyDescent="0.3">
      <c r="A59">
        <v>58</v>
      </c>
      <c r="B59" s="1">
        <v>40546</v>
      </c>
      <c r="C59">
        <v>12</v>
      </c>
      <c r="D59" t="b">
        <v>0</v>
      </c>
      <c r="E59" t="s">
        <v>24</v>
      </c>
      <c r="F59" t="s">
        <v>30</v>
      </c>
      <c r="G59">
        <v>0.22</v>
      </c>
      <c r="H59">
        <v>0.21210000000000001</v>
      </c>
      <c r="I59">
        <v>0.35</v>
      </c>
      <c r="J59">
        <v>0.29849999999999999</v>
      </c>
      <c r="K59">
        <v>13</v>
      </c>
      <c r="L59">
        <v>48</v>
      </c>
      <c r="M59">
        <v>61</v>
      </c>
    </row>
    <row r="60" spans="1:13" x14ac:dyDescent="0.3">
      <c r="A60">
        <v>59</v>
      </c>
      <c r="B60" s="1">
        <v>40546</v>
      </c>
      <c r="C60">
        <v>13</v>
      </c>
      <c r="D60" t="b">
        <v>0</v>
      </c>
      <c r="E60" t="s">
        <v>24</v>
      </c>
      <c r="F60" t="s">
        <v>30</v>
      </c>
      <c r="G60">
        <v>0.24</v>
      </c>
      <c r="H60">
        <v>0</v>
      </c>
      <c r="I60">
        <v>0.35</v>
      </c>
      <c r="J60">
        <v>0.28360000000000002</v>
      </c>
      <c r="K60">
        <v>8</v>
      </c>
      <c r="L60">
        <v>53</v>
      </c>
      <c r="M60">
        <v>61</v>
      </c>
    </row>
    <row r="61" spans="1:13" x14ac:dyDescent="0.3">
      <c r="A61">
        <v>60</v>
      </c>
      <c r="B61" s="1">
        <v>40546</v>
      </c>
      <c r="C61">
        <v>14</v>
      </c>
      <c r="D61" t="b">
        <v>0</v>
      </c>
      <c r="E61" t="s">
        <v>24</v>
      </c>
      <c r="F61" t="s">
        <v>30</v>
      </c>
      <c r="G61">
        <v>0.26</v>
      </c>
      <c r="H61">
        <v>0.2424</v>
      </c>
      <c r="I61">
        <v>0.3</v>
      </c>
      <c r="J61">
        <v>0.28360000000000002</v>
      </c>
      <c r="K61">
        <v>11</v>
      </c>
      <c r="L61">
        <v>66</v>
      </c>
      <c r="M61">
        <v>77</v>
      </c>
    </row>
    <row r="62" spans="1:13" x14ac:dyDescent="0.3">
      <c r="A62">
        <v>61</v>
      </c>
      <c r="B62" s="1">
        <v>40546</v>
      </c>
      <c r="C62">
        <v>15</v>
      </c>
      <c r="D62" t="b">
        <v>0</v>
      </c>
      <c r="E62" t="s">
        <v>24</v>
      </c>
      <c r="F62" t="s">
        <v>30</v>
      </c>
      <c r="G62">
        <v>0.26</v>
      </c>
      <c r="H62">
        <v>0.2424</v>
      </c>
      <c r="I62">
        <v>0.3</v>
      </c>
      <c r="J62">
        <v>0.25369999999999998</v>
      </c>
      <c r="K62">
        <v>14</v>
      </c>
      <c r="L62">
        <v>58</v>
      </c>
      <c r="M62">
        <v>72</v>
      </c>
    </row>
    <row r="63" spans="1:13" x14ac:dyDescent="0.3">
      <c r="A63">
        <v>62</v>
      </c>
      <c r="B63" s="1">
        <v>40546</v>
      </c>
      <c r="C63">
        <v>16</v>
      </c>
      <c r="D63" t="b">
        <v>0</v>
      </c>
      <c r="E63" t="s">
        <v>24</v>
      </c>
      <c r="F63" t="s">
        <v>30</v>
      </c>
      <c r="G63">
        <v>0.26</v>
      </c>
      <c r="H63">
        <v>0.2424</v>
      </c>
      <c r="I63">
        <v>0.3</v>
      </c>
      <c r="J63">
        <v>0.25369999999999998</v>
      </c>
      <c r="K63">
        <v>9</v>
      </c>
      <c r="L63">
        <v>67</v>
      </c>
      <c r="M63">
        <v>76</v>
      </c>
    </row>
    <row r="64" spans="1:13" x14ac:dyDescent="0.3">
      <c r="A64">
        <v>63</v>
      </c>
      <c r="B64" s="1">
        <v>40546</v>
      </c>
      <c r="C64">
        <v>17</v>
      </c>
      <c r="D64" t="b">
        <v>0</v>
      </c>
      <c r="E64" t="s">
        <v>24</v>
      </c>
      <c r="F64" t="s">
        <v>30</v>
      </c>
      <c r="G64">
        <v>0.24</v>
      </c>
      <c r="H64">
        <v>0.2273</v>
      </c>
      <c r="I64">
        <v>0.3</v>
      </c>
      <c r="J64">
        <v>0.22389999999999999</v>
      </c>
      <c r="K64">
        <v>11</v>
      </c>
      <c r="L64">
        <v>146</v>
      </c>
      <c r="M64">
        <v>157</v>
      </c>
    </row>
    <row r="65" spans="1:13" x14ac:dyDescent="0.3">
      <c r="A65">
        <v>64</v>
      </c>
      <c r="B65" s="1">
        <v>40546</v>
      </c>
      <c r="C65">
        <v>18</v>
      </c>
      <c r="D65" t="b">
        <v>0</v>
      </c>
      <c r="E65" t="s">
        <v>24</v>
      </c>
      <c r="F65" t="s">
        <v>30</v>
      </c>
      <c r="G65">
        <v>0.24</v>
      </c>
      <c r="H65">
        <v>0.2576</v>
      </c>
      <c r="I65">
        <v>0.32</v>
      </c>
      <c r="J65">
        <v>0.1045</v>
      </c>
      <c r="K65">
        <v>9</v>
      </c>
      <c r="L65">
        <v>148</v>
      </c>
      <c r="M65">
        <v>157</v>
      </c>
    </row>
    <row r="66" spans="1:13" x14ac:dyDescent="0.3">
      <c r="A66">
        <v>65</v>
      </c>
      <c r="B66" s="1">
        <v>40546</v>
      </c>
      <c r="C66">
        <v>19</v>
      </c>
      <c r="D66" t="b">
        <v>0</v>
      </c>
      <c r="E66" t="s">
        <v>24</v>
      </c>
      <c r="F66" t="s">
        <v>30</v>
      </c>
      <c r="G66">
        <v>0.2</v>
      </c>
      <c r="H66">
        <v>0.2576</v>
      </c>
      <c r="I66">
        <v>0.47</v>
      </c>
      <c r="J66">
        <v>0</v>
      </c>
      <c r="K66">
        <v>8</v>
      </c>
      <c r="L66">
        <v>102</v>
      </c>
      <c r="M66">
        <v>110</v>
      </c>
    </row>
    <row r="67" spans="1:13" x14ac:dyDescent="0.3">
      <c r="A67">
        <v>66</v>
      </c>
      <c r="B67" s="1">
        <v>40546</v>
      </c>
      <c r="C67">
        <v>20</v>
      </c>
      <c r="D67" t="b">
        <v>0</v>
      </c>
      <c r="E67" t="s">
        <v>24</v>
      </c>
      <c r="F67" t="s">
        <v>30</v>
      </c>
      <c r="G67">
        <v>0.2</v>
      </c>
      <c r="H67">
        <v>0</v>
      </c>
      <c r="I67">
        <v>0.47</v>
      </c>
      <c r="J67">
        <v>0.1045</v>
      </c>
      <c r="K67">
        <v>3</v>
      </c>
      <c r="L67">
        <v>49</v>
      </c>
      <c r="M67">
        <v>52</v>
      </c>
    </row>
    <row r="68" spans="1:13" x14ac:dyDescent="0.3">
      <c r="A68">
        <v>67</v>
      </c>
      <c r="B68" s="1">
        <v>40546</v>
      </c>
      <c r="C68">
        <v>21</v>
      </c>
      <c r="D68" t="b">
        <v>0</v>
      </c>
      <c r="E68" t="s">
        <v>24</v>
      </c>
      <c r="F68" t="s">
        <v>30</v>
      </c>
      <c r="G68">
        <v>0.18</v>
      </c>
      <c r="H68">
        <v>0.19700000000000001</v>
      </c>
      <c r="I68">
        <v>0.64</v>
      </c>
      <c r="J68">
        <v>0.1343</v>
      </c>
      <c r="K68">
        <v>3</v>
      </c>
      <c r="L68">
        <v>49</v>
      </c>
      <c r="M68">
        <v>52</v>
      </c>
    </row>
    <row r="69" spans="1:13" x14ac:dyDescent="0.3">
      <c r="A69">
        <v>68</v>
      </c>
      <c r="B69" s="1">
        <v>40546</v>
      </c>
      <c r="C69">
        <v>22</v>
      </c>
      <c r="D69" t="b">
        <v>0</v>
      </c>
      <c r="E69" t="s">
        <v>24</v>
      </c>
      <c r="F69" t="s">
        <v>30</v>
      </c>
      <c r="G69">
        <v>0.14000000000000001</v>
      </c>
      <c r="H69">
        <v>0.1515</v>
      </c>
      <c r="I69">
        <v>0.69</v>
      </c>
      <c r="J69">
        <v>0.1343</v>
      </c>
      <c r="K69">
        <v>0</v>
      </c>
      <c r="L69">
        <v>20</v>
      </c>
      <c r="M69">
        <v>20</v>
      </c>
    </row>
    <row r="70" spans="1:13" x14ac:dyDescent="0.3">
      <c r="A70">
        <v>69</v>
      </c>
      <c r="B70" s="1">
        <v>40546</v>
      </c>
      <c r="C70">
        <v>23</v>
      </c>
      <c r="D70" t="b">
        <v>0</v>
      </c>
      <c r="E70" t="s">
        <v>24</v>
      </c>
      <c r="F70" t="s">
        <v>30</v>
      </c>
      <c r="G70">
        <v>0.18</v>
      </c>
      <c r="H70">
        <v>0.21210000000000001</v>
      </c>
      <c r="I70">
        <v>0.55000000000000004</v>
      </c>
      <c r="J70">
        <v>0.1045</v>
      </c>
      <c r="K70">
        <v>1</v>
      </c>
      <c r="L70">
        <v>11</v>
      </c>
      <c r="M70">
        <v>12</v>
      </c>
    </row>
    <row r="71" spans="1:13" x14ac:dyDescent="0.3">
      <c r="A71">
        <v>70</v>
      </c>
      <c r="B71" s="1">
        <v>40547</v>
      </c>
      <c r="C71">
        <v>0</v>
      </c>
      <c r="D71" t="b">
        <v>0</v>
      </c>
      <c r="E71" t="s">
        <v>25</v>
      </c>
      <c r="F71" t="s">
        <v>30</v>
      </c>
      <c r="G71">
        <v>0.16</v>
      </c>
      <c r="H71">
        <v>0</v>
      </c>
      <c r="I71">
        <v>0.55000000000000004</v>
      </c>
      <c r="J71">
        <v>0.1045</v>
      </c>
      <c r="K71">
        <v>0</v>
      </c>
      <c r="L71">
        <v>5</v>
      </c>
      <c r="M71">
        <v>5</v>
      </c>
    </row>
    <row r="72" spans="1:13" x14ac:dyDescent="0.3">
      <c r="A72">
        <v>71</v>
      </c>
      <c r="B72" s="1">
        <v>40547</v>
      </c>
      <c r="C72">
        <v>1</v>
      </c>
      <c r="D72" t="b">
        <v>0</v>
      </c>
      <c r="E72" t="s">
        <v>25</v>
      </c>
      <c r="F72" t="s">
        <v>30</v>
      </c>
      <c r="G72">
        <v>0.16</v>
      </c>
      <c r="H72">
        <v>0.18179999999999999</v>
      </c>
      <c r="I72">
        <v>0.59</v>
      </c>
      <c r="J72">
        <v>0.1045</v>
      </c>
      <c r="K72">
        <v>0</v>
      </c>
      <c r="L72">
        <v>2</v>
      </c>
      <c r="M72">
        <v>2</v>
      </c>
    </row>
    <row r="73" spans="1:13" x14ac:dyDescent="0.3">
      <c r="A73">
        <v>72</v>
      </c>
      <c r="B73" s="1">
        <v>40547</v>
      </c>
      <c r="C73">
        <v>2</v>
      </c>
      <c r="D73" t="b">
        <v>0</v>
      </c>
      <c r="E73" t="s">
        <v>25</v>
      </c>
      <c r="F73" t="s">
        <v>30</v>
      </c>
      <c r="G73">
        <v>0.14000000000000001</v>
      </c>
      <c r="H73">
        <v>0.1515</v>
      </c>
      <c r="I73">
        <v>0.63</v>
      </c>
      <c r="J73">
        <v>0.1343</v>
      </c>
      <c r="K73">
        <v>0</v>
      </c>
      <c r="L73">
        <v>1</v>
      </c>
      <c r="M73">
        <v>1</v>
      </c>
    </row>
    <row r="74" spans="1:13" x14ac:dyDescent="0.3">
      <c r="A74">
        <v>73</v>
      </c>
      <c r="B74" s="1">
        <v>40547</v>
      </c>
      <c r="C74">
        <v>4</v>
      </c>
      <c r="D74" t="b">
        <v>0</v>
      </c>
      <c r="E74" t="s">
        <v>25</v>
      </c>
      <c r="F74" t="s">
        <v>30</v>
      </c>
      <c r="G74">
        <v>0.14000000000000001</v>
      </c>
      <c r="H74">
        <v>0.18179999999999999</v>
      </c>
      <c r="I74">
        <v>0.63</v>
      </c>
      <c r="J74">
        <v>8.9599999999999999E-2</v>
      </c>
      <c r="K74">
        <v>0</v>
      </c>
      <c r="L74">
        <v>2</v>
      </c>
      <c r="M74">
        <v>2</v>
      </c>
    </row>
    <row r="75" spans="1:13" x14ac:dyDescent="0.3">
      <c r="A75">
        <v>74</v>
      </c>
      <c r="B75" s="1">
        <v>40547</v>
      </c>
      <c r="C75">
        <v>5</v>
      </c>
      <c r="D75" t="b">
        <v>0</v>
      </c>
      <c r="E75" t="s">
        <v>25</v>
      </c>
      <c r="F75" t="s">
        <v>30</v>
      </c>
      <c r="G75">
        <v>0.12</v>
      </c>
      <c r="H75">
        <v>0.1515</v>
      </c>
      <c r="I75">
        <v>0.68</v>
      </c>
      <c r="J75">
        <v>0.1045</v>
      </c>
      <c r="K75">
        <v>0</v>
      </c>
      <c r="L75">
        <v>4</v>
      </c>
      <c r="M75">
        <v>4</v>
      </c>
    </row>
    <row r="76" spans="1:13" x14ac:dyDescent="0.3">
      <c r="A76">
        <v>75</v>
      </c>
      <c r="B76" s="1">
        <v>40547</v>
      </c>
      <c r="C76">
        <v>6</v>
      </c>
      <c r="D76" t="b">
        <v>0</v>
      </c>
      <c r="E76" t="s">
        <v>25</v>
      </c>
      <c r="F76" t="s">
        <v>30</v>
      </c>
      <c r="G76">
        <v>0.12</v>
      </c>
      <c r="H76">
        <v>0.1515</v>
      </c>
      <c r="I76">
        <v>0.74</v>
      </c>
      <c r="J76">
        <v>0.1045</v>
      </c>
      <c r="K76">
        <v>0</v>
      </c>
      <c r="L76">
        <v>36</v>
      </c>
      <c r="M76">
        <v>36</v>
      </c>
    </row>
    <row r="77" spans="1:13" x14ac:dyDescent="0.3">
      <c r="A77">
        <v>76</v>
      </c>
      <c r="B77" s="1">
        <v>40547</v>
      </c>
      <c r="C77">
        <v>7</v>
      </c>
      <c r="D77" t="b">
        <v>0</v>
      </c>
      <c r="E77" t="s">
        <v>25</v>
      </c>
      <c r="F77" t="s">
        <v>30</v>
      </c>
      <c r="G77">
        <v>0.12</v>
      </c>
      <c r="H77">
        <v>0.1515</v>
      </c>
      <c r="I77">
        <v>0.74</v>
      </c>
      <c r="J77">
        <v>0.1343</v>
      </c>
      <c r="K77">
        <v>2</v>
      </c>
      <c r="L77">
        <v>92</v>
      </c>
      <c r="M77">
        <v>94</v>
      </c>
    </row>
    <row r="78" spans="1:13" x14ac:dyDescent="0.3">
      <c r="A78">
        <v>77</v>
      </c>
      <c r="B78" s="1">
        <v>40547</v>
      </c>
      <c r="C78">
        <v>8</v>
      </c>
      <c r="D78" t="b">
        <v>0</v>
      </c>
      <c r="E78" t="s">
        <v>25</v>
      </c>
      <c r="F78" t="s">
        <v>30</v>
      </c>
      <c r="G78">
        <v>0.14000000000000001</v>
      </c>
      <c r="H78">
        <v>0.1515</v>
      </c>
      <c r="I78">
        <v>0.69</v>
      </c>
      <c r="J78">
        <v>0.16420000000000001</v>
      </c>
      <c r="K78">
        <v>2</v>
      </c>
      <c r="L78">
        <v>177</v>
      </c>
      <c r="M78">
        <v>179</v>
      </c>
    </row>
    <row r="79" spans="1:13" x14ac:dyDescent="0.3">
      <c r="A79">
        <v>78</v>
      </c>
      <c r="B79" s="1">
        <v>40547</v>
      </c>
      <c r="C79">
        <v>9</v>
      </c>
      <c r="D79" t="b">
        <v>0</v>
      </c>
      <c r="E79" t="s">
        <v>25</v>
      </c>
      <c r="F79" t="s">
        <v>30</v>
      </c>
      <c r="G79">
        <v>0.16</v>
      </c>
      <c r="H79">
        <v>0.1515</v>
      </c>
      <c r="I79">
        <v>0.64</v>
      </c>
      <c r="J79">
        <v>0.22389999999999999</v>
      </c>
      <c r="K79">
        <v>2</v>
      </c>
      <c r="L79">
        <v>98</v>
      </c>
      <c r="M79">
        <v>100</v>
      </c>
    </row>
    <row r="80" spans="1:13" x14ac:dyDescent="0.3">
      <c r="A80">
        <v>79</v>
      </c>
      <c r="B80" s="1">
        <v>40547</v>
      </c>
      <c r="C80">
        <v>10</v>
      </c>
      <c r="D80" t="b">
        <v>0</v>
      </c>
      <c r="E80" t="s">
        <v>25</v>
      </c>
      <c r="F80" t="s">
        <v>31</v>
      </c>
      <c r="G80">
        <v>0.16</v>
      </c>
      <c r="H80">
        <v>0.13639999999999999</v>
      </c>
      <c r="I80">
        <v>0.69</v>
      </c>
      <c r="J80">
        <v>0.32840000000000003</v>
      </c>
      <c r="K80">
        <v>5</v>
      </c>
      <c r="L80">
        <v>37</v>
      </c>
      <c r="M80">
        <v>42</v>
      </c>
    </row>
    <row r="81" spans="1:13" x14ac:dyDescent="0.3">
      <c r="A81">
        <v>80</v>
      </c>
      <c r="B81" s="1">
        <v>40547</v>
      </c>
      <c r="C81">
        <v>11</v>
      </c>
      <c r="D81" t="b">
        <v>0</v>
      </c>
      <c r="E81" t="s">
        <v>25</v>
      </c>
      <c r="F81" t="s">
        <v>30</v>
      </c>
      <c r="G81">
        <v>0.22</v>
      </c>
      <c r="H81">
        <v>0.21210000000000001</v>
      </c>
      <c r="I81">
        <v>0.51</v>
      </c>
      <c r="J81">
        <v>0.29849999999999999</v>
      </c>
      <c r="K81">
        <v>7</v>
      </c>
      <c r="L81">
        <v>50</v>
      </c>
      <c r="M81">
        <v>57</v>
      </c>
    </row>
    <row r="82" spans="1:13" x14ac:dyDescent="0.3">
      <c r="A82">
        <v>81</v>
      </c>
      <c r="B82" s="1">
        <v>40547</v>
      </c>
      <c r="C82">
        <v>12</v>
      </c>
      <c r="D82" t="b">
        <v>0</v>
      </c>
      <c r="E82" t="s">
        <v>25</v>
      </c>
      <c r="F82" t="s">
        <v>30</v>
      </c>
      <c r="G82">
        <v>0.22</v>
      </c>
      <c r="H82">
        <v>0.2273</v>
      </c>
      <c r="I82">
        <v>0.51</v>
      </c>
      <c r="J82">
        <v>0.16420000000000001</v>
      </c>
      <c r="K82">
        <v>12</v>
      </c>
      <c r="L82">
        <v>66</v>
      </c>
      <c r="M82">
        <v>78</v>
      </c>
    </row>
    <row r="83" spans="1:13" x14ac:dyDescent="0.3">
      <c r="A83">
        <v>82</v>
      </c>
      <c r="B83" s="1">
        <v>40547</v>
      </c>
      <c r="C83">
        <v>13</v>
      </c>
      <c r="D83" t="b">
        <v>0</v>
      </c>
      <c r="E83" t="s">
        <v>25</v>
      </c>
      <c r="F83" t="s">
        <v>30</v>
      </c>
      <c r="G83">
        <v>0.24</v>
      </c>
      <c r="H83">
        <v>0.2273</v>
      </c>
      <c r="I83">
        <v>0.56000000000000005</v>
      </c>
      <c r="J83">
        <v>0.19400000000000001</v>
      </c>
      <c r="K83">
        <v>18</v>
      </c>
      <c r="L83">
        <v>79</v>
      </c>
      <c r="M83">
        <v>97</v>
      </c>
    </row>
    <row r="84" spans="1:13" x14ac:dyDescent="0.3">
      <c r="A84">
        <v>83</v>
      </c>
      <c r="B84" s="1">
        <v>40547</v>
      </c>
      <c r="C84">
        <v>14</v>
      </c>
      <c r="D84" t="b">
        <v>0</v>
      </c>
      <c r="E84" t="s">
        <v>25</v>
      </c>
      <c r="F84" t="s">
        <v>30</v>
      </c>
      <c r="G84">
        <v>0.26</v>
      </c>
      <c r="H84">
        <v>0.2576</v>
      </c>
      <c r="I84">
        <v>0.52</v>
      </c>
      <c r="J84">
        <v>0.22389999999999999</v>
      </c>
      <c r="K84">
        <v>9</v>
      </c>
      <c r="L84">
        <v>54</v>
      </c>
      <c r="M84">
        <v>63</v>
      </c>
    </row>
    <row r="85" spans="1:13" x14ac:dyDescent="0.3">
      <c r="A85">
        <v>84</v>
      </c>
      <c r="B85" s="1">
        <v>40547</v>
      </c>
      <c r="C85">
        <v>15</v>
      </c>
      <c r="D85" t="b">
        <v>0</v>
      </c>
      <c r="E85" t="s">
        <v>25</v>
      </c>
      <c r="F85" t="s">
        <v>30</v>
      </c>
      <c r="G85">
        <v>0.28000000000000003</v>
      </c>
      <c r="H85">
        <v>0.2727</v>
      </c>
      <c r="I85">
        <v>0.52</v>
      </c>
      <c r="J85">
        <v>0.25369999999999998</v>
      </c>
      <c r="K85">
        <v>17</v>
      </c>
      <c r="L85">
        <v>48</v>
      </c>
      <c r="M85">
        <v>65</v>
      </c>
    </row>
    <row r="86" spans="1:13" x14ac:dyDescent="0.3">
      <c r="A86">
        <v>85</v>
      </c>
      <c r="B86" s="1">
        <v>40547</v>
      </c>
      <c r="C86">
        <v>16</v>
      </c>
      <c r="D86" t="b">
        <v>0</v>
      </c>
      <c r="E86" t="s">
        <v>25</v>
      </c>
      <c r="F86" t="s">
        <v>30</v>
      </c>
      <c r="G86">
        <v>0.3</v>
      </c>
      <c r="H86">
        <v>0.28789999999999999</v>
      </c>
      <c r="I86">
        <v>0.49</v>
      </c>
      <c r="J86">
        <v>0.25369999999999998</v>
      </c>
      <c r="K86">
        <v>15</v>
      </c>
      <c r="L86">
        <v>68</v>
      </c>
      <c r="M86">
        <v>83</v>
      </c>
    </row>
    <row r="87" spans="1:13" x14ac:dyDescent="0.3">
      <c r="A87">
        <v>86</v>
      </c>
      <c r="B87" s="1">
        <v>40547</v>
      </c>
      <c r="C87">
        <v>17</v>
      </c>
      <c r="D87" t="b">
        <v>0</v>
      </c>
      <c r="E87" t="s">
        <v>25</v>
      </c>
      <c r="F87" t="s">
        <v>30</v>
      </c>
      <c r="G87">
        <v>0.28000000000000003</v>
      </c>
      <c r="H87">
        <v>0.2727</v>
      </c>
      <c r="I87">
        <v>0.48</v>
      </c>
      <c r="J87">
        <v>0.22389999999999999</v>
      </c>
      <c r="K87">
        <v>10</v>
      </c>
      <c r="L87">
        <v>202</v>
      </c>
      <c r="M87">
        <v>212</v>
      </c>
    </row>
    <row r="88" spans="1:13" x14ac:dyDescent="0.3">
      <c r="A88">
        <v>87</v>
      </c>
      <c r="B88" s="1">
        <v>40547</v>
      </c>
      <c r="C88">
        <v>18</v>
      </c>
      <c r="D88" t="b">
        <v>0</v>
      </c>
      <c r="E88" t="s">
        <v>25</v>
      </c>
      <c r="F88" t="s">
        <v>30</v>
      </c>
      <c r="G88">
        <v>0.26</v>
      </c>
      <c r="H88">
        <v>0.2576</v>
      </c>
      <c r="I88">
        <v>0.48</v>
      </c>
      <c r="J88">
        <v>0.19400000000000001</v>
      </c>
      <c r="K88">
        <v>3</v>
      </c>
      <c r="L88">
        <v>179</v>
      </c>
      <c r="M88">
        <v>182</v>
      </c>
    </row>
    <row r="89" spans="1:13" x14ac:dyDescent="0.3">
      <c r="A89">
        <v>88</v>
      </c>
      <c r="B89" s="1">
        <v>40547</v>
      </c>
      <c r="C89">
        <v>19</v>
      </c>
      <c r="D89" t="b">
        <v>0</v>
      </c>
      <c r="E89" t="s">
        <v>25</v>
      </c>
      <c r="F89" t="s">
        <v>30</v>
      </c>
      <c r="G89">
        <v>0.24</v>
      </c>
      <c r="H89">
        <v>0.2576</v>
      </c>
      <c r="I89">
        <v>0.48</v>
      </c>
      <c r="J89">
        <v>0.1045</v>
      </c>
      <c r="K89">
        <v>2</v>
      </c>
      <c r="L89">
        <v>110</v>
      </c>
      <c r="M89">
        <v>112</v>
      </c>
    </row>
    <row r="90" spans="1:13" x14ac:dyDescent="0.3">
      <c r="A90">
        <v>89</v>
      </c>
      <c r="B90" s="1">
        <v>40547</v>
      </c>
      <c r="C90">
        <v>20</v>
      </c>
      <c r="D90" t="b">
        <v>0</v>
      </c>
      <c r="E90" t="s">
        <v>25</v>
      </c>
      <c r="F90" t="s">
        <v>30</v>
      </c>
      <c r="G90">
        <v>0.24</v>
      </c>
      <c r="H90">
        <v>0.2576</v>
      </c>
      <c r="I90">
        <v>0.48</v>
      </c>
      <c r="J90">
        <v>0.1045</v>
      </c>
      <c r="K90">
        <v>1</v>
      </c>
      <c r="L90">
        <v>53</v>
      </c>
      <c r="M90">
        <v>54</v>
      </c>
    </row>
    <row r="91" spans="1:13" x14ac:dyDescent="0.3">
      <c r="A91">
        <v>90</v>
      </c>
      <c r="B91" s="1">
        <v>40547</v>
      </c>
      <c r="C91">
        <v>21</v>
      </c>
      <c r="D91" t="b">
        <v>0</v>
      </c>
      <c r="E91" t="s">
        <v>25</v>
      </c>
      <c r="F91" t="s">
        <v>30</v>
      </c>
      <c r="G91">
        <v>0.22</v>
      </c>
      <c r="H91">
        <v>0.2727</v>
      </c>
      <c r="I91">
        <v>0.64</v>
      </c>
      <c r="J91">
        <v>0</v>
      </c>
      <c r="K91">
        <v>0</v>
      </c>
      <c r="L91">
        <v>48</v>
      </c>
      <c r="M91">
        <v>48</v>
      </c>
    </row>
    <row r="92" spans="1:13" x14ac:dyDescent="0.3">
      <c r="A92">
        <v>91</v>
      </c>
      <c r="B92" s="1">
        <v>40547</v>
      </c>
      <c r="C92">
        <v>22</v>
      </c>
      <c r="D92" t="b">
        <v>0</v>
      </c>
      <c r="E92" t="s">
        <v>25</v>
      </c>
      <c r="F92" t="s">
        <v>30</v>
      </c>
      <c r="G92">
        <v>0.22</v>
      </c>
      <c r="H92">
        <v>0.2576</v>
      </c>
      <c r="I92">
        <v>0.64</v>
      </c>
      <c r="J92">
        <v>8.9599999999999999E-2</v>
      </c>
      <c r="K92">
        <v>1</v>
      </c>
      <c r="L92">
        <v>34</v>
      </c>
      <c r="M92">
        <v>35</v>
      </c>
    </row>
    <row r="93" spans="1:13" x14ac:dyDescent="0.3">
      <c r="A93">
        <v>92</v>
      </c>
      <c r="B93" s="1">
        <v>40547</v>
      </c>
      <c r="C93">
        <v>23</v>
      </c>
      <c r="D93" t="b">
        <v>0</v>
      </c>
      <c r="E93" t="s">
        <v>25</v>
      </c>
      <c r="F93" t="s">
        <v>30</v>
      </c>
      <c r="G93">
        <v>0.2</v>
      </c>
      <c r="H93">
        <v>0.2273</v>
      </c>
      <c r="I93">
        <v>0.69</v>
      </c>
      <c r="J93">
        <v>8.9599999999999999E-2</v>
      </c>
      <c r="K93">
        <v>2</v>
      </c>
      <c r="L93">
        <v>9</v>
      </c>
      <c r="M93">
        <v>11</v>
      </c>
    </row>
    <row r="94" spans="1:13" x14ac:dyDescent="0.3">
      <c r="A94">
        <v>93</v>
      </c>
      <c r="B94" s="1">
        <v>40548</v>
      </c>
      <c r="C94">
        <v>0</v>
      </c>
      <c r="D94" t="b">
        <v>0</v>
      </c>
      <c r="E94" t="s">
        <v>26</v>
      </c>
      <c r="F94" t="s">
        <v>30</v>
      </c>
      <c r="G94">
        <v>0.2</v>
      </c>
      <c r="H94">
        <v>0.2576</v>
      </c>
      <c r="I94">
        <v>0.64</v>
      </c>
      <c r="J94">
        <v>0</v>
      </c>
      <c r="K94">
        <v>0</v>
      </c>
      <c r="L94">
        <v>6</v>
      </c>
      <c r="M94">
        <v>6</v>
      </c>
    </row>
    <row r="95" spans="1:13" x14ac:dyDescent="0.3">
      <c r="A95">
        <v>94</v>
      </c>
      <c r="B95" s="1">
        <v>40548</v>
      </c>
      <c r="C95">
        <v>1</v>
      </c>
      <c r="D95" t="b">
        <v>0</v>
      </c>
      <c r="E95" t="s">
        <v>26</v>
      </c>
      <c r="F95" t="s">
        <v>30</v>
      </c>
      <c r="G95">
        <v>0.16</v>
      </c>
      <c r="H95">
        <v>0.19700000000000001</v>
      </c>
      <c r="I95">
        <v>0.74</v>
      </c>
      <c r="J95">
        <v>8.9599999999999999E-2</v>
      </c>
      <c r="K95">
        <v>0</v>
      </c>
      <c r="L95">
        <v>6</v>
      </c>
      <c r="M95">
        <v>6</v>
      </c>
    </row>
    <row r="96" spans="1:13" x14ac:dyDescent="0.3">
      <c r="A96">
        <v>95</v>
      </c>
      <c r="B96" s="1">
        <v>40548</v>
      </c>
      <c r="C96">
        <v>2</v>
      </c>
      <c r="D96" t="b">
        <v>0</v>
      </c>
      <c r="E96" t="s">
        <v>26</v>
      </c>
      <c r="F96" t="s">
        <v>30</v>
      </c>
      <c r="G96">
        <v>0.16</v>
      </c>
      <c r="H96">
        <v>0.19700000000000001</v>
      </c>
      <c r="I96">
        <v>0.74</v>
      </c>
      <c r="J96">
        <v>8.9599999999999999E-2</v>
      </c>
      <c r="K96">
        <v>0</v>
      </c>
      <c r="L96">
        <v>2</v>
      </c>
      <c r="M96">
        <v>2</v>
      </c>
    </row>
    <row r="97" spans="1:13" x14ac:dyDescent="0.3">
      <c r="A97">
        <v>96</v>
      </c>
      <c r="B97" s="1">
        <v>40548</v>
      </c>
      <c r="C97">
        <v>4</v>
      </c>
      <c r="D97" t="b">
        <v>0</v>
      </c>
      <c r="E97" t="s">
        <v>26</v>
      </c>
      <c r="F97" t="s">
        <v>30</v>
      </c>
      <c r="G97">
        <v>0.24</v>
      </c>
      <c r="H97">
        <v>0.2273</v>
      </c>
      <c r="I97">
        <v>0.48</v>
      </c>
      <c r="J97">
        <v>0.22389999999999999</v>
      </c>
      <c r="K97">
        <v>0</v>
      </c>
      <c r="L97">
        <v>2</v>
      </c>
      <c r="M97">
        <v>2</v>
      </c>
    </row>
    <row r="98" spans="1:13" x14ac:dyDescent="0.3">
      <c r="A98">
        <v>97</v>
      </c>
      <c r="B98" s="1">
        <v>40548</v>
      </c>
      <c r="C98">
        <v>5</v>
      </c>
      <c r="D98" t="b">
        <v>0</v>
      </c>
      <c r="E98" t="s">
        <v>26</v>
      </c>
      <c r="F98" t="s">
        <v>30</v>
      </c>
      <c r="G98">
        <v>0.22</v>
      </c>
      <c r="H98">
        <v>0.2273</v>
      </c>
      <c r="I98">
        <v>0.47</v>
      </c>
      <c r="J98">
        <v>0.16420000000000001</v>
      </c>
      <c r="K98">
        <v>0</v>
      </c>
      <c r="L98">
        <v>3</v>
      </c>
      <c r="M98">
        <v>3</v>
      </c>
    </row>
    <row r="99" spans="1:13" x14ac:dyDescent="0.3">
      <c r="A99">
        <v>98</v>
      </c>
      <c r="B99" s="1">
        <v>40548</v>
      </c>
      <c r="C99">
        <v>6</v>
      </c>
      <c r="D99" t="b">
        <v>0</v>
      </c>
      <c r="E99" t="s">
        <v>26</v>
      </c>
      <c r="F99" t="s">
        <v>30</v>
      </c>
      <c r="G99">
        <v>0.2</v>
      </c>
      <c r="H99">
        <v>0.19700000000000001</v>
      </c>
      <c r="I99">
        <v>0.47</v>
      </c>
      <c r="J99">
        <v>0.22389999999999999</v>
      </c>
      <c r="K99">
        <v>0</v>
      </c>
      <c r="L99">
        <v>33</v>
      </c>
      <c r="M99">
        <v>33</v>
      </c>
    </row>
    <row r="100" spans="1:13" x14ac:dyDescent="0.3">
      <c r="A100">
        <v>99</v>
      </c>
      <c r="B100" s="1">
        <v>40548</v>
      </c>
      <c r="C100">
        <v>7</v>
      </c>
      <c r="D100" t="b">
        <v>0</v>
      </c>
      <c r="E100" t="s">
        <v>26</v>
      </c>
      <c r="F100" t="s">
        <v>30</v>
      </c>
      <c r="G100">
        <v>0.18</v>
      </c>
      <c r="H100">
        <v>0.18179999999999999</v>
      </c>
      <c r="I100">
        <v>0.43</v>
      </c>
      <c r="J100">
        <v>0.19400000000000001</v>
      </c>
      <c r="K100">
        <v>1</v>
      </c>
      <c r="L100">
        <v>87</v>
      </c>
      <c r="M100">
        <v>88</v>
      </c>
    </row>
    <row r="101" spans="1:13" x14ac:dyDescent="0.3">
      <c r="A101">
        <v>100</v>
      </c>
      <c r="B101" s="1">
        <v>40548</v>
      </c>
      <c r="C101">
        <v>8</v>
      </c>
      <c r="D101" t="b">
        <v>0</v>
      </c>
      <c r="E101" t="s">
        <v>26</v>
      </c>
      <c r="F101" t="s">
        <v>30</v>
      </c>
      <c r="G101">
        <v>0.2</v>
      </c>
      <c r="H101">
        <v>0.18179999999999999</v>
      </c>
      <c r="I101">
        <v>0.4</v>
      </c>
      <c r="J101">
        <v>0.29849999999999999</v>
      </c>
      <c r="K101">
        <v>3</v>
      </c>
      <c r="L101">
        <v>192</v>
      </c>
      <c r="M101">
        <v>195</v>
      </c>
    </row>
    <row r="102" spans="1:13" x14ac:dyDescent="0.3">
      <c r="A102">
        <v>101</v>
      </c>
      <c r="B102" s="1">
        <v>40548</v>
      </c>
      <c r="C102">
        <v>9</v>
      </c>
      <c r="D102" t="b">
        <v>0</v>
      </c>
      <c r="E102" t="s">
        <v>26</v>
      </c>
      <c r="F102" t="s">
        <v>30</v>
      </c>
      <c r="G102">
        <v>0.22</v>
      </c>
      <c r="H102">
        <v>0.19700000000000001</v>
      </c>
      <c r="I102">
        <v>0.37</v>
      </c>
      <c r="J102">
        <v>0.32840000000000003</v>
      </c>
      <c r="K102">
        <v>6</v>
      </c>
      <c r="L102">
        <v>109</v>
      </c>
      <c r="M102">
        <v>115</v>
      </c>
    </row>
    <row r="103" spans="1:13" x14ac:dyDescent="0.3">
      <c r="A103">
        <v>102</v>
      </c>
      <c r="B103" s="1">
        <v>40548</v>
      </c>
      <c r="C103">
        <v>10</v>
      </c>
      <c r="D103" t="b">
        <v>0</v>
      </c>
      <c r="E103" t="s">
        <v>26</v>
      </c>
      <c r="F103" t="s">
        <v>30</v>
      </c>
      <c r="G103">
        <v>0.22</v>
      </c>
      <c r="H103">
        <v>0.19700000000000001</v>
      </c>
      <c r="I103">
        <v>0.37</v>
      </c>
      <c r="J103">
        <v>0.32840000000000003</v>
      </c>
      <c r="K103">
        <v>4</v>
      </c>
      <c r="L103">
        <v>53</v>
      </c>
      <c r="M103">
        <v>57</v>
      </c>
    </row>
    <row r="104" spans="1:13" x14ac:dyDescent="0.3">
      <c r="A104">
        <v>103</v>
      </c>
      <c r="B104" s="1">
        <v>40548</v>
      </c>
      <c r="C104">
        <v>11</v>
      </c>
      <c r="D104" t="b">
        <v>0</v>
      </c>
      <c r="E104" t="s">
        <v>26</v>
      </c>
      <c r="F104" t="s">
        <v>30</v>
      </c>
      <c r="G104">
        <v>0.26</v>
      </c>
      <c r="H104">
        <v>0.2273</v>
      </c>
      <c r="I104">
        <v>0.33</v>
      </c>
      <c r="J104">
        <v>0.32840000000000003</v>
      </c>
      <c r="K104">
        <v>12</v>
      </c>
      <c r="L104">
        <v>34</v>
      </c>
      <c r="M104">
        <v>46</v>
      </c>
    </row>
    <row r="105" spans="1:13" x14ac:dyDescent="0.3">
      <c r="A105">
        <v>104</v>
      </c>
      <c r="B105" s="1">
        <v>40548</v>
      </c>
      <c r="C105">
        <v>12</v>
      </c>
      <c r="D105" t="b">
        <v>0</v>
      </c>
      <c r="E105" t="s">
        <v>26</v>
      </c>
      <c r="F105" t="s">
        <v>30</v>
      </c>
      <c r="G105">
        <v>0.26</v>
      </c>
      <c r="H105">
        <v>0.2273</v>
      </c>
      <c r="I105">
        <v>0.33</v>
      </c>
      <c r="J105">
        <v>0.32840000000000003</v>
      </c>
      <c r="K105">
        <v>5</v>
      </c>
      <c r="L105">
        <v>74</v>
      </c>
      <c r="M105">
        <v>79</v>
      </c>
    </row>
    <row r="106" spans="1:13" x14ac:dyDescent="0.3">
      <c r="A106">
        <v>105</v>
      </c>
      <c r="B106" s="1">
        <v>40548</v>
      </c>
      <c r="C106">
        <v>13</v>
      </c>
      <c r="D106" t="b">
        <v>0</v>
      </c>
      <c r="E106" t="s">
        <v>26</v>
      </c>
      <c r="F106" t="s">
        <v>30</v>
      </c>
      <c r="G106">
        <v>0.28000000000000003</v>
      </c>
      <c r="H106">
        <v>0.2576</v>
      </c>
      <c r="I106">
        <v>0.3</v>
      </c>
      <c r="J106">
        <v>0.29849999999999999</v>
      </c>
      <c r="K106">
        <v>6</v>
      </c>
      <c r="L106">
        <v>65</v>
      </c>
      <c r="M106">
        <v>71</v>
      </c>
    </row>
    <row r="107" spans="1:13" x14ac:dyDescent="0.3">
      <c r="A107">
        <v>106</v>
      </c>
      <c r="B107" s="1">
        <v>40548</v>
      </c>
      <c r="C107">
        <v>14</v>
      </c>
      <c r="D107" t="b">
        <v>0</v>
      </c>
      <c r="E107" t="s">
        <v>26</v>
      </c>
      <c r="F107" t="s">
        <v>30</v>
      </c>
      <c r="G107">
        <v>0.3</v>
      </c>
      <c r="H107">
        <v>0.28789999999999999</v>
      </c>
      <c r="I107">
        <v>0.28000000000000003</v>
      </c>
      <c r="J107">
        <v>0.19400000000000001</v>
      </c>
      <c r="K107">
        <v>10</v>
      </c>
      <c r="L107">
        <v>52</v>
      </c>
      <c r="M107">
        <v>62</v>
      </c>
    </row>
    <row r="108" spans="1:13" x14ac:dyDescent="0.3">
      <c r="A108">
        <v>107</v>
      </c>
      <c r="B108" s="1">
        <v>40548</v>
      </c>
      <c r="C108">
        <v>15</v>
      </c>
      <c r="D108" t="b">
        <v>0</v>
      </c>
      <c r="E108" t="s">
        <v>26</v>
      </c>
      <c r="F108" t="s">
        <v>30</v>
      </c>
      <c r="G108">
        <v>0.3</v>
      </c>
      <c r="H108">
        <v>0.28789999999999999</v>
      </c>
      <c r="I108">
        <v>0.28000000000000003</v>
      </c>
      <c r="J108">
        <v>0.19400000000000001</v>
      </c>
      <c r="K108">
        <v>7</v>
      </c>
      <c r="L108">
        <v>55</v>
      </c>
      <c r="M108">
        <v>62</v>
      </c>
    </row>
    <row r="109" spans="1:13" x14ac:dyDescent="0.3">
      <c r="A109">
        <v>108</v>
      </c>
      <c r="B109" s="1">
        <v>40548</v>
      </c>
      <c r="C109">
        <v>16</v>
      </c>
      <c r="D109" t="b">
        <v>0</v>
      </c>
      <c r="E109" t="s">
        <v>26</v>
      </c>
      <c r="F109" t="s">
        <v>30</v>
      </c>
      <c r="G109">
        <v>0.3</v>
      </c>
      <c r="H109">
        <v>0.31819999999999998</v>
      </c>
      <c r="I109">
        <v>0.28000000000000003</v>
      </c>
      <c r="J109">
        <v>8.9599999999999999E-2</v>
      </c>
      <c r="K109">
        <v>4</v>
      </c>
      <c r="L109">
        <v>85</v>
      </c>
      <c r="M109">
        <v>89</v>
      </c>
    </row>
    <row r="110" spans="1:13" x14ac:dyDescent="0.3">
      <c r="A110">
        <v>109</v>
      </c>
      <c r="B110" s="1">
        <v>40548</v>
      </c>
      <c r="C110">
        <v>17</v>
      </c>
      <c r="D110" t="b">
        <v>0</v>
      </c>
      <c r="E110" t="s">
        <v>26</v>
      </c>
      <c r="F110" t="s">
        <v>30</v>
      </c>
      <c r="G110">
        <v>0.24</v>
      </c>
      <c r="H110">
        <v>0.2273</v>
      </c>
      <c r="I110">
        <v>0.38</v>
      </c>
      <c r="J110">
        <v>0.19400000000000001</v>
      </c>
      <c r="K110">
        <v>4</v>
      </c>
      <c r="L110">
        <v>186</v>
      </c>
      <c r="M110">
        <v>190</v>
      </c>
    </row>
    <row r="111" spans="1:13" x14ac:dyDescent="0.3">
      <c r="A111">
        <v>110</v>
      </c>
      <c r="B111" s="1">
        <v>40548</v>
      </c>
      <c r="C111">
        <v>18</v>
      </c>
      <c r="D111" t="b">
        <v>0</v>
      </c>
      <c r="E111" t="s">
        <v>26</v>
      </c>
      <c r="F111" t="s">
        <v>30</v>
      </c>
      <c r="G111">
        <v>0.24</v>
      </c>
      <c r="H111">
        <v>0.2424</v>
      </c>
      <c r="I111">
        <v>0.38</v>
      </c>
      <c r="J111">
        <v>0.1343</v>
      </c>
      <c r="K111">
        <v>3</v>
      </c>
      <c r="L111">
        <v>166</v>
      </c>
      <c r="M111">
        <v>169</v>
      </c>
    </row>
    <row r="112" spans="1:13" x14ac:dyDescent="0.3">
      <c r="A112">
        <v>111</v>
      </c>
      <c r="B112" s="1">
        <v>40548</v>
      </c>
      <c r="C112">
        <v>19</v>
      </c>
      <c r="D112" t="b">
        <v>0</v>
      </c>
      <c r="E112" t="s">
        <v>26</v>
      </c>
      <c r="F112" t="s">
        <v>30</v>
      </c>
      <c r="G112">
        <v>0.24</v>
      </c>
      <c r="H112">
        <v>0.2576</v>
      </c>
      <c r="I112">
        <v>0.38</v>
      </c>
      <c r="J112">
        <v>0.1045</v>
      </c>
      <c r="K112">
        <v>5</v>
      </c>
      <c r="L112">
        <v>127</v>
      </c>
      <c r="M112">
        <v>132</v>
      </c>
    </row>
    <row r="113" spans="1:13" x14ac:dyDescent="0.3">
      <c r="A113">
        <v>112</v>
      </c>
      <c r="B113" s="1">
        <v>40548</v>
      </c>
      <c r="C113">
        <v>20</v>
      </c>
      <c r="D113" t="b">
        <v>0</v>
      </c>
      <c r="E113" t="s">
        <v>26</v>
      </c>
      <c r="F113" t="s">
        <v>30</v>
      </c>
      <c r="G113">
        <v>0.22</v>
      </c>
      <c r="H113">
        <v>0.2273</v>
      </c>
      <c r="I113">
        <v>0.47</v>
      </c>
      <c r="J113">
        <v>0.16420000000000001</v>
      </c>
      <c r="K113">
        <v>7</v>
      </c>
      <c r="L113">
        <v>82</v>
      </c>
      <c r="M113">
        <v>89</v>
      </c>
    </row>
    <row r="114" spans="1:13" x14ac:dyDescent="0.3">
      <c r="A114">
        <v>113</v>
      </c>
      <c r="B114" s="1">
        <v>40548</v>
      </c>
      <c r="C114">
        <v>21</v>
      </c>
      <c r="D114" t="b">
        <v>0</v>
      </c>
      <c r="E114" t="s">
        <v>26</v>
      </c>
      <c r="F114" t="s">
        <v>30</v>
      </c>
      <c r="G114">
        <v>0.2</v>
      </c>
      <c r="H114">
        <v>0.19700000000000001</v>
      </c>
      <c r="I114">
        <v>0.51</v>
      </c>
      <c r="J114">
        <v>0.19400000000000001</v>
      </c>
      <c r="K114">
        <v>3</v>
      </c>
      <c r="L114">
        <v>40</v>
      </c>
      <c r="M114">
        <v>43</v>
      </c>
    </row>
    <row r="115" spans="1:13" x14ac:dyDescent="0.3">
      <c r="A115">
        <v>114</v>
      </c>
      <c r="B115" s="1">
        <v>40548</v>
      </c>
      <c r="C115">
        <v>22</v>
      </c>
      <c r="D115" t="b">
        <v>0</v>
      </c>
      <c r="E115" t="s">
        <v>26</v>
      </c>
      <c r="F115" t="s">
        <v>30</v>
      </c>
      <c r="G115">
        <v>0.18</v>
      </c>
      <c r="H115">
        <v>0.19700000000000001</v>
      </c>
      <c r="I115">
        <v>0.55000000000000004</v>
      </c>
      <c r="J115">
        <v>0.1343</v>
      </c>
      <c r="K115">
        <v>1</v>
      </c>
      <c r="L115">
        <v>41</v>
      </c>
      <c r="M115">
        <v>42</v>
      </c>
    </row>
    <row r="116" spans="1:13" x14ac:dyDescent="0.3">
      <c r="A116">
        <v>115</v>
      </c>
      <c r="B116" s="1">
        <v>40548</v>
      </c>
      <c r="C116">
        <v>23</v>
      </c>
      <c r="D116" t="b">
        <v>0</v>
      </c>
      <c r="E116" t="s">
        <v>26</v>
      </c>
      <c r="F116" t="s">
        <v>30</v>
      </c>
      <c r="G116">
        <v>0.2</v>
      </c>
      <c r="H116">
        <v>0.2576</v>
      </c>
      <c r="I116">
        <v>0.47</v>
      </c>
      <c r="J116">
        <v>0</v>
      </c>
      <c r="K116">
        <v>1</v>
      </c>
      <c r="L116">
        <v>18</v>
      </c>
      <c r="M116">
        <v>19</v>
      </c>
    </row>
    <row r="117" spans="1:13" x14ac:dyDescent="0.3">
      <c r="A117">
        <v>116</v>
      </c>
      <c r="B117" s="1">
        <v>40549</v>
      </c>
      <c r="C117">
        <v>0</v>
      </c>
      <c r="D117" t="b">
        <v>0</v>
      </c>
      <c r="E117" t="s">
        <v>27</v>
      </c>
      <c r="F117" t="s">
        <v>30</v>
      </c>
      <c r="G117">
        <v>0.18</v>
      </c>
      <c r="H117">
        <v>0.2424</v>
      </c>
      <c r="I117">
        <v>0.55000000000000004</v>
      </c>
      <c r="J117">
        <v>0</v>
      </c>
      <c r="K117">
        <v>0</v>
      </c>
      <c r="L117">
        <v>11</v>
      </c>
      <c r="M117">
        <v>11</v>
      </c>
    </row>
    <row r="118" spans="1:13" x14ac:dyDescent="0.3">
      <c r="A118">
        <v>117</v>
      </c>
      <c r="B118" s="1">
        <v>40549</v>
      </c>
      <c r="C118">
        <v>1</v>
      </c>
      <c r="D118" t="b">
        <v>0</v>
      </c>
      <c r="E118" t="s">
        <v>27</v>
      </c>
      <c r="F118" t="s">
        <v>30</v>
      </c>
      <c r="G118">
        <v>0.16</v>
      </c>
      <c r="H118">
        <v>0.2273</v>
      </c>
      <c r="I118">
        <v>0.64</v>
      </c>
      <c r="J118">
        <v>0</v>
      </c>
      <c r="K118">
        <v>0</v>
      </c>
      <c r="L118">
        <v>4</v>
      </c>
      <c r="M118">
        <v>4</v>
      </c>
    </row>
    <row r="119" spans="1:13" x14ac:dyDescent="0.3">
      <c r="A119">
        <v>118</v>
      </c>
      <c r="B119" s="1">
        <v>40549</v>
      </c>
      <c r="C119">
        <v>2</v>
      </c>
      <c r="D119" t="b">
        <v>0</v>
      </c>
      <c r="E119" t="s">
        <v>27</v>
      </c>
      <c r="F119" t="s">
        <v>30</v>
      </c>
      <c r="G119">
        <v>0.16</v>
      </c>
      <c r="H119">
        <v>0.2273</v>
      </c>
      <c r="I119">
        <v>0.64</v>
      </c>
      <c r="J119">
        <v>0</v>
      </c>
      <c r="K119">
        <v>0</v>
      </c>
      <c r="L119">
        <v>2</v>
      </c>
      <c r="M119">
        <v>2</v>
      </c>
    </row>
    <row r="120" spans="1:13" x14ac:dyDescent="0.3">
      <c r="A120">
        <v>119</v>
      </c>
      <c r="B120" s="1">
        <v>40549</v>
      </c>
      <c r="C120">
        <v>4</v>
      </c>
      <c r="D120" t="b">
        <v>0</v>
      </c>
      <c r="E120" t="s">
        <v>27</v>
      </c>
      <c r="F120" t="s">
        <v>31</v>
      </c>
      <c r="G120">
        <v>0.16</v>
      </c>
      <c r="H120">
        <v>0.19700000000000001</v>
      </c>
      <c r="I120">
        <v>0.64</v>
      </c>
      <c r="J120">
        <v>8.9599999999999999E-2</v>
      </c>
      <c r="K120">
        <v>0</v>
      </c>
      <c r="L120">
        <v>1</v>
      </c>
      <c r="M120">
        <v>1</v>
      </c>
    </row>
    <row r="121" spans="1:13" x14ac:dyDescent="0.3">
      <c r="A121">
        <v>120</v>
      </c>
      <c r="B121" s="1">
        <v>40549</v>
      </c>
      <c r="C121">
        <v>5</v>
      </c>
      <c r="D121" t="b">
        <v>0</v>
      </c>
      <c r="E121" t="s">
        <v>27</v>
      </c>
      <c r="F121" t="s">
        <v>31</v>
      </c>
      <c r="G121">
        <v>0.14000000000000001</v>
      </c>
      <c r="H121">
        <v>0.18179999999999999</v>
      </c>
      <c r="I121">
        <v>0.69</v>
      </c>
      <c r="J121">
        <v>8.9599999999999999E-2</v>
      </c>
      <c r="K121">
        <v>0</v>
      </c>
      <c r="L121">
        <v>4</v>
      </c>
      <c r="M121">
        <v>4</v>
      </c>
    </row>
    <row r="122" spans="1:13" x14ac:dyDescent="0.3">
      <c r="A122">
        <v>121</v>
      </c>
      <c r="B122" s="1">
        <v>40549</v>
      </c>
      <c r="C122">
        <v>6</v>
      </c>
      <c r="D122" t="b">
        <v>0</v>
      </c>
      <c r="E122" t="s">
        <v>27</v>
      </c>
      <c r="F122" t="s">
        <v>31</v>
      </c>
      <c r="G122">
        <v>0.14000000000000001</v>
      </c>
      <c r="H122">
        <v>0.16669999999999999</v>
      </c>
      <c r="I122">
        <v>0.63</v>
      </c>
      <c r="J122">
        <v>0.1045</v>
      </c>
      <c r="K122">
        <v>0</v>
      </c>
      <c r="L122">
        <v>36</v>
      </c>
      <c r="M122">
        <v>36</v>
      </c>
    </row>
    <row r="123" spans="1:13" x14ac:dyDescent="0.3">
      <c r="A123">
        <v>122</v>
      </c>
      <c r="B123" s="1">
        <v>40549</v>
      </c>
      <c r="C123">
        <v>7</v>
      </c>
      <c r="D123" t="b">
        <v>0</v>
      </c>
      <c r="E123" t="s">
        <v>27</v>
      </c>
      <c r="F123" t="s">
        <v>31</v>
      </c>
      <c r="G123">
        <v>0.16</v>
      </c>
      <c r="H123">
        <v>0.2273</v>
      </c>
      <c r="I123">
        <v>0.59</v>
      </c>
      <c r="J123">
        <v>0</v>
      </c>
      <c r="K123">
        <v>0</v>
      </c>
      <c r="L123">
        <v>95</v>
      </c>
      <c r="M123">
        <v>95</v>
      </c>
    </row>
    <row r="124" spans="1:13" x14ac:dyDescent="0.3">
      <c r="A124">
        <v>123</v>
      </c>
      <c r="B124" s="1">
        <v>40549</v>
      </c>
      <c r="C124">
        <v>8</v>
      </c>
      <c r="D124" t="b">
        <v>0</v>
      </c>
      <c r="E124" t="s">
        <v>27</v>
      </c>
      <c r="F124" t="s">
        <v>30</v>
      </c>
      <c r="G124">
        <v>0.16</v>
      </c>
      <c r="H124">
        <v>0.2273</v>
      </c>
      <c r="I124">
        <v>0.59</v>
      </c>
      <c r="J124">
        <v>0</v>
      </c>
      <c r="K124">
        <v>3</v>
      </c>
      <c r="L124">
        <v>216</v>
      </c>
      <c r="M124">
        <v>219</v>
      </c>
    </row>
    <row r="125" spans="1:13" x14ac:dyDescent="0.3">
      <c r="A125">
        <v>124</v>
      </c>
      <c r="B125" s="1">
        <v>40549</v>
      </c>
      <c r="C125">
        <v>9</v>
      </c>
      <c r="D125" t="b">
        <v>0</v>
      </c>
      <c r="E125" t="s">
        <v>27</v>
      </c>
      <c r="F125" t="s">
        <v>31</v>
      </c>
      <c r="G125">
        <v>0.18</v>
      </c>
      <c r="H125">
        <v>0.2424</v>
      </c>
      <c r="I125">
        <v>0.51</v>
      </c>
      <c r="J125">
        <v>0</v>
      </c>
      <c r="K125">
        <v>6</v>
      </c>
      <c r="L125">
        <v>116</v>
      </c>
      <c r="M125">
        <v>122</v>
      </c>
    </row>
    <row r="126" spans="1:13" x14ac:dyDescent="0.3">
      <c r="A126">
        <v>125</v>
      </c>
      <c r="B126" s="1">
        <v>40549</v>
      </c>
      <c r="C126">
        <v>10</v>
      </c>
      <c r="D126" t="b">
        <v>0</v>
      </c>
      <c r="E126" t="s">
        <v>27</v>
      </c>
      <c r="F126" t="s">
        <v>30</v>
      </c>
      <c r="G126">
        <v>0.2</v>
      </c>
      <c r="H126">
        <v>0.2576</v>
      </c>
      <c r="I126">
        <v>0.47</v>
      </c>
      <c r="J126">
        <v>0</v>
      </c>
      <c r="K126">
        <v>3</v>
      </c>
      <c r="L126">
        <v>42</v>
      </c>
      <c r="M126">
        <v>45</v>
      </c>
    </row>
    <row r="127" spans="1:13" x14ac:dyDescent="0.3">
      <c r="A127">
        <v>126</v>
      </c>
      <c r="B127" s="1">
        <v>40549</v>
      </c>
      <c r="C127">
        <v>11</v>
      </c>
      <c r="D127" t="b">
        <v>0</v>
      </c>
      <c r="E127" t="s">
        <v>27</v>
      </c>
      <c r="F127" t="s">
        <v>30</v>
      </c>
      <c r="G127">
        <v>0.22</v>
      </c>
      <c r="H127">
        <v>0.2576</v>
      </c>
      <c r="I127">
        <v>0.44</v>
      </c>
      <c r="J127">
        <v>8.9599999999999999E-2</v>
      </c>
      <c r="K127">
        <v>2</v>
      </c>
      <c r="L127">
        <v>57</v>
      </c>
      <c r="M127">
        <v>59</v>
      </c>
    </row>
    <row r="128" spans="1:13" x14ac:dyDescent="0.3">
      <c r="A128">
        <v>127</v>
      </c>
      <c r="B128" s="1">
        <v>40549</v>
      </c>
      <c r="C128">
        <v>12</v>
      </c>
      <c r="D128" t="b">
        <v>0</v>
      </c>
      <c r="E128" t="s">
        <v>27</v>
      </c>
      <c r="F128" t="s">
        <v>30</v>
      </c>
      <c r="G128">
        <v>0.26</v>
      </c>
      <c r="H128">
        <v>0.28789999999999999</v>
      </c>
      <c r="I128">
        <v>0.35</v>
      </c>
      <c r="J128">
        <v>0</v>
      </c>
      <c r="K128">
        <v>6</v>
      </c>
      <c r="L128">
        <v>78</v>
      </c>
      <c r="M128">
        <v>84</v>
      </c>
    </row>
    <row r="129" spans="1:13" x14ac:dyDescent="0.3">
      <c r="A129">
        <v>128</v>
      </c>
      <c r="B129" s="1">
        <v>40549</v>
      </c>
      <c r="C129">
        <v>13</v>
      </c>
      <c r="D129" t="b">
        <v>0</v>
      </c>
      <c r="E129" t="s">
        <v>27</v>
      </c>
      <c r="F129" t="s">
        <v>30</v>
      </c>
      <c r="G129">
        <v>0.26</v>
      </c>
      <c r="H129">
        <v>0.2727</v>
      </c>
      <c r="I129">
        <v>0.35</v>
      </c>
      <c r="J129">
        <v>0.1045</v>
      </c>
      <c r="K129">
        <v>12</v>
      </c>
      <c r="L129">
        <v>55</v>
      </c>
      <c r="M129">
        <v>67</v>
      </c>
    </row>
    <row r="130" spans="1:13" x14ac:dyDescent="0.3">
      <c r="A130">
        <v>129</v>
      </c>
      <c r="B130" s="1">
        <v>40549</v>
      </c>
      <c r="C130">
        <v>14</v>
      </c>
      <c r="D130" t="b">
        <v>0</v>
      </c>
      <c r="E130" t="s">
        <v>27</v>
      </c>
      <c r="F130" t="s">
        <v>30</v>
      </c>
      <c r="G130">
        <v>0.28000000000000003</v>
      </c>
      <c r="H130">
        <v>0.2727</v>
      </c>
      <c r="I130">
        <v>0.36</v>
      </c>
      <c r="J130">
        <v>0.16420000000000001</v>
      </c>
      <c r="K130">
        <v>11</v>
      </c>
      <c r="L130">
        <v>59</v>
      </c>
      <c r="M130">
        <v>70</v>
      </c>
    </row>
    <row r="131" spans="1:13" x14ac:dyDescent="0.3">
      <c r="A131">
        <v>130</v>
      </c>
      <c r="B131" s="1">
        <v>40549</v>
      </c>
      <c r="C131">
        <v>15</v>
      </c>
      <c r="D131" t="b">
        <v>0</v>
      </c>
      <c r="E131" t="s">
        <v>27</v>
      </c>
      <c r="F131" t="s">
        <v>30</v>
      </c>
      <c r="G131">
        <v>0.28000000000000003</v>
      </c>
      <c r="H131">
        <v>0.2727</v>
      </c>
      <c r="I131">
        <v>0.36</v>
      </c>
      <c r="J131">
        <v>0</v>
      </c>
      <c r="K131">
        <v>8</v>
      </c>
      <c r="L131">
        <v>54</v>
      </c>
      <c r="M131">
        <v>62</v>
      </c>
    </row>
    <row r="132" spans="1:13" x14ac:dyDescent="0.3">
      <c r="A132">
        <v>131</v>
      </c>
      <c r="B132" s="1">
        <v>40549</v>
      </c>
      <c r="C132">
        <v>16</v>
      </c>
      <c r="D132" t="b">
        <v>0</v>
      </c>
      <c r="E132" t="s">
        <v>27</v>
      </c>
      <c r="F132" t="s">
        <v>30</v>
      </c>
      <c r="G132">
        <v>0.26</v>
      </c>
      <c r="H132">
        <v>0.2576</v>
      </c>
      <c r="I132">
        <v>0.38</v>
      </c>
      <c r="J132">
        <v>0.16420000000000001</v>
      </c>
      <c r="K132">
        <v>12</v>
      </c>
      <c r="L132">
        <v>74</v>
      </c>
      <c r="M132">
        <v>86</v>
      </c>
    </row>
    <row r="133" spans="1:13" x14ac:dyDescent="0.3">
      <c r="A133">
        <v>132</v>
      </c>
      <c r="B133" s="1">
        <v>40549</v>
      </c>
      <c r="C133">
        <v>17</v>
      </c>
      <c r="D133" t="b">
        <v>0</v>
      </c>
      <c r="E133" t="s">
        <v>27</v>
      </c>
      <c r="F133" t="s">
        <v>30</v>
      </c>
      <c r="G133">
        <v>0.22</v>
      </c>
      <c r="H133">
        <v>0.2273</v>
      </c>
      <c r="I133">
        <v>0.51</v>
      </c>
      <c r="J133">
        <v>0.16420000000000001</v>
      </c>
      <c r="K133">
        <v>9</v>
      </c>
      <c r="L133">
        <v>163</v>
      </c>
      <c r="M133">
        <v>172</v>
      </c>
    </row>
    <row r="134" spans="1:13" x14ac:dyDescent="0.3">
      <c r="A134">
        <v>133</v>
      </c>
      <c r="B134" s="1">
        <v>40549</v>
      </c>
      <c r="C134">
        <v>18</v>
      </c>
      <c r="D134" t="b">
        <v>0</v>
      </c>
      <c r="E134" t="s">
        <v>27</v>
      </c>
      <c r="F134" t="s">
        <v>30</v>
      </c>
      <c r="G134">
        <v>0.22</v>
      </c>
      <c r="H134">
        <v>0.2273</v>
      </c>
      <c r="I134">
        <v>0.51</v>
      </c>
      <c r="J134">
        <v>0.1343</v>
      </c>
      <c r="K134">
        <v>5</v>
      </c>
      <c r="L134">
        <v>158</v>
      </c>
      <c r="M134">
        <v>163</v>
      </c>
    </row>
    <row r="135" spans="1:13" x14ac:dyDescent="0.3">
      <c r="A135">
        <v>134</v>
      </c>
      <c r="B135" s="1">
        <v>40549</v>
      </c>
      <c r="C135">
        <v>19</v>
      </c>
      <c r="D135" t="b">
        <v>0</v>
      </c>
      <c r="E135" t="s">
        <v>27</v>
      </c>
      <c r="F135" t="s">
        <v>30</v>
      </c>
      <c r="G135">
        <v>0.22</v>
      </c>
      <c r="H135">
        <v>0.2576</v>
      </c>
      <c r="I135">
        <v>0.55000000000000004</v>
      </c>
      <c r="J135">
        <v>8.9599999999999999E-2</v>
      </c>
      <c r="K135">
        <v>3</v>
      </c>
      <c r="L135">
        <v>109</v>
      </c>
      <c r="M135">
        <v>112</v>
      </c>
    </row>
    <row r="136" spans="1:13" x14ac:dyDescent="0.3">
      <c r="A136">
        <v>135</v>
      </c>
      <c r="B136" s="1">
        <v>40549</v>
      </c>
      <c r="C136">
        <v>20</v>
      </c>
      <c r="D136" t="b">
        <v>0</v>
      </c>
      <c r="E136" t="s">
        <v>27</v>
      </c>
      <c r="F136" t="s">
        <v>30</v>
      </c>
      <c r="G136">
        <v>0.2</v>
      </c>
      <c r="H136">
        <v>0.21210000000000001</v>
      </c>
      <c r="I136">
        <v>0.51</v>
      </c>
      <c r="J136">
        <v>0.16420000000000001</v>
      </c>
      <c r="K136">
        <v>3</v>
      </c>
      <c r="L136">
        <v>66</v>
      </c>
      <c r="M136">
        <v>69</v>
      </c>
    </row>
    <row r="137" spans="1:13" x14ac:dyDescent="0.3">
      <c r="A137">
        <v>136</v>
      </c>
      <c r="B137" s="1">
        <v>40549</v>
      </c>
      <c r="C137">
        <v>21</v>
      </c>
      <c r="D137" t="b">
        <v>0</v>
      </c>
      <c r="E137" t="s">
        <v>27</v>
      </c>
      <c r="F137" t="s">
        <v>31</v>
      </c>
      <c r="G137">
        <v>0.22</v>
      </c>
      <c r="H137">
        <v>0.21210000000000001</v>
      </c>
      <c r="I137">
        <v>0.55000000000000004</v>
      </c>
      <c r="J137">
        <v>0.22389999999999999</v>
      </c>
      <c r="K137">
        <v>0</v>
      </c>
      <c r="L137">
        <v>48</v>
      </c>
      <c r="M137">
        <v>48</v>
      </c>
    </row>
    <row r="138" spans="1:13" x14ac:dyDescent="0.3">
      <c r="A138">
        <v>137</v>
      </c>
      <c r="B138" s="1">
        <v>40549</v>
      </c>
      <c r="C138">
        <v>22</v>
      </c>
      <c r="D138" t="b">
        <v>0</v>
      </c>
      <c r="E138" t="s">
        <v>27</v>
      </c>
      <c r="F138" t="s">
        <v>31</v>
      </c>
      <c r="G138">
        <v>0.22</v>
      </c>
      <c r="H138">
        <v>0.21210000000000001</v>
      </c>
      <c r="I138">
        <v>0.51</v>
      </c>
      <c r="J138">
        <v>0.28360000000000002</v>
      </c>
      <c r="K138">
        <v>1</v>
      </c>
      <c r="L138">
        <v>51</v>
      </c>
      <c r="M138">
        <v>52</v>
      </c>
    </row>
    <row r="139" spans="1:13" x14ac:dyDescent="0.3">
      <c r="A139">
        <v>138</v>
      </c>
      <c r="B139" s="1">
        <v>40549</v>
      </c>
      <c r="C139">
        <v>23</v>
      </c>
      <c r="D139" t="b">
        <v>0</v>
      </c>
      <c r="E139" t="s">
        <v>27</v>
      </c>
      <c r="F139" t="s">
        <v>31</v>
      </c>
      <c r="G139">
        <v>0.2</v>
      </c>
      <c r="H139">
        <v>0.19700000000000001</v>
      </c>
      <c r="I139">
        <v>0.59</v>
      </c>
      <c r="J139">
        <v>0.19400000000000001</v>
      </c>
      <c r="K139">
        <v>4</v>
      </c>
      <c r="L139">
        <v>19</v>
      </c>
      <c r="M139">
        <v>23</v>
      </c>
    </row>
    <row r="140" spans="1:13" x14ac:dyDescent="0.3">
      <c r="A140">
        <v>139</v>
      </c>
      <c r="B140" s="1">
        <v>40550</v>
      </c>
      <c r="C140">
        <v>0</v>
      </c>
      <c r="D140" t="b">
        <v>0</v>
      </c>
      <c r="E140" t="s">
        <v>28</v>
      </c>
      <c r="F140" t="s">
        <v>31</v>
      </c>
      <c r="G140">
        <v>0.2</v>
      </c>
      <c r="H140">
        <v>0.19700000000000001</v>
      </c>
      <c r="I140">
        <v>0.64</v>
      </c>
      <c r="J140">
        <v>0.19400000000000001</v>
      </c>
      <c r="K140">
        <v>4</v>
      </c>
      <c r="L140">
        <v>13</v>
      </c>
      <c r="M140">
        <v>17</v>
      </c>
    </row>
    <row r="141" spans="1:13" x14ac:dyDescent="0.3">
      <c r="A141">
        <v>140</v>
      </c>
      <c r="B141" s="1">
        <v>40550</v>
      </c>
      <c r="C141">
        <v>1</v>
      </c>
      <c r="D141" t="b">
        <v>0</v>
      </c>
      <c r="E141" t="s">
        <v>28</v>
      </c>
      <c r="F141" t="s">
        <v>31</v>
      </c>
      <c r="G141">
        <v>0.2</v>
      </c>
      <c r="H141">
        <v>0.19700000000000001</v>
      </c>
      <c r="I141">
        <v>0.69</v>
      </c>
      <c r="J141">
        <v>0.22389999999999999</v>
      </c>
      <c r="K141">
        <v>2</v>
      </c>
      <c r="L141">
        <v>5</v>
      </c>
      <c r="M141">
        <v>7</v>
      </c>
    </row>
    <row r="142" spans="1:13" x14ac:dyDescent="0.3">
      <c r="A142">
        <v>141</v>
      </c>
      <c r="B142" s="1">
        <v>40550</v>
      </c>
      <c r="C142">
        <v>2</v>
      </c>
      <c r="D142" t="b">
        <v>0</v>
      </c>
      <c r="E142" t="s">
        <v>28</v>
      </c>
      <c r="F142" t="s">
        <v>31</v>
      </c>
      <c r="G142">
        <v>0.2</v>
      </c>
      <c r="H142">
        <v>0.19700000000000001</v>
      </c>
      <c r="I142">
        <v>0.69</v>
      </c>
      <c r="J142">
        <v>0.22389999999999999</v>
      </c>
      <c r="K142">
        <v>0</v>
      </c>
      <c r="L142">
        <v>1</v>
      </c>
      <c r="M142">
        <v>1</v>
      </c>
    </row>
    <row r="143" spans="1:13" x14ac:dyDescent="0.3">
      <c r="A143">
        <v>142</v>
      </c>
      <c r="B143" s="1">
        <v>40550</v>
      </c>
      <c r="C143">
        <v>4</v>
      </c>
      <c r="D143" t="b">
        <v>0</v>
      </c>
      <c r="E143" t="s">
        <v>28</v>
      </c>
      <c r="F143" t="s">
        <v>31</v>
      </c>
      <c r="G143">
        <v>0.2</v>
      </c>
      <c r="H143">
        <v>0.21210000000000001</v>
      </c>
      <c r="I143">
        <v>0.69</v>
      </c>
      <c r="J143">
        <v>0.1343</v>
      </c>
      <c r="K143">
        <v>0</v>
      </c>
      <c r="L143">
        <v>1</v>
      </c>
      <c r="M143">
        <v>1</v>
      </c>
    </row>
    <row r="144" spans="1:13" x14ac:dyDescent="0.3">
      <c r="A144">
        <v>143</v>
      </c>
      <c r="B144" s="1">
        <v>40550</v>
      </c>
      <c r="C144">
        <v>5</v>
      </c>
      <c r="D144" t="b">
        <v>0</v>
      </c>
      <c r="E144" t="s">
        <v>28</v>
      </c>
      <c r="F144" t="s">
        <v>32</v>
      </c>
      <c r="G144">
        <v>0.22</v>
      </c>
      <c r="H144">
        <v>0.2727</v>
      </c>
      <c r="I144">
        <v>0.55000000000000004</v>
      </c>
      <c r="J144">
        <v>0</v>
      </c>
      <c r="K144">
        <v>0</v>
      </c>
      <c r="L144">
        <v>5</v>
      </c>
      <c r="M144">
        <v>5</v>
      </c>
    </row>
    <row r="145" spans="1:13" x14ac:dyDescent="0.3">
      <c r="A145">
        <v>144</v>
      </c>
      <c r="B145" s="1">
        <v>40550</v>
      </c>
      <c r="C145">
        <v>6</v>
      </c>
      <c r="D145" t="b">
        <v>0</v>
      </c>
      <c r="E145" t="s">
        <v>28</v>
      </c>
      <c r="F145" t="s">
        <v>31</v>
      </c>
      <c r="G145">
        <v>0.2</v>
      </c>
      <c r="H145">
        <v>0.2576</v>
      </c>
      <c r="I145">
        <v>0.69</v>
      </c>
      <c r="J145">
        <v>0</v>
      </c>
      <c r="K145">
        <v>8</v>
      </c>
      <c r="L145">
        <v>26</v>
      </c>
      <c r="M145">
        <v>34</v>
      </c>
    </row>
    <row r="146" spans="1:13" x14ac:dyDescent="0.3">
      <c r="A146">
        <v>145</v>
      </c>
      <c r="B146" s="1">
        <v>40550</v>
      </c>
      <c r="C146">
        <v>7</v>
      </c>
      <c r="D146" t="b">
        <v>0</v>
      </c>
      <c r="E146" t="s">
        <v>28</v>
      </c>
      <c r="F146" t="s">
        <v>30</v>
      </c>
      <c r="G146">
        <v>0.2</v>
      </c>
      <c r="H146">
        <v>0.21210000000000001</v>
      </c>
      <c r="I146">
        <v>0.69</v>
      </c>
      <c r="J146">
        <v>0.1343</v>
      </c>
      <c r="K146">
        <v>8</v>
      </c>
      <c r="L146">
        <v>76</v>
      </c>
      <c r="M146">
        <v>84</v>
      </c>
    </row>
    <row r="147" spans="1:13" x14ac:dyDescent="0.3">
      <c r="A147">
        <v>146</v>
      </c>
      <c r="B147" s="1">
        <v>40550</v>
      </c>
      <c r="C147">
        <v>8</v>
      </c>
      <c r="D147" t="b">
        <v>0</v>
      </c>
      <c r="E147" t="s">
        <v>28</v>
      </c>
      <c r="F147" t="s">
        <v>30</v>
      </c>
      <c r="G147">
        <v>0.2</v>
      </c>
      <c r="H147">
        <v>0.19700000000000001</v>
      </c>
      <c r="I147">
        <v>0.51</v>
      </c>
      <c r="J147">
        <v>0.25369999999999998</v>
      </c>
      <c r="K147">
        <v>20</v>
      </c>
      <c r="L147">
        <v>190</v>
      </c>
      <c r="M147">
        <v>210</v>
      </c>
    </row>
    <row r="148" spans="1:13" x14ac:dyDescent="0.3">
      <c r="A148">
        <v>147</v>
      </c>
      <c r="B148" s="1">
        <v>40550</v>
      </c>
      <c r="C148">
        <v>9</v>
      </c>
      <c r="D148" t="b">
        <v>0</v>
      </c>
      <c r="E148" t="s">
        <v>28</v>
      </c>
      <c r="F148" t="s">
        <v>30</v>
      </c>
      <c r="G148">
        <v>0.2</v>
      </c>
      <c r="H148">
        <v>0.18179999999999999</v>
      </c>
      <c r="I148">
        <v>0.47</v>
      </c>
      <c r="J148">
        <v>0.29849999999999999</v>
      </c>
      <c r="K148">
        <v>9</v>
      </c>
      <c r="L148">
        <v>125</v>
      </c>
      <c r="M148">
        <v>134</v>
      </c>
    </row>
    <row r="149" spans="1:13" x14ac:dyDescent="0.3">
      <c r="A149">
        <v>148</v>
      </c>
      <c r="B149" s="1">
        <v>40550</v>
      </c>
      <c r="C149">
        <v>10</v>
      </c>
      <c r="D149" t="b">
        <v>0</v>
      </c>
      <c r="E149" t="s">
        <v>28</v>
      </c>
      <c r="F149" t="s">
        <v>30</v>
      </c>
      <c r="G149">
        <v>0.22</v>
      </c>
      <c r="H149">
        <v>0.19700000000000001</v>
      </c>
      <c r="I149">
        <v>0.37</v>
      </c>
      <c r="J149">
        <v>0.32840000000000003</v>
      </c>
      <c r="K149">
        <v>16</v>
      </c>
      <c r="L149">
        <v>47</v>
      </c>
      <c r="M149">
        <v>63</v>
      </c>
    </row>
    <row r="150" spans="1:13" x14ac:dyDescent="0.3">
      <c r="A150">
        <v>149</v>
      </c>
      <c r="B150" s="1">
        <v>40550</v>
      </c>
      <c r="C150">
        <v>11</v>
      </c>
      <c r="D150" t="b">
        <v>0</v>
      </c>
      <c r="E150" t="s">
        <v>28</v>
      </c>
      <c r="F150" t="s">
        <v>31</v>
      </c>
      <c r="G150">
        <v>0.2</v>
      </c>
      <c r="H150">
        <v>0.19700000000000001</v>
      </c>
      <c r="I150">
        <v>0.4</v>
      </c>
      <c r="J150">
        <v>0.22389999999999999</v>
      </c>
      <c r="K150">
        <v>19</v>
      </c>
      <c r="L150">
        <v>48</v>
      </c>
      <c r="M150">
        <v>67</v>
      </c>
    </row>
    <row r="151" spans="1:13" x14ac:dyDescent="0.3">
      <c r="A151">
        <v>150</v>
      </c>
      <c r="B151" s="1">
        <v>40550</v>
      </c>
      <c r="C151">
        <v>12</v>
      </c>
      <c r="D151" t="b">
        <v>0</v>
      </c>
      <c r="E151" t="s">
        <v>28</v>
      </c>
      <c r="F151" t="s">
        <v>31</v>
      </c>
      <c r="G151">
        <v>0.2</v>
      </c>
      <c r="H151">
        <v>0.19700000000000001</v>
      </c>
      <c r="I151">
        <v>0.37</v>
      </c>
      <c r="J151">
        <v>0.25369999999999998</v>
      </c>
      <c r="K151">
        <v>9</v>
      </c>
      <c r="L151">
        <v>50</v>
      </c>
      <c r="M151">
        <v>59</v>
      </c>
    </row>
    <row r="152" spans="1:13" x14ac:dyDescent="0.3">
      <c r="A152">
        <v>151</v>
      </c>
      <c r="B152" s="1">
        <v>40550</v>
      </c>
      <c r="C152">
        <v>13</v>
      </c>
      <c r="D152" t="b">
        <v>0</v>
      </c>
      <c r="E152" t="s">
        <v>28</v>
      </c>
      <c r="F152" t="s">
        <v>31</v>
      </c>
      <c r="G152">
        <v>0.2</v>
      </c>
      <c r="H152">
        <v>0.18179999999999999</v>
      </c>
      <c r="I152">
        <v>0.37</v>
      </c>
      <c r="J152">
        <v>0.28360000000000002</v>
      </c>
      <c r="K152">
        <v>9</v>
      </c>
      <c r="L152">
        <v>64</v>
      </c>
      <c r="M152">
        <v>73</v>
      </c>
    </row>
    <row r="153" spans="1:13" x14ac:dyDescent="0.3">
      <c r="A153">
        <v>152</v>
      </c>
      <c r="B153" s="1">
        <v>40550</v>
      </c>
      <c r="C153">
        <v>14</v>
      </c>
      <c r="D153" t="b">
        <v>0</v>
      </c>
      <c r="E153" t="s">
        <v>28</v>
      </c>
      <c r="F153" t="s">
        <v>31</v>
      </c>
      <c r="G153">
        <v>0.2</v>
      </c>
      <c r="H153">
        <v>0.19700000000000001</v>
      </c>
      <c r="I153">
        <v>0.4</v>
      </c>
      <c r="J153">
        <v>0.25369999999999998</v>
      </c>
      <c r="K153">
        <v>7</v>
      </c>
      <c r="L153">
        <v>43</v>
      </c>
      <c r="M153">
        <v>50</v>
      </c>
    </row>
    <row r="154" spans="1:13" x14ac:dyDescent="0.3">
      <c r="A154">
        <v>153</v>
      </c>
      <c r="B154" s="1">
        <v>40550</v>
      </c>
      <c r="C154">
        <v>15</v>
      </c>
      <c r="D154" t="b">
        <v>0</v>
      </c>
      <c r="E154" t="s">
        <v>28</v>
      </c>
      <c r="F154" t="s">
        <v>31</v>
      </c>
      <c r="G154">
        <v>0.2</v>
      </c>
      <c r="H154">
        <v>0.21210000000000001</v>
      </c>
      <c r="I154">
        <v>0.37</v>
      </c>
      <c r="J154">
        <v>0.16420000000000001</v>
      </c>
      <c r="K154">
        <v>9</v>
      </c>
      <c r="L154">
        <v>63</v>
      </c>
      <c r="M154">
        <v>72</v>
      </c>
    </row>
    <row r="155" spans="1:13" x14ac:dyDescent="0.3">
      <c r="A155">
        <v>154</v>
      </c>
      <c r="B155" s="1">
        <v>40550</v>
      </c>
      <c r="C155">
        <v>16</v>
      </c>
      <c r="D155" t="b">
        <v>0</v>
      </c>
      <c r="E155" t="s">
        <v>28</v>
      </c>
      <c r="F155" t="s">
        <v>31</v>
      </c>
      <c r="G155">
        <v>0.2</v>
      </c>
      <c r="H155">
        <v>0.21210000000000001</v>
      </c>
      <c r="I155">
        <v>0.37</v>
      </c>
      <c r="J155">
        <v>0.16420000000000001</v>
      </c>
      <c r="K155">
        <v>5</v>
      </c>
      <c r="L155">
        <v>82</v>
      </c>
      <c r="M155">
        <v>87</v>
      </c>
    </row>
    <row r="156" spans="1:13" x14ac:dyDescent="0.3">
      <c r="A156">
        <v>155</v>
      </c>
      <c r="B156" s="1">
        <v>40550</v>
      </c>
      <c r="C156">
        <v>17</v>
      </c>
      <c r="D156" t="b">
        <v>0</v>
      </c>
      <c r="E156" t="s">
        <v>28</v>
      </c>
      <c r="F156" t="s">
        <v>31</v>
      </c>
      <c r="G156">
        <v>0.2</v>
      </c>
      <c r="H156">
        <v>0.2576</v>
      </c>
      <c r="I156">
        <v>0.37</v>
      </c>
      <c r="J156">
        <v>0</v>
      </c>
      <c r="K156">
        <v>9</v>
      </c>
      <c r="L156">
        <v>178</v>
      </c>
      <c r="M156">
        <v>187</v>
      </c>
    </row>
    <row r="157" spans="1:13" x14ac:dyDescent="0.3">
      <c r="A157">
        <v>156</v>
      </c>
      <c r="B157" s="1">
        <v>40550</v>
      </c>
      <c r="C157">
        <v>18</v>
      </c>
      <c r="D157" t="b">
        <v>0</v>
      </c>
      <c r="E157" t="s">
        <v>28</v>
      </c>
      <c r="F157" t="s">
        <v>30</v>
      </c>
      <c r="G157">
        <v>0.2</v>
      </c>
      <c r="H157">
        <v>0.2273</v>
      </c>
      <c r="I157">
        <v>0.4</v>
      </c>
      <c r="J157">
        <v>8.9599999999999999E-2</v>
      </c>
      <c r="K157">
        <v>7</v>
      </c>
      <c r="L157">
        <v>116</v>
      </c>
      <c r="M157">
        <v>123</v>
      </c>
    </row>
    <row r="158" spans="1:13" x14ac:dyDescent="0.3">
      <c r="A158">
        <v>157</v>
      </c>
      <c r="B158" s="1">
        <v>40550</v>
      </c>
      <c r="C158">
        <v>19</v>
      </c>
      <c r="D158" t="b">
        <v>0</v>
      </c>
      <c r="E158" t="s">
        <v>28</v>
      </c>
      <c r="F158" t="s">
        <v>30</v>
      </c>
      <c r="G158">
        <v>0.16</v>
      </c>
      <c r="H158">
        <v>0.19700000000000001</v>
      </c>
      <c r="I158">
        <v>0.55000000000000004</v>
      </c>
      <c r="J158">
        <v>8.9599999999999999E-2</v>
      </c>
      <c r="K158">
        <v>3</v>
      </c>
      <c r="L158">
        <v>92</v>
      </c>
      <c r="M158">
        <v>95</v>
      </c>
    </row>
    <row r="159" spans="1:13" x14ac:dyDescent="0.3">
      <c r="A159">
        <v>158</v>
      </c>
      <c r="B159" s="1">
        <v>40550</v>
      </c>
      <c r="C159">
        <v>20</v>
      </c>
      <c r="D159" t="b">
        <v>0</v>
      </c>
      <c r="E159" t="s">
        <v>28</v>
      </c>
      <c r="F159" t="s">
        <v>30</v>
      </c>
      <c r="G159">
        <v>0.18</v>
      </c>
      <c r="H159">
        <v>0.21210000000000001</v>
      </c>
      <c r="I159">
        <v>0.47</v>
      </c>
      <c r="J159">
        <v>0.1045</v>
      </c>
      <c r="K159">
        <v>1</v>
      </c>
      <c r="L159">
        <v>50</v>
      </c>
      <c r="M159">
        <v>51</v>
      </c>
    </row>
    <row r="160" spans="1:13" x14ac:dyDescent="0.3">
      <c r="A160">
        <v>159</v>
      </c>
      <c r="B160" s="1">
        <v>40550</v>
      </c>
      <c r="C160">
        <v>21</v>
      </c>
      <c r="D160" t="b">
        <v>0</v>
      </c>
      <c r="E160" t="s">
        <v>28</v>
      </c>
      <c r="F160" t="s">
        <v>30</v>
      </c>
      <c r="G160">
        <v>0.18</v>
      </c>
      <c r="H160">
        <v>0.19700000000000001</v>
      </c>
      <c r="I160">
        <v>0.47</v>
      </c>
      <c r="J160">
        <v>0.1343</v>
      </c>
      <c r="K160">
        <v>0</v>
      </c>
      <c r="L160">
        <v>39</v>
      </c>
      <c r="M160">
        <v>39</v>
      </c>
    </row>
    <row r="161" spans="1:13" x14ac:dyDescent="0.3">
      <c r="A161">
        <v>160</v>
      </c>
      <c r="B161" s="1">
        <v>40550</v>
      </c>
      <c r="C161">
        <v>22</v>
      </c>
      <c r="D161" t="b">
        <v>0</v>
      </c>
      <c r="E161" t="s">
        <v>28</v>
      </c>
      <c r="F161" t="s">
        <v>31</v>
      </c>
      <c r="G161">
        <v>0.18</v>
      </c>
      <c r="H161">
        <v>0.19700000000000001</v>
      </c>
      <c r="I161">
        <v>0.43</v>
      </c>
      <c r="J161">
        <v>0.16420000000000001</v>
      </c>
      <c r="K161">
        <v>2</v>
      </c>
      <c r="L161">
        <v>34</v>
      </c>
      <c r="M161">
        <v>36</v>
      </c>
    </row>
    <row r="162" spans="1:13" x14ac:dyDescent="0.3">
      <c r="A162">
        <v>161</v>
      </c>
      <c r="B162" s="1">
        <v>40550</v>
      </c>
      <c r="C162">
        <v>23</v>
      </c>
      <c r="D162" t="b">
        <v>0</v>
      </c>
      <c r="E162" t="s">
        <v>28</v>
      </c>
      <c r="F162" t="s">
        <v>31</v>
      </c>
      <c r="G162">
        <v>0.18</v>
      </c>
      <c r="H162">
        <v>0.19700000000000001</v>
      </c>
      <c r="I162">
        <v>0.51</v>
      </c>
      <c r="J162">
        <v>0.16420000000000001</v>
      </c>
      <c r="K162">
        <v>1</v>
      </c>
      <c r="L162">
        <v>14</v>
      </c>
      <c r="M162">
        <v>15</v>
      </c>
    </row>
    <row r="163" spans="1:13" x14ac:dyDescent="0.3">
      <c r="A163">
        <v>162</v>
      </c>
      <c r="B163" s="1">
        <v>40551</v>
      </c>
      <c r="C163">
        <v>0</v>
      </c>
      <c r="D163" t="b">
        <v>0</v>
      </c>
      <c r="E163" t="s">
        <v>29</v>
      </c>
      <c r="F163" t="s">
        <v>31</v>
      </c>
      <c r="G163">
        <v>0.18</v>
      </c>
      <c r="H163">
        <v>0.19700000000000001</v>
      </c>
      <c r="I163">
        <v>0.51</v>
      </c>
      <c r="J163">
        <v>0.16420000000000001</v>
      </c>
      <c r="K163">
        <v>1</v>
      </c>
      <c r="L163">
        <v>24</v>
      </c>
      <c r="M163">
        <v>25</v>
      </c>
    </row>
    <row r="164" spans="1:13" x14ac:dyDescent="0.3">
      <c r="A164">
        <v>163</v>
      </c>
      <c r="B164" s="1">
        <v>40551</v>
      </c>
      <c r="C164">
        <v>1</v>
      </c>
      <c r="D164" t="b">
        <v>0</v>
      </c>
      <c r="E164" t="s">
        <v>29</v>
      </c>
      <c r="F164" t="s">
        <v>31</v>
      </c>
      <c r="G164">
        <v>0.18</v>
      </c>
      <c r="H164">
        <v>0.21210000000000001</v>
      </c>
      <c r="I164">
        <v>0.55000000000000004</v>
      </c>
      <c r="J164">
        <v>8.9599999999999999E-2</v>
      </c>
      <c r="K164">
        <v>1</v>
      </c>
      <c r="L164">
        <v>15</v>
      </c>
      <c r="M164">
        <v>16</v>
      </c>
    </row>
    <row r="165" spans="1:13" x14ac:dyDescent="0.3">
      <c r="A165">
        <v>164</v>
      </c>
      <c r="B165" s="1">
        <v>40551</v>
      </c>
      <c r="C165">
        <v>2</v>
      </c>
      <c r="D165" t="b">
        <v>0</v>
      </c>
      <c r="E165" t="s">
        <v>29</v>
      </c>
      <c r="F165" t="s">
        <v>31</v>
      </c>
      <c r="G165">
        <v>0.18</v>
      </c>
      <c r="H165">
        <v>0.2424</v>
      </c>
      <c r="I165">
        <v>0.55000000000000004</v>
      </c>
      <c r="J165">
        <v>0</v>
      </c>
      <c r="K165">
        <v>3</v>
      </c>
      <c r="L165">
        <v>13</v>
      </c>
      <c r="M165">
        <v>16</v>
      </c>
    </row>
    <row r="166" spans="1:13" x14ac:dyDescent="0.3">
      <c r="A166">
        <v>165</v>
      </c>
      <c r="B166" s="1">
        <v>40551</v>
      </c>
      <c r="C166">
        <v>3</v>
      </c>
      <c r="D166" t="b">
        <v>0</v>
      </c>
      <c r="E166" t="s">
        <v>29</v>
      </c>
      <c r="F166" t="s">
        <v>32</v>
      </c>
      <c r="G166">
        <v>0.18</v>
      </c>
      <c r="H166">
        <v>0.19700000000000001</v>
      </c>
      <c r="I166">
        <v>0.55000000000000004</v>
      </c>
      <c r="J166">
        <v>0.16420000000000001</v>
      </c>
      <c r="K166">
        <v>0</v>
      </c>
      <c r="L166">
        <v>7</v>
      </c>
      <c r="M166">
        <v>7</v>
      </c>
    </row>
    <row r="167" spans="1:13" x14ac:dyDescent="0.3">
      <c r="A167">
        <v>166</v>
      </c>
      <c r="B167" s="1">
        <v>40551</v>
      </c>
      <c r="C167">
        <v>4</v>
      </c>
      <c r="D167" t="b">
        <v>0</v>
      </c>
      <c r="E167" t="s">
        <v>29</v>
      </c>
      <c r="F167" t="s">
        <v>32</v>
      </c>
      <c r="G167">
        <v>0.18</v>
      </c>
      <c r="H167">
        <v>0.19700000000000001</v>
      </c>
      <c r="I167">
        <v>0.55000000000000004</v>
      </c>
      <c r="J167">
        <v>0.16420000000000001</v>
      </c>
      <c r="K167">
        <v>0</v>
      </c>
      <c r="L167">
        <v>1</v>
      </c>
      <c r="M167">
        <v>1</v>
      </c>
    </row>
    <row r="168" spans="1:13" x14ac:dyDescent="0.3">
      <c r="A168">
        <v>167</v>
      </c>
      <c r="B168" s="1">
        <v>40551</v>
      </c>
      <c r="C168">
        <v>5</v>
      </c>
      <c r="D168" t="b">
        <v>0</v>
      </c>
      <c r="E168" t="s">
        <v>29</v>
      </c>
      <c r="F168" t="s">
        <v>31</v>
      </c>
      <c r="G168">
        <v>0.16</v>
      </c>
      <c r="H168">
        <v>0.16669999999999999</v>
      </c>
      <c r="I168">
        <v>0.74</v>
      </c>
      <c r="J168">
        <v>0.16420000000000001</v>
      </c>
      <c r="K168">
        <v>0</v>
      </c>
      <c r="L168">
        <v>5</v>
      </c>
      <c r="M168">
        <v>5</v>
      </c>
    </row>
    <row r="169" spans="1:13" x14ac:dyDescent="0.3">
      <c r="A169">
        <v>168</v>
      </c>
      <c r="B169" s="1">
        <v>40551</v>
      </c>
      <c r="C169">
        <v>6</v>
      </c>
      <c r="D169" t="b">
        <v>0</v>
      </c>
      <c r="E169" t="s">
        <v>29</v>
      </c>
      <c r="F169" t="s">
        <v>31</v>
      </c>
      <c r="G169">
        <v>0.16</v>
      </c>
      <c r="H169">
        <v>0.16669999999999999</v>
      </c>
      <c r="I169">
        <v>0.74</v>
      </c>
      <c r="J169">
        <v>0.16420000000000001</v>
      </c>
      <c r="K169">
        <v>0</v>
      </c>
      <c r="L169">
        <v>2</v>
      </c>
      <c r="M169">
        <v>2</v>
      </c>
    </row>
    <row r="170" spans="1:13" x14ac:dyDescent="0.3">
      <c r="A170">
        <v>169</v>
      </c>
      <c r="B170" s="1">
        <v>40551</v>
      </c>
      <c r="C170">
        <v>7</v>
      </c>
      <c r="D170" t="b">
        <v>0</v>
      </c>
      <c r="E170" t="s">
        <v>29</v>
      </c>
      <c r="F170" t="s">
        <v>31</v>
      </c>
      <c r="G170">
        <v>0.16</v>
      </c>
      <c r="H170">
        <v>0.18179999999999999</v>
      </c>
      <c r="I170">
        <v>0.74</v>
      </c>
      <c r="J170">
        <v>0.1045</v>
      </c>
      <c r="K170">
        <v>1</v>
      </c>
      <c r="L170">
        <v>8</v>
      </c>
      <c r="M170">
        <v>9</v>
      </c>
    </row>
    <row r="171" spans="1:13" x14ac:dyDescent="0.3">
      <c r="A171">
        <v>170</v>
      </c>
      <c r="B171" s="1">
        <v>40551</v>
      </c>
      <c r="C171">
        <v>8</v>
      </c>
      <c r="D171" t="b">
        <v>0</v>
      </c>
      <c r="E171" t="s">
        <v>29</v>
      </c>
      <c r="F171" t="s">
        <v>32</v>
      </c>
      <c r="G171">
        <v>0.16</v>
      </c>
      <c r="H171">
        <v>0.18179999999999999</v>
      </c>
      <c r="I171">
        <v>0.93</v>
      </c>
      <c r="J171">
        <v>0.1045</v>
      </c>
      <c r="K171">
        <v>0</v>
      </c>
      <c r="L171">
        <v>15</v>
      </c>
      <c r="M171">
        <v>15</v>
      </c>
    </row>
    <row r="172" spans="1:13" x14ac:dyDescent="0.3">
      <c r="A172">
        <v>171</v>
      </c>
      <c r="B172" s="1">
        <v>40551</v>
      </c>
      <c r="C172">
        <v>9</v>
      </c>
      <c r="D172" t="b">
        <v>0</v>
      </c>
      <c r="E172" t="s">
        <v>29</v>
      </c>
      <c r="F172" t="s">
        <v>32</v>
      </c>
      <c r="G172">
        <v>0.16</v>
      </c>
      <c r="H172">
        <v>0.18179999999999999</v>
      </c>
      <c r="I172">
        <v>0.93</v>
      </c>
      <c r="J172">
        <v>0.1045</v>
      </c>
      <c r="K172">
        <v>0</v>
      </c>
      <c r="L172">
        <v>20</v>
      </c>
      <c r="M172">
        <v>20</v>
      </c>
    </row>
    <row r="173" spans="1:13" x14ac:dyDescent="0.3">
      <c r="A173">
        <v>172</v>
      </c>
      <c r="B173" s="1">
        <v>40551</v>
      </c>
      <c r="C173">
        <v>10</v>
      </c>
      <c r="D173" t="b">
        <v>0</v>
      </c>
      <c r="E173" t="s">
        <v>29</v>
      </c>
      <c r="F173" t="s">
        <v>31</v>
      </c>
      <c r="G173">
        <v>0.18</v>
      </c>
      <c r="H173">
        <v>0.19700000000000001</v>
      </c>
      <c r="I173">
        <v>0.8</v>
      </c>
      <c r="J173">
        <v>0.16420000000000001</v>
      </c>
      <c r="K173">
        <v>5</v>
      </c>
      <c r="L173">
        <v>56</v>
      </c>
      <c r="M173">
        <v>61</v>
      </c>
    </row>
    <row r="174" spans="1:13" x14ac:dyDescent="0.3">
      <c r="A174">
        <v>173</v>
      </c>
      <c r="B174" s="1">
        <v>40551</v>
      </c>
      <c r="C174">
        <v>11</v>
      </c>
      <c r="D174" t="b">
        <v>0</v>
      </c>
      <c r="E174" t="s">
        <v>29</v>
      </c>
      <c r="F174" t="s">
        <v>31</v>
      </c>
      <c r="G174">
        <v>0.2</v>
      </c>
      <c r="H174">
        <v>0.18179999999999999</v>
      </c>
      <c r="I174">
        <v>0.69</v>
      </c>
      <c r="J174">
        <v>0.3881</v>
      </c>
      <c r="K174">
        <v>2</v>
      </c>
      <c r="L174">
        <v>60</v>
      </c>
      <c r="M174">
        <v>62</v>
      </c>
    </row>
    <row r="175" spans="1:13" x14ac:dyDescent="0.3">
      <c r="A175">
        <v>174</v>
      </c>
      <c r="B175" s="1">
        <v>40551</v>
      </c>
      <c r="C175">
        <v>12</v>
      </c>
      <c r="D175" t="b">
        <v>0</v>
      </c>
      <c r="E175" t="s">
        <v>29</v>
      </c>
      <c r="F175" t="s">
        <v>31</v>
      </c>
      <c r="G175">
        <v>0.2</v>
      </c>
      <c r="H175">
        <v>0.18179999999999999</v>
      </c>
      <c r="I175">
        <v>0.59</v>
      </c>
      <c r="J175">
        <v>0.35820000000000002</v>
      </c>
      <c r="K175">
        <v>8</v>
      </c>
      <c r="L175">
        <v>90</v>
      </c>
      <c r="M175">
        <v>98</v>
      </c>
    </row>
    <row r="176" spans="1:13" x14ac:dyDescent="0.3">
      <c r="A176">
        <v>175</v>
      </c>
      <c r="B176" s="1">
        <v>40551</v>
      </c>
      <c r="C176">
        <v>13</v>
      </c>
      <c r="D176" t="b">
        <v>0</v>
      </c>
      <c r="E176" t="s">
        <v>29</v>
      </c>
      <c r="F176" t="s">
        <v>30</v>
      </c>
      <c r="G176">
        <v>0.2</v>
      </c>
      <c r="H176">
        <v>0.18179999999999999</v>
      </c>
      <c r="I176">
        <v>0.44</v>
      </c>
      <c r="J176">
        <v>0.32840000000000003</v>
      </c>
      <c r="K176">
        <v>7</v>
      </c>
      <c r="L176">
        <v>95</v>
      </c>
      <c r="M176">
        <v>102</v>
      </c>
    </row>
    <row r="177" spans="1:13" x14ac:dyDescent="0.3">
      <c r="A177">
        <v>176</v>
      </c>
      <c r="B177" s="1">
        <v>40551</v>
      </c>
      <c r="C177">
        <v>14</v>
      </c>
      <c r="D177" t="b">
        <v>0</v>
      </c>
      <c r="E177" t="s">
        <v>29</v>
      </c>
      <c r="F177" t="s">
        <v>30</v>
      </c>
      <c r="G177">
        <v>0.2</v>
      </c>
      <c r="H177">
        <v>0.16669999999999999</v>
      </c>
      <c r="I177">
        <v>0.32</v>
      </c>
      <c r="J177">
        <v>0.49249999999999999</v>
      </c>
      <c r="K177">
        <v>12</v>
      </c>
      <c r="L177">
        <v>83</v>
      </c>
      <c r="M177">
        <v>95</v>
      </c>
    </row>
    <row r="178" spans="1:13" x14ac:dyDescent="0.3">
      <c r="A178">
        <v>177</v>
      </c>
      <c r="B178" s="1">
        <v>40551</v>
      </c>
      <c r="C178">
        <v>15</v>
      </c>
      <c r="D178" t="b">
        <v>0</v>
      </c>
      <c r="E178" t="s">
        <v>29</v>
      </c>
      <c r="F178" t="s">
        <v>30</v>
      </c>
      <c r="G178">
        <v>0.2</v>
      </c>
      <c r="H178">
        <v>0.16669999999999999</v>
      </c>
      <c r="I178">
        <v>0.32</v>
      </c>
      <c r="J178">
        <v>0.44779999999999998</v>
      </c>
      <c r="K178">
        <v>5</v>
      </c>
      <c r="L178">
        <v>69</v>
      </c>
      <c r="M178">
        <v>74</v>
      </c>
    </row>
    <row r="179" spans="1:13" x14ac:dyDescent="0.3">
      <c r="A179">
        <v>178</v>
      </c>
      <c r="B179" s="1">
        <v>40551</v>
      </c>
      <c r="C179">
        <v>16</v>
      </c>
      <c r="D179" t="b">
        <v>0</v>
      </c>
      <c r="E179" t="s">
        <v>29</v>
      </c>
      <c r="F179" t="s">
        <v>30</v>
      </c>
      <c r="G179">
        <v>0.18</v>
      </c>
      <c r="H179">
        <v>0.13639999999999999</v>
      </c>
      <c r="I179">
        <v>0.28999999999999998</v>
      </c>
      <c r="J179">
        <v>0.44779999999999998</v>
      </c>
      <c r="K179">
        <v>8</v>
      </c>
      <c r="L179">
        <v>68</v>
      </c>
      <c r="M179">
        <v>76</v>
      </c>
    </row>
    <row r="180" spans="1:13" x14ac:dyDescent="0.3">
      <c r="A180">
        <v>179</v>
      </c>
      <c r="B180" s="1">
        <v>40551</v>
      </c>
      <c r="C180">
        <v>17</v>
      </c>
      <c r="D180" t="b">
        <v>0</v>
      </c>
      <c r="E180" t="s">
        <v>29</v>
      </c>
      <c r="F180" t="s">
        <v>30</v>
      </c>
      <c r="G180">
        <v>0.16</v>
      </c>
      <c r="H180">
        <v>0.1212</v>
      </c>
      <c r="I180">
        <v>0.37</v>
      </c>
      <c r="J180">
        <v>0.55220000000000002</v>
      </c>
      <c r="K180">
        <v>5</v>
      </c>
      <c r="L180">
        <v>64</v>
      </c>
      <c r="M180">
        <v>69</v>
      </c>
    </row>
    <row r="181" spans="1:13" x14ac:dyDescent="0.3">
      <c r="A181">
        <v>180</v>
      </c>
      <c r="B181" s="1">
        <v>40551</v>
      </c>
      <c r="C181">
        <v>18</v>
      </c>
      <c r="D181" t="b">
        <v>0</v>
      </c>
      <c r="E181" t="s">
        <v>29</v>
      </c>
      <c r="F181" t="s">
        <v>30</v>
      </c>
      <c r="G181">
        <v>0.14000000000000001</v>
      </c>
      <c r="H181">
        <v>0.1212</v>
      </c>
      <c r="I181">
        <v>0.39</v>
      </c>
      <c r="J181">
        <v>0.29849999999999999</v>
      </c>
      <c r="K181">
        <v>3</v>
      </c>
      <c r="L181">
        <v>52</v>
      </c>
      <c r="M181">
        <v>55</v>
      </c>
    </row>
    <row r="182" spans="1:13" x14ac:dyDescent="0.3">
      <c r="A182">
        <v>181</v>
      </c>
      <c r="B182" s="1">
        <v>40551</v>
      </c>
      <c r="C182">
        <v>19</v>
      </c>
      <c r="D182" t="b">
        <v>0</v>
      </c>
      <c r="E182" t="s">
        <v>29</v>
      </c>
      <c r="F182" t="s">
        <v>30</v>
      </c>
      <c r="G182">
        <v>0.14000000000000001</v>
      </c>
      <c r="H182">
        <v>0.1212</v>
      </c>
      <c r="I182">
        <v>0.36</v>
      </c>
      <c r="J182">
        <v>0.25369999999999998</v>
      </c>
      <c r="K182">
        <v>4</v>
      </c>
      <c r="L182">
        <v>26</v>
      </c>
      <c r="M182">
        <v>30</v>
      </c>
    </row>
    <row r="183" spans="1:13" x14ac:dyDescent="0.3">
      <c r="A183">
        <v>182</v>
      </c>
      <c r="B183" s="1">
        <v>40551</v>
      </c>
      <c r="C183">
        <v>20</v>
      </c>
      <c r="D183" t="b">
        <v>0</v>
      </c>
      <c r="E183" t="s">
        <v>29</v>
      </c>
      <c r="F183" t="s">
        <v>30</v>
      </c>
      <c r="G183">
        <v>0.12</v>
      </c>
      <c r="H183">
        <v>0.1212</v>
      </c>
      <c r="I183">
        <v>0.36</v>
      </c>
      <c r="J183">
        <v>0.25369999999999998</v>
      </c>
      <c r="K183">
        <v>0</v>
      </c>
      <c r="L183">
        <v>28</v>
      </c>
      <c r="M183">
        <v>28</v>
      </c>
    </row>
    <row r="184" spans="1:13" x14ac:dyDescent="0.3">
      <c r="A184">
        <v>183</v>
      </c>
      <c r="B184" s="1">
        <v>40551</v>
      </c>
      <c r="C184">
        <v>21</v>
      </c>
      <c r="D184" t="b">
        <v>0</v>
      </c>
      <c r="E184" t="s">
        <v>29</v>
      </c>
      <c r="F184" t="s">
        <v>30</v>
      </c>
      <c r="G184">
        <v>0.12</v>
      </c>
      <c r="H184">
        <v>0.1061</v>
      </c>
      <c r="I184">
        <v>0.39</v>
      </c>
      <c r="J184">
        <v>0.35820000000000002</v>
      </c>
      <c r="K184">
        <v>2</v>
      </c>
      <c r="L184">
        <v>35</v>
      </c>
      <c r="M184">
        <v>37</v>
      </c>
    </row>
    <row r="185" spans="1:13" x14ac:dyDescent="0.3">
      <c r="A185">
        <v>184</v>
      </c>
      <c r="B185" s="1">
        <v>40551</v>
      </c>
      <c r="C185">
        <v>22</v>
      </c>
      <c r="D185" t="b">
        <v>0</v>
      </c>
      <c r="E185" t="s">
        <v>29</v>
      </c>
      <c r="F185" t="s">
        <v>30</v>
      </c>
      <c r="G185">
        <v>0.12</v>
      </c>
      <c r="H185">
        <v>0.1061</v>
      </c>
      <c r="I185">
        <v>0.36</v>
      </c>
      <c r="J185">
        <v>0.3881</v>
      </c>
      <c r="K185">
        <v>1</v>
      </c>
      <c r="L185">
        <v>33</v>
      </c>
      <c r="M185">
        <v>34</v>
      </c>
    </row>
    <row r="186" spans="1:13" x14ac:dyDescent="0.3">
      <c r="A186">
        <v>185</v>
      </c>
      <c r="B186" s="1">
        <v>40551</v>
      </c>
      <c r="C186">
        <v>23</v>
      </c>
      <c r="D186" t="b">
        <v>0</v>
      </c>
      <c r="E186" t="s">
        <v>29</v>
      </c>
      <c r="F186" t="s">
        <v>30</v>
      </c>
      <c r="G186">
        <v>0.1</v>
      </c>
      <c r="H186">
        <v>6.0600000000000001E-2</v>
      </c>
      <c r="I186">
        <v>0.39</v>
      </c>
      <c r="J186">
        <v>0.44779999999999998</v>
      </c>
      <c r="K186">
        <v>0</v>
      </c>
      <c r="L186">
        <v>22</v>
      </c>
      <c r="M186">
        <v>22</v>
      </c>
    </row>
    <row r="187" spans="1:13" x14ac:dyDescent="0.3">
      <c r="A187">
        <v>186</v>
      </c>
      <c r="B187" s="1">
        <v>40552</v>
      </c>
      <c r="C187">
        <v>0</v>
      </c>
      <c r="D187" t="b">
        <v>0</v>
      </c>
      <c r="E187" t="s">
        <v>23</v>
      </c>
      <c r="F187" t="s">
        <v>30</v>
      </c>
      <c r="G187">
        <v>0.1</v>
      </c>
      <c r="H187">
        <v>7.5800000000000006E-2</v>
      </c>
      <c r="I187">
        <v>0.42</v>
      </c>
      <c r="J187">
        <v>0.3881</v>
      </c>
      <c r="K187">
        <v>1</v>
      </c>
      <c r="L187">
        <v>24</v>
      </c>
      <c r="M187">
        <v>25</v>
      </c>
    </row>
    <row r="188" spans="1:13" x14ac:dyDescent="0.3">
      <c r="A188">
        <v>187</v>
      </c>
      <c r="B188" s="1">
        <v>40552</v>
      </c>
      <c r="C188">
        <v>1</v>
      </c>
      <c r="D188" t="b">
        <v>0</v>
      </c>
      <c r="E188" t="s">
        <v>23</v>
      </c>
      <c r="F188" t="s">
        <v>30</v>
      </c>
      <c r="G188">
        <v>0.1</v>
      </c>
      <c r="H188">
        <v>6.0600000000000001E-2</v>
      </c>
      <c r="I188">
        <v>0.42</v>
      </c>
      <c r="J188">
        <v>0.4627</v>
      </c>
      <c r="K188">
        <v>0</v>
      </c>
      <c r="L188">
        <v>12</v>
      </c>
      <c r="M188">
        <v>12</v>
      </c>
    </row>
    <row r="189" spans="1:13" x14ac:dyDescent="0.3">
      <c r="A189">
        <v>188</v>
      </c>
      <c r="B189" s="1">
        <v>40552</v>
      </c>
      <c r="C189">
        <v>2</v>
      </c>
      <c r="D189" t="b">
        <v>0</v>
      </c>
      <c r="E189" t="s">
        <v>23</v>
      </c>
      <c r="F189" t="s">
        <v>30</v>
      </c>
      <c r="G189">
        <v>0.1</v>
      </c>
      <c r="H189">
        <v>6.0600000000000001E-2</v>
      </c>
      <c r="I189">
        <v>0.46</v>
      </c>
      <c r="J189">
        <v>0.4627</v>
      </c>
      <c r="K189">
        <v>0</v>
      </c>
      <c r="L189">
        <v>11</v>
      </c>
      <c r="M189">
        <v>11</v>
      </c>
    </row>
    <row r="190" spans="1:13" x14ac:dyDescent="0.3">
      <c r="A190">
        <v>189</v>
      </c>
      <c r="B190" s="1">
        <v>40552</v>
      </c>
      <c r="C190">
        <v>3</v>
      </c>
      <c r="D190" t="b">
        <v>0</v>
      </c>
      <c r="E190" t="s">
        <v>23</v>
      </c>
      <c r="F190" t="s">
        <v>30</v>
      </c>
      <c r="G190">
        <v>0.1</v>
      </c>
      <c r="H190">
        <v>7.5800000000000006E-2</v>
      </c>
      <c r="I190">
        <v>0.46</v>
      </c>
      <c r="J190">
        <v>0.41789999999999999</v>
      </c>
      <c r="K190">
        <v>0</v>
      </c>
      <c r="L190">
        <v>4</v>
      </c>
      <c r="M190">
        <v>4</v>
      </c>
    </row>
    <row r="191" spans="1:13" x14ac:dyDescent="0.3">
      <c r="A191">
        <v>190</v>
      </c>
      <c r="B191" s="1">
        <v>40552</v>
      </c>
      <c r="C191">
        <v>4</v>
      </c>
      <c r="D191" t="b">
        <v>0</v>
      </c>
      <c r="E191" t="s">
        <v>23</v>
      </c>
      <c r="F191" t="s">
        <v>30</v>
      </c>
      <c r="G191">
        <v>0.08</v>
      </c>
      <c r="H191">
        <v>9.0899999999999995E-2</v>
      </c>
      <c r="I191">
        <v>0.53</v>
      </c>
      <c r="J191">
        <v>0.19400000000000001</v>
      </c>
      <c r="K191">
        <v>0</v>
      </c>
      <c r="L191">
        <v>1</v>
      </c>
      <c r="M191">
        <v>1</v>
      </c>
    </row>
    <row r="192" spans="1:13" x14ac:dyDescent="0.3">
      <c r="A192">
        <v>191</v>
      </c>
      <c r="B192" s="1">
        <v>40552</v>
      </c>
      <c r="C192">
        <v>5</v>
      </c>
      <c r="D192" t="b">
        <v>0</v>
      </c>
      <c r="E192" t="s">
        <v>23</v>
      </c>
      <c r="F192" t="s">
        <v>30</v>
      </c>
      <c r="G192">
        <v>0.08</v>
      </c>
      <c r="H192">
        <v>9.0899999999999995E-2</v>
      </c>
      <c r="I192">
        <v>0.53</v>
      </c>
      <c r="J192">
        <v>0.19400000000000001</v>
      </c>
      <c r="K192">
        <v>0</v>
      </c>
      <c r="L192">
        <v>1</v>
      </c>
      <c r="M192">
        <v>1</v>
      </c>
    </row>
    <row r="193" spans="1:13" x14ac:dyDescent="0.3">
      <c r="A193">
        <v>192</v>
      </c>
      <c r="B193" s="1">
        <v>40552</v>
      </c>
      <c r="C193">
        <v>6</v>
      </c>
      <c r="D193" t="b">
        <v>0</v>
      </c>
      <c r="E193" t="s">
        <v>23</v>
      </c>
      <c r="F193" t="s">
        <v>30</v>
      </c>
      <c r="G193">
        <v>0.1</v>
      </c>
      <c r="H193">
        <v>9.0899999999999995E-2</v>
      </c>
      <c r="I193">
        <v>0.49</v>
      </c>
      <c r="J193">
        <v>0.28360000000000002</v>
      </c>
      <c r="K193">
        <v>0</v>
      </c>
      <c r="L193">
        <v>1</v>
      </c>
      <c r="M193">
        <v>1</v>
      </c>
    </row>
    <row r="194" spans="1:13" x14ac:dyDescent="0.3">
      <c r="A194">
        <v>193</v>
      </c>
      <c r="B194" s="1">
        <v>40552</v>
      </c>
      <c r="C194">
        <v>7</v>
      </c>
      <c r="D194" t="b">
        <v>0</v>
      </c>
      <c r="E194" t="s">
        <v>23</v>
      </c>
      <c r="F194" t="s">
        <v>30</v>
      </c>
      <c r="G194">
        <v>0.08</v>
      </c>
      <c r="H194">
        <v>9.0899999999999995E-2</v>
      </c>
      <c r="I194">
        <v>0.53</v>
      </c>
      <c r="J194">
        <v>0.19400000000000001</v>
      </c>
      <c r="K194">
        <v>1</v>
      </c>
      <c r="L194">
        <v>5</v>
      </c>
      <c r="M194">
        <v>6</v>
      </c>
    </row>
    <row r="195" spans="1:13" x14ac:dyDescent="0.3">
      <c r="A195">
        <v>194</v>
      </c>
      <c r="B195" s="1">
        <v>40552</v>
      </c>
      <c r="C195">
        <v>8</v>
      </c>
      <c r="D195" t="b">
        <v>0</v>
      </c>
      <c r="E195" t="s">
        <v>23</v>
      </c>
      <c r="F195" t="s">
        <v>30</v>
      </c>
      <c r="G195">
        <v>0.1</v>
      </c>
      <c r="H195">
        <v>9.0899999999999995E-2</v>
      </c>
      <c r="I195">
        <v>0.49</v>
      </c>
      <c r="J195">
        <v>0.28360000000000002</v>
      </c>
      <c r="K195">
        <v>0</v>
      </c>
      <c r="L195">
        <v>10</v>
      </c>
      <c r="M195">
        <v>10</v>
      </c>
    </row>
    <row r="196" spans="1:13" x14ac:dyDescent="0.3">
      <c r="A196">
        <v>195</v>
      </c>
      <c r="B196" s="1">
        <v>40552</v>
      </c>
      <c r="C196">
        <v>9</v>
      </c>
      <c r="D196" t="b">
        <v>0</v>
      </c>
      <c r="E196" t="s">
        <v>23</v>
      </c>
      <c r="F196" t="s">
        <v>30</v>
      </c>
      <c r="G196">
        <v>0.12</v>
      </c>
      <c r="H196">
        <v>7.5800000000000006E-2</v>
      </c>
      <c r="I196">
        <v>0.46</v>
      </c>
      <c r="J196">
        <v>0.52239999999999998</v>
      </c>
      <c r="K196">
        <v>0</v>
      </c>
      <c r="L196">
        <v>19</v>
      </c>
      <c r="M196">
        <v>19</v>
      </c>
    </row>
    <row r="197" spans="1:13" x14ac:dyDescent="0.3">
      <c r="A197">
        <v>196</v>
      </c>
      <c r="B197" s="1">
        <v>40552</v>
      </c>
      <c r="C197">
        <v>10</v>
      </c>
      <c r="D197" t="b">
        <v>0</v>
      </c>
      <c r="E197" t="s">
        <v>23</v>
      </c>
      <c r="F197" t="s">
        <v>30</v>
      </c>
      <c r="G197">
        <v>0.14000000000000001</v>
      </c>
      <c r="H197">
        <v>0.1061</v>
      </c>
      <c r="I197">
        <v>0.43</v>
      </c>
      <c r="J197">
        <v>0.3881</v>
      </c>
      <c r="K197">
        <v>0</v>
      </c>
      <c r="L197">
        <v>49</v>
      </c>
      <c r="M197">
        <v>49</v>
      </c>
    </row>
    <row r="198" spans="1:13" x14ac:dyDescent="0.3">
      <c r="A198">
        <v>197</v>
      </c>
      <c r="B198" s="1">
        <v>40552</v>
      </c>
      <c r="C198">
        <v>11</v>
      </c>
      <c r="D198" t="b">
        <v>0</v>
      </c>
      <c r="E198" t="s">
        <v>23</v>
      </c>
      <c r="F198" t="s">
        <v>30</v>
      </c>
      <c r="G198">
        <v>0.16</v>
      </c>
      <c r="H198">
        <v>0.1212</v>
      </c>
      <c r="I198">
        <v>0.4</v>
      </c>
      <c r="J198">
        <v>0.52239999999999998</v>
      </c>
      <c r="K198">
        <v>2</v>
      </c>
      <c r="L198">
        <v>47</v>
      </c>
      <c r="M198">
        <v>49</v>
      </c>
    </row>
    <row r="199" spans="1:13" x14ac:dyDescent="0.3">
      <c r="A199">
        <v>198</v>
      </c>
      <c r="B199" s="1">
        <v>40552</v>
      </c>
      <c r="C199">
        <v>12</v>
      </c>
      <c r="D199" t="b">
        <v>0</v>
      </c>
      <c r="E199" t="s">
        <v>23</v>
      </c>
      <c r="F199" t="s">
        <v>30</v>
      </c>
      <c r="G199">
        <v>0.18</v>
      </c>
      <c r="H199">
        <v>0.13639999999999999</v>
      </c>
      <c r="I199">
        <v>0.37</v>
      </c>
      <c r="J199">
        <v>0.44779999999999998</v>
      </c>
      <c r="K199">
        <v>4</v>
      </c>
      <c r="L199">
        <v>79</v>
      </c>
      <c r="M199">
        <v>83</v>
      </c>
    </row>
    <row r="200" spans="1:13" x14ac:dyDescent="0.3">
      <c r="A200">
        <v>199</v>
      </c>
      <c r="B200" s="1">
        <v>40552</v>
      </c>
      <c r="C200">
        <v>13</v>
      </c>
      <c r="D200" t="b">
        <v>0</v>
      </c>
      <c r="E200" t="s">
        <v>23</v>
      </c>
      <c r="F200" t="s">
        <v>30</v>
      </c>
      <c r="G200">
        <v>0.2</v>
      </c>
      <c r="H200">
        <v>0.16669999999999999</v>
      </c>
      <c r="I200">
        <v>0.34</v>
      </c>
      <c r="J200">
        <v>0.44779999999999998</v>
      </c>
      <c r="K200">
        <v>6</v>
      </c>
      <c r="L200">
        <v>69</v>
      </c>
      <c r="M200">
        <v>75</v>
      </c>
    </row>
    <row r="201" spans="1:13" x14ac:dyDescent="0.3">
      <c r="A201">
        <v>200</v>
      </c>
      <c r="B201" s="1">
        <v>40552</v>
      </c>
      <c r="C201">
        <v>14</v>
      </c>
      <c r="D201" t="b">
        <v>0</v>
      </c>
      <c r="E201" t="s">
        <v>23</v>
      </c>
      <c r="F201" t="s">
        <v>30</v>
      </c>
      <c r="G201">
        <v>0.22</v>
      </c>
      <c r="H201">
        <v>0.18179999999999999</v>
      </c>
      <c r="I201">
        <v>0.32</v>
      </c>
      <c r="J201">
        <v>0.4627</v>
      </c>
      <c r="K201">
        <v>8</v>
      </c>
      <c r="L201">
        <v>64</v>
      </c>
      <c r="M201">
        <v>72</v>
      </c>
    </row>
    <row r="202" spans="1:13" x14ac:dyDescent="0.3">
      <c r="A202">
        <v>201</v>
      </c>
      <c r="B202" s="1">
        <v>40552</v>
      </c>
      <c r="C202">
        <v>15</v>
      </c>
      <c r="D202" t="b">
        <v>0</v>
      </c>
      <c r="E202" t="s">
        <v>23</v>
      </c>
      <c r="F202" t="s">
        <v>30</v>
      </c>
      <c r="G202">
        <v>0.22</v>
      </c>
      <c r="H202">
        <v>0.19700000000000001</v>
      </c>
      <c r="I202">
        <v>0.35</v>
      </c>
      <c r="J202">
        <v>0.35820000000000002</v>
      </c>
      <c r="K202">
        <v>5</v>
      </c>
      <c r="L202">
        <v>77</v>
      </c>
      <c r="M202">
        <v>82</v>
      </c>
    </row>
    <row r="203" spans="1:13" x14ac:dyDescent="0.3">
      <c r="A203">
        <v>202</v>
      </c>
      <c r="B203" s="1">
        <v>40552</v>
      </c>
      <c r="C203">
        <v>16</v>
      </c>
      <c r="D203" t="b">
        <v>0</v>
      </c>
      <c r="E203" t="s">
        <v>23</v>
      </c>
      <c r="F203" t="s">
        <v>30</v>
      </c>
      <c r="G203">
        <v>0.2</v>
      </c>
      <c r="H203">
        <v>0.16669999999999999</v>
      </c>
      <c r="I203">
        <v>0.34</v>
      </c>
      <c r="J203">
        <v>0.44779999999999998</v>
      </c>
      <c r="K203">
        <v>13</v>
      </c>
      <c r="L203">
        <v>79</v>
      </c>
      <c r="M203">
        <v>92</v>
      </c>
    </row>
    <row r="204" spans="1:13" x14ac:dyDescent="0.3">
      <c r="A204">
        <v>203</v>
      </c>
      <c r="B204" s="1">
        <v>40552</v>
      </c>
      <c r="C204">
        <v>17</v>
      </c>
      <c r="D204" t="b">
        <v>0</v>
      </c>
      <c r="E204" t="s">
        <v>23</v>
      </c>
      <c r="F204" t="s">
        <v>30</v>
      </c>
      <c r="G204">
        <v>0.18</v>
      </c>
      <c r="H204">
        <v>0.1515</v>
      </c>
      <c r="I204">
        <v>0.37</v>
      </c>
      <c r="J204">
        <v>0.3881</v>
      </c>
      <c r="K204">
        <v>3</v>
      </c>
      <c r="L204">
        <v>59</v>
      </c>
      <c r="M204">
        <v>62</v>
      </c>
    </row>
    <row r="205" spans="1:13" x14ac:dyDescent="0.3">
      <c r="A205">
        <v>204</v>
      </c>
      <c r="B205" s="1">
        <v>40552</v>
      </c>
      <c r="C205">
        <v>18</v>
      </c>
      <c r="D205" t="b">
        <v>0</v>
      </c>
      <c r="E205" t="s">
        <v>23</v>
      </c>
      <c r="F205" t="s">
        <v>30</v>
      </c>
      <c r="G205">
        <v>0.16</v>
      </c>
      <c r="H205">
        <v>0.13639999999999999</v>
      </c>
      <c r="I205">
        <v>0.4</v>
      </c>
      <c r="J205">
        <v>0.32840000000000003</v>
      </c>
      <c r="K205">
        <v>4</v>
      </c>
      <c r="L205">
        <v>44</v>
      </c>
      <c r="M205">
        <v>48</v>
      </c>
    </row>
    <row r="206" spans="1:13" x14ac:dyDescent="0.3">
      <c r="A206">
        <v>205</v>
      </c>
      <c r="B206" s="1">
        <v>40552</v>
      </c>
      <c r="C206">
        <v>19</v>
      </c>
      <c r="D206" t="b">
        <v>0</v>
      </c>
      <c r="E206" t="s">
        <v>23</v>
      </c>
      <c r="F206" t="s">
        <v>30</v>
      </c>
      <c r="G206">
        <v>0.16</v>
      </c>
      <c r="H206">
        <v>0.13639999999999999</v>
      </c>
      <c r="I206">
        <v>0.43</v>
      </c>
      <c r="J206">
        <v>0.32840000000000003</v>
      </c>
      <c r="K206">
        <v>1</v>
      </c>
      <c r="L206">
        <v>40</v>
      </c>
      <c r="M206">
        <v>41</v>
      </c>
    </row>
    <row r="207" spans="1:13" x14ac:dyDescent="0.3">
      <c r="A207">
        <v>206</v>
      </c>
      <c r="B207" s="1">
        <v>40552</v>
      </c>
      <c r="C207">
        <v>20</v>
      </c>
      <c r="D207" t="b">
        <v>0</v>
      </c>
      <c r="E207" t="s">
        <v>23</v>
      </c>
      <c r="F207" t="s">
        <v>30</v>
      </c>
      <c r="G207">
        <v>0.14000000000000001</v>
      </c>
      <c r="H207">
        <v>0.1212</v>
      </c>
      <c r="I207">
        <v>0.46</v>
      </c>
      <c r="J207">
        <v>0.25369999999999998</v>
      </c>
      <c r="K207">
        <v>0</v>
      </c>
      <c r="L207">
        <v>38</v>
      </c>
      <c r="M207">
        <v>38</v>
      </c>
    </row>
    <row r="208" spans="1:13" x14ac:dyDescent="0.3">
      <c r="A208">
        <v>207</v>
      </c>
      <c r="B208" s="1">
        <v>40552</v>
      </c>
      <c r="C208">
        <v>21</v>
      </c>
      <c r="D208" t="b">
        <v>0</v>
      </c>
      <c r="E208" t="s">
        <v>23</v>
      </c>
      <c r="F208" t="s">
        <v>30</v>
      </c>
      <c r="G208">
        <v>0.14000000000000001</v>
      </c>
      <c r="H208">
        <v>0.1061</v>
      </c>
      <c r="I208">
        <v>0.46</v>
      </c>
      <c r="J208">
        <v>0.41789999999999999</v>
      </c>
      <c r="K208">
        <v>1</v>
      </c>
      <c r="L208">
        <v>19</v>
      </c>
      <c r="M208">
        <v>20</v>
      </c>
    </row>
    <row r="209" spans="1:13" x14ac:dyDescent="0.3">
      <c r="A209">
        <v>208</v>
      </c>
      <c r="B209" s="1">
        <v>40552</v>
      </c>
      <c r="C209">
        <v>22</v>
      </c>
      <c r="D209" t="b">
        <v>0</v>
      </c>
      <c r="E209" t="s">
        <v>23</v>
      </c>
      <c r="F209" t="s">
        <v>30</v>
      </c>
      <c r="G209">
        <v>0.14000000000000001</v>
      </c>
      <c r="H209">
        <v>0.1212</v>
      </c>
      <c r="I209">
        <v>0.46</v>
      </c>
      <c r="J209">
        <v>0.29849999999999999</v>
      </c>
      <c r="K209">
        <v>5</v>
      </c>
      <c r="L209">
        <v>10</v>
      </c>
      <c r="M209">
        <v>15</v>
      </c>
    </row>
    <row r="210" spans="1:13" x14ac:dyDescent="0.3">
      <c r="A210">
        <v>209</v>
      </c>
      <c r="B210" s="1">
        <v>40552</v>
      </c>
      <c r="C210">
        <v>23</v>
      </c>
      <c r="D210" t="b">
        <v>0</v>
      </c>
      <c r="E210" t="s">
        <v>23</v>
      </c>
      <c r="F210" t="s">
        <v>30</v>
      </c>
      <c r="G210">
        <v>0.12</v>
      </c>
      <c r="H210">
        <v>0.13639999999999999</v>
      </c>
      <c r="I210">
        <v>0.5</v>
      </c>
      <c r="J210">
        <v>0.19400000000000001</v>
      </c>
      <c r="K210">
        <v>0</v>
      </c>
      <c r="L210">
        <v>6</v>
      </c>
      <c r="M210">
        <v>6</v>
      </c>
    </row>
    <row r="211" spans="1:13" x14ac:dyDescent="0.3">
      <c r="A211">
        <v>210</v>
      </c>
      <c r="B211" s="1">
        <v>40553</v>
      </c>
      <c r="C211">
        <v>0</v>
      </c>
      <c r="D211" t="b">
        <v>0</v>
      </c>
      <c r="E211" t="s">
        <v>24</v>
      </c>
      <c r="F211" t="s">
        <v>30</v>
      </c>
      <c r="G211">
        <v>0.12</v>
      </c>
      <c r="H211">
        <v>0.1212</v>
      </c>
      <c r="I211">
        <v>0.5</v>
      </c>
      <c r="J211">
        <v>0.28360000000000002</v>
      </c>
      <c r="K211">
        <v>2</v>
      </c>
      <c r="L211">
        <v>3</v>
      </c>
      <c r="M211">
        <v>5</v>
      </c>
    </row>
    <row r="212" spans="1:13" x14ac:dyDescent="0.3">
      <c r="A212">
        <v>211</v>
      </c>
      <c r="B212" s="1">
        <v>40553</v>
      </c>
      <c r="C212">
        <v>1</v>
      </c>
      <c r="D212" t="b">
        <v>0</v>
      </c>
      <c r="E212" t="s">
        <v>24</v>
      </c>
      <c r="F212" t="s">
        <v>30</v>
      </c>
      <c r="G212">
        <v>0.12</v>
      </c>
      <c r="H212">
        <v>0.1212</v>
      </c>
      <c r="I212">
        <v>0.5</v>
      </c>
      <c r="J212">
        <v>0.28360000000000002</v>
      </c>
      <c r="K212">
        <v>1</v>
      </c>
      <c r="L212">
        <v>0</v>
      </c>
      <c r="M212">
        <v>1</v>
      </c>
    </row>
    <row r="213" spans="1:13" x14ac:dyDescent="0.3">
      <c r="A213">
        <v>212</v>
      </c>
      <c r="B213" s="1">
        <v>40553</v>
      </c>
      <c r="C213">
        <v>2</v>
      </c>
      <c r="D213" t="b">
        <v>0</v>
      </c>
      <c r="E213" t="s">
        <v>24</v>
      </c>
      <c r="F213" t="s">
        <v>30</v>
      </c>
      <c r="G213">
        <v>0.12</v>
      </c>
      <c r="H213">
        <v>0.1212</v>
      </c>
      <c r="I213">
        <v>0.5</v>
      </c>
      <c r="J213">
        <v>0.22389999999999999</v>
      </c>
      <c r="K213">
        <v>0</v>
      </c>
      <c r="L213">
        <v>3</v>
      </c>
      <c r="M213">
        <v>3</v>
      </c>
    </row>
    <row r="214" spans="1:13" x14ac:dyDescent="0.3">
      <c r="A214">
        <v>213</v>
      </c>
      <c r="B214" s="1">
        <v>40553</v>
      </c>
      <c r="C214">
        <v>3</v>
      </c>
      <c r="D214" t="b">
        <v>0</v>
      </c>
      <c r="E214" t="s">
        <v>24</v>
      </c>
      <c r="F214" t="s">
        <v>30</v>
      </c>
      <c r="G214">
        <v>0.12</v>
      </c>
      <c r="H214">
        <v>0.1212</v>
      </c>
      <c r="I214">
        <v>0.5</v>
      </c>
      <c r="J214">
        <v>0.22389999999999999</v>
      </c>
      <c r="K214">
        <v>0</v>
      </c>
      <c r="L214">
        <v>1</v>
      </c>
      <c r="M214">
        <v>1</v>
      </c>
    </row>
    <row r="215" spans="1:13" x14ac:dyDescent="0.3">
      <c r="A215">
        <v>214</v>
      </c>
      <c r="B215" s="1">
        <v>40553</v>
      </c>
      <c r="C215">
        <v>4</v>
      </c>
      <c r="D215" t="b">
        <v>0</v>
      </c>
      <c r="E215" t="s">
        <v>24</v>
      </c>
      <c r="F215" t="s">
        <v>30</v>
      </c>
      <c r="G215">
        <v>0.1</v>
      </c>
      <c r="H215">
        <v>0.1212</v>
      </c>
      <c r="I215">
        <v>0.54</v>
      </c>
      <c r="J215">
        <v>0.1343</v>
      </c>
      <c r="K215">
        <v>1</v>
      </c>
      <c r="L215">
        <v>2</v>
      </c>
      <c r="M215">
        <v>3</v>
      </c>
    </row>
    <row r="216" spans="1:13" x14ac:dyDescent="0.3">
      <c r="A216">
        <v>215</v>
      </c>
      <c r="B216" s="1">
        <v>40553</v>
      </c>
      <c r="C216">
        <v>5</v>
      </c>
      <c r="D216" t="b">
        <v>0</v>
      </c>
      <c r="E216" t="s">
        <v>24</v>
      </c>
      <c r="F216" t="s">
        <v>30</v>
      </c>
      <c r="G216">
        <v>0.1</v>
      </c>
      <c r="H216">
        <v>0.1061</v>
      </c>
      <c r="I216">
        <v>0.54</v>
      </c>
      <c r="J216">
        <v>0.25369999999999998</v>
      </c>
      <c r="K216">
        <v>0</v>
      </c>
      <c r="L216">
        <v>3</v>
      </c>
      <c r="M216">
        <v>3</v>
      </c>
    </row>
    <row r="217" spans="1:13" x14ac:dyDescent="0.3">
      <c r="A217">
        <v>216</v>
      </c>
      <c r="B217" s="1">
        <v>40553</v>
      </c>
      <c r="C217">
        <v>6</v>
      </c>
      <c r="D217" t="b">
        <v>0</v>
      </c>
      <c r="E217" t="s">
        <v>24</v>
      </c>
      <c r="F217" t="s">
        <v>30</v>
      </c>
      <c r="G217">
        <v>0.12</v>
      </c>
      <c r="H217">
        <v>0.1212</v>
      </c>
      <c r="I217">
        <v>0.5</v>
      </c>
      <c r="J217">
        <v>0.28360000000000002</v>
      </c>
      <c r="K217">
        <v>0</v>
      </c>
      <c r="L217">
        <v>31</v>
      </c>
      <c r="M217">
        <v>31</v>
      </c>
    </row>
    <row r="218" spans="1:13" x14ac:dyDescent="0.3">
      <c r="A218">
        <v>217</v>
      </c>
      <c r="B218" s="1">
        <v>40553</v>
      </c>
      <c r="C218">
        <v>7</v>
      </c>
      <c r="D218" t="b">
        <v>0</v>
      </c>
      <c r="E218" t="s">
        <v>24</v>
      </c>
      <c r="F218" t="s">
        <v>30</v>
      </c>
      <c r="G218">
        <v>0.12</v>
      </c>
      <c r="H218">
        <v>0.1212</v>
      </c>
      <c r="I218">
        <v>0.5</v>
      </c>
      <c r="J218">
        <v>0.22389999999999999</v>
      </c>
      <c r="K218">
        <v>2</v>
      </c>
      <c r="L218">
        <v>75</v>
      </c>
      <c r="M218">
        <v>77</v>
      </c>
    </row>
    <row r="219" spans="1:13" x14ac:dyDescent="0.3">
      <c r="A219">
        <v>218</v>
      </c>
      <c r="B219" s="1">
        <v>40553</v>
      </c>
      <c r="C219">
        <v>8</v>
      </c>
      <c r="D219" t="b">
        <v>0</v>
      </c>
      <c r="E219" t="s">
        <v>24</v>
      </c>
      <c r="F219" t="s">
        <v>31</v>
      </c>
      <c r="G219">
        <v>0.12</v>
      </c>
      <c r="H219">
        <v>0.1212</v>
      </c>
      <c r="I219">
        <v>0.5</v>
      </c>
      <c r="J219">
        <v>0.28360000000000002</v>
      </c>
      <c r="K219">
        <v>4</v>
      </c>
      <c r="L219">
        <v>184</v>
      </c>
      <c r="M219">
        <v>188</v>
      </c>
    </row>
    <row r="220" spans="1:13" x14ac:dyDescent="0.3">
      <c r="A220">
        <v>219</v>
      </c>
      <c r="B220" s="1">
        <v>40553</v>
      </c>
      <c r="C220">
        <v>9</v>
      </c>
      <c r="D220" t="b">
        <v>0</v>
      </c>
      <c r="E220" t="s">
        <v>24</v>
      </c>
      <c r="F220" t="s">
        <v>31</v>
      </c>
      <c r="G220">
        <v>0.14000000000000001</v>
      </c>
      <c r="H220">
        <v>0.1212</v>
      </c>
      <c r="I220">
        <v>0.5</v>
      </c>
      <c r="J220">
        <v>0.25369999999999998</v>
      </c>
      <c r="K220">
        <v>2</v>
      </c>
      <c r="L220">
        <v>92</v>
      </c>
      <c r="M220">
        <v>94</v>
      </c>
    </row>
    <row r="221" spans="1:13" x14ac:dyDescent="0.3">
      <c r="A221">
        <v>220</v>
      </c>
      <c r="B221" s="1">
        <v>40553</v>
      </c>
      <c r="C221">
        <v>10</v>
      </c>
      <c r="D221" t="b">
        <v>0</v>
      </c>
      <c r="E221" t="s">
        <v>24</v>
      </c>
      <c r="F221" t="s">
        <v>31</v>
      </c>
      <c r="G221">
        <v>0.14000000000000001</v>
      </c>
      <c r="H221">
        <v>0.1212</v>
      </c>
      <c r="I221">
        <v>0.5</v>
      </c>
      <c r="J221">
        <v>0.29849999999999999</v>
      </c>
      <c r="K221">
        <v>0</v>
      </c>
      <c r="L221">
        <v>31</v>
      </c>
      <c r="M221">
        <v>31</v>
      </c>
    </row>
    <row r="222" spans="1:13" x14ac:dyDescent="0.3">
      <c r="A222">
        <v>221</v>
      </c>
      <c r="B222" s="1">
        <v>40553</v>
      </c>
      <c r="C222">
        <v>11</v>
      </c>
      <c r="D222" t="b">
        <v>0</v>
      </c>
      <c r="E222" t="s">
        <v>24</v>
      </c>
      <c r="F222" t="s">
        <v>31</v>
      </c>
      <c r="G222">
        <v>0.16</v>
      </c>
      <c r="H222">
        <v>0.13639999999999999</v>
      </c>
      <c r="I222">
        <v>0.47</v>
      </c>
      <c r="J222">
        <v>0.28360000000000002</v>
      </c>
      <c r="K222">
        <v>2</v>
      </c>
      <c r="L222">
        <v>28</v>
      </c>
      <c r="M222">
        <v>30</v>
      </c>
    </row>
    <row r="223" spans="1:13" x14ac:dyDescent="0.3">
      <c r="A223">
        <v>222</v>
      </c>
      <c r="B223" s="1">
        <v>40553</v>
      </c>
      <c r="C223">
        <v>12</v>
      </c>
      <c r="D223" t="b">
        <v>0</v>
      </c>
      <c r="E223" t="s">
        <v>24</v>
      </c>
      <c r="F223" t="s">
        <v>31</v>
      </c>
      <c r="G223">
        <v>0.2</v>
      </c>
      <c r="H223">
        <v>0.18179999999999999</v>
      </c>
      <c r="I223">
        <v>0.4</v>
      </c>
      <c r="J223">
        <v>0.28360000000000002</v>
      </c>
      <c r="K223">
        <v>5</v>
      </c>
      <c r="L223">
        <v>47</v>
      </c>
      <c r="M223">
        <v>52</v>
      </c>
    </row>
    <row r="224" spans="1:13" x14ac:dyDescent="0.3">
      <c r="A224">
        <v>223</v>
      </c>
      <c r="B224" s="1">
        <v>40553</v>
      </c>
      <c r="C224">
        <v>13</v>
      </c>
      <c r="D224" t="b">
        <v>0</v>
      </c>
      <c r="E224" t="s">
        <v>24</v>
      </c>
      <c r="F224" t="s">
        <v>31</v>
      </c>
      <c r="G224">
        <v>0.2</v>
      </c>
      <c r="H224">
        <v>0.18179999999999999</v>
      </c>
      <c r="I224">
        <v>0.4</v>
      </c>
      <c r="J224">
        <v>0.28360000000000002</v>
      </c>
      <c r="K224">
        <v>4</v>
      </c>
      <c r="L224">
        <v>50</v>
      </c>
      <c r="M224">
        <v>54</v>
      </c>
    </row>
    <row r="225" spans="1:13" x14ac:dyDescent="0.3">
      <c r="A225">
        <v>224</v>
      </c>
      <c r="B225" s="1">
        <v>40553</v>
      </c>
      <c r="C225">
        <v>14</v>
      </c>
      <c r="D225" t="b">
        <v>0</v>
      </c>
      <c r="E225" t="s">
        <v>24</v>
      </c>
      <c r="F225" t="s">
        <v>31</v>
      </c>
      <c r="G225">
        <v>0.2</v>
      </c>
      <c r="H225">
        <v>0.19700000000000001</v>
      </c>
      <c r="I225">
        <v>0.4</v>
      </c>
      <c r="J225">
        <v>0.22389999999999999</v>
      </c>
      <c r="K225">
        <v>0</v>
      </c>
      <c r="L225">
        <v>47</v>
      </c>
      <c r="M225">
        <v>47</v>
      </c>
    </row>
    <row r="226" spans="1:13" x14ac:dyDescent="0.3">
      <c r="A226">
        <v>225</v>
      </c>
      <c r="B226" s="1">
        <v>40553</v>
      </c>
      <c r="C226">
        <v>15</v>
      </c>
      <c r="D226" t="b">
        <v>0</v>
      </c>
      <c r="E226" t="s">
        <v>24</v>
      </c>
      <c r="F226" t="s">
        <v>31</v>
      </c>
      <c r="G226">
        <v>0.2</v>
      </c>
      <c r="H226">
        <v>0.19700000000000001</v>
      </c>
      <c r="I226">
        <v>0.4</v>
      </c>
      <c r="J226">
        <v>0.22389999999999999</v>
      </c>
      <c r="K226">
        <v>2</v>
      </c>
      <c r="L226">
        <v>43</v>
      </c>
      <c r="M226">
        <v>45</v>
      </c>
    </row>
    <row r="227" spans="1:13" x14ac:dyDescent="0.3">
      <c r="A227">
        <v>226</v>
      </c>
      <c r="B227" s="1">
        <v>40553</v>
      </c>
      <c r="C227">
        <v>16</v>
      </c>
      <c r="D227" t="b">
        <v>0</v>
      </c>
      <c r="E227" t="s">
        <v>24</v>
      </c>
      <c r="F227" t="s">
        <v>30</v>
      </c>
      <c r="G227">
        <v>0.2</v>
      </c>
      <c r="H227">
        <v>0.21210000000000001</v>
      </c>
      <c r="I227">
        <v>0.4</v>
      </c>
      <c r="J227">
        <v>0.1343</v>
      </c>
      <c r="K227">
        <v>4</v>
      </c>
      <c r="L227">
        <v>70</v>
      </c>
      <c r="M227">
        <v>74</v>
      </c>
    </row>
    <row r="228" spans="1:13" x14ac:dyDescent="0.3">
      <c r="A228">
        <v>227</v>
      </c>
      <c r="B228" s="1">
        <v>40553</v>
      </c>
      <c r="C228">
        <v>17</v>
      </c>
      <c r="D228" t="b">
        <v>0</v>
      </c>
      <c r="E228" t="s">
        <v>24</v>
      </c>
      <c r="F228" t="s">
        <v>30</v>
      </c>
      <c r="G228">
        <v>0.2</v>
      </c>
      <c r="H228">
        <v>0.2273</v>
      </c>
      <c r="I228">
        <v>0.4</v>
      </c>
      <c r="J228">
        <v>0.1045</v>
      </c>
      <c r="K228">
        <v>4</v>
      </c>
      <c r="L228">
        <v>174</v>
      </c>
      <c r="M228">
        <v>178</v>
      </c>
    </row>
    <row r="229" spans="1:13" x14ac:dyDescent="0.3">
      <c r="A229">
        <v>228</v>
      </c>
      <c r="B229" s="1">
        <v>40553</v>
      </c>
      <c r="C229">
        <v>18</v>
      </c>
      <c r="D229" t="b">
        <v>0</v>
      </c>
      <c r="E229" t="s">
        <v>24</v>
      </c>
      <c r="F229" t="s">
        <v>30</v>
      </c>
      <c r="G229">
        <v>0.2</v>
      </c>
      <c r="H229">
        <v>0.19700000000000001</v>
      </c>
      <c r="I229">
        <v>0.4</v>
      </c>
      <c r="J229">
        <v>0.22389999999999999</v>
      </c>
      <c r="K229">
        <v>1</v>
      </c>
      <c r="L229">
        <v>154</v>
      </c>
      <c r="M229">
        <v>155</v>
      </c>
    </row>
    <row r="230" spans="1:13" x14ac:dyDescent="0.3">
      <c r="A230">
        <v>229</v>
      </c>
      <c r="B230" s="1">
        <v>40553</v>
      </c>
      <c r="C230">
        <v>19</v>
      </c>
      <c r="D230" t="b">
        <v>0</v>
      </c>
      <c r="E230" t="s">
        <v>24</v>
      </c>
      <c r="F230" t="s">
        <v>30</v>
      </c>
      <c r="G230">
        <v>0.16</v>
      </c>
      <c r="H230">
        <v>0.16669999999999999</v>
      </c>
      <c r="I230">
        <v>0.47</v>
      </c>
      <c r="J230">
        <v>0.16420000000000001</v>
      </c>
      <c r="K230">
        <v>3</v>
      </c>
      <c r="L230">
        <v>92</v>
      </c>
      <c r="M230">
        <v>95</v>
      </c>
    </row>
    <row r="231" spans="1:13" x14ac:dyDescent="0.3">
      <c r="A231">
        <v>230</v>
      </c>
      <c r="B231" s="1">
        <v>40553</v>
      </c>
      <c r="C231">
        <v>20</v>
      </c>
      <c r="D231" t="b">
        <v>0</v>
      </c>
      <c r="E231" t="s">
        <v>24</v>
      </c>
      <c r="F231" t="s">
        <v>30</v>
      </c>
      <c r="G231">
        <v>0.16</v>
      </c>
      <c r="H231">
        <v>0.16669999999999999</v>
      </c>
      <c r="I231">
        <v>0.5</v>
      </c>
      <c r="J231">
        <v>0.16420000000000001</v>
      </c>
      <c r="K231">
        <v>1</v>
      </c>
      <c r="L231">
        <v>73</v>
      </c>
      <c r="M231">
        <v>74</v>
      </c>
    </row>
    <row r="232" spans="1:13" x14ac:dyDescent="0.3">
      <c r="A232">
        <v>231</v>
      </c>
      <c r="B232" s="1">
        <v>40553</v>
      </c>
      <c r="C232">
        <v>21</v>
      </c>
      <c r="D232" t="b">
        <v>0</v>
      </c>
      <c r="E232" t="s">
        <v>24</v>
      </c>
      <c r="F232" t="s">
        <v>30</v>
      </c>
      <c r="G232">
        <v>0.14000000000000001</v>
      </c>
      <c r="H232">
        <v>0.13639999999999999</v>
      </c>
      <c r="I232">
        <v>0.59</v>
      </c>
      <c r="J232">
        <v>0.19400000000000001</v>
      </c>
      <c r="K232">
        <v>1</v>
      </c>
      <c r="L232">
        <v>37</v>
      </c>
      <c r="M232">
        <v>38</v>
      </c>
    </row>
    <row r="233" spans="1:13" x14ac:dyDescent="0.3">
      <c r="A233">
        <v>232</v>
      </c>
      <c r="B233" s="1">
        <v>40553</v>
      </c>
      <c r="C233">
        <v>22</v>
      </c>
      <c r="D233" t="b">
        <v>0</v>
      </c>
      <c r="E233" t="s">
        <v>24</v>
      </c>
      <c r="F233" t="s">
        <v>30</v>
      </c>
      <c r="G233">
        <v>0.14000000000000001</v>
      </c>
      <c r="H233">
        <v>0.1515</v>
      </c>
      <c r="I233">
        <v>0.59</v>
      </c>
      <c r="J233">
        <v>0.16420000000000001</v>
      </c>
      <c r="K233">
        <v>2</v>
      </c>
      <c r="L233">
        <v>22</v>
      </c>
      <c r="M233">
        <v>24</v>
      </c>
    </row>
    <row r="234" spans="1:13" x14ac:dyDescent="0.3">
      <c r="A234">
        <v>233</v>
      </c>
      <c r="B234" s="1">
        <v>40553</v>
      </c>
      <c r="C234">
        <v>23</v>
      </c>
      <c r="D234" t="b">
        <v>0</v>
      </c>
      <c r="E234" t="s">
        <v>24</v>
      </c>
      <c r="F234" t="s">
        <v>30</v>
      </c>
      <c r="G234">
        <v>0.14000000000000001</v>
      </c>
      <c r="H234">
        <v>0.1515</v>
      </c>
      <c r="I234">
        <v>0.59</v>
      </c>
      <c r="J234">
        <v>0.16420000000000001</v>
      </c>
      <c r="K234">
        <v>0</v>
      </c>
      <c r="L234">
        <v>18</v>
      </c>
      <c r="M234">
        <v>18</v>
      </c>
    </row>
    <row r="235" spans="1:13" x14ac:dyDescent="0.3">
      <c r="A235">
        <v>234</v>
      </c>
      <c r="B235" s="1">
        <v>40554</v>
      </c>
      <c r="C235">
        <v>0</v>
      </c>
      <c r="D235" t="b">
        <v>0</v>
      </c>
      <c r="E235" t="s">
        <v>25</v>
      </c>
      <c r="F235" t="s">
        <v>30</v>
      </c>
      <c r="G235">
        <v>0.14000000000000001</v>
      </c>
      <c r="H235">
        <v>0.16669999999999999</v>
      </c>
      <c r="I235">
        <v>0.59</v>
      </c>
      <c r="J235">
        <v>0.1045</v>
      </c>
      <c r="K235">
        <v>2</v>
      </c>
      <c r="L235">
        <v>10</v>
      </c>
      <c r="M235">
        <v>12</v>
      </c>
    </row>
    <row r="236" spans="1:13" x14ac:dyDescent="0.3">
      <c r="A236">
        <v>235</v>
      </c>
      <c r="B236" s="1">
        <v>40554</v>
      </c>
      <c r="C236">
        <v>1</v>
      </c>
      <c r="D236" t="b">
        <v>0</v>
      </c>
      <c r="E236" t="s">
        <v>25</v>
      </c>
      <c r="F236" t="s">
        <v>30</v>
      </c>
      <c r="G236">
        <v>0.14000000000000001</v>
      </c>
      <c r="H236">
        <v>0.1515</v>
      </c>
      <c r="I236">
        <v>0.59</v>
      </c>
      <c r="J236">
        <v>0.16420000000000001</v>
      </c>
      <c r="K236">
        <v>0</v>
      </c>
      <c r="L236">
        <v>3</v>
      </c>
      <c r="M236">
        <v>3</v>
      </c>
    </row>
    <row r="237" spans="1:13" x14ac:dyDescent="0.3">
      <c r="A237">
        <v>236</v>
      </c>
      <c r="B237" s="1">
        <v>40554</v>
      </c>
      <c r="C237">
        <v>2</v>
      </c>
      <c r="D237" t="b">
        <v>0</v>
      </c>
      <c r="E237" t="s">
        <v>25</v>
      </c>
      <c r="F237" t="s">
        <v>31</v>
      </c>
      <c r="G237">
        <v>0.16</v>
      </c>
      <c r="H237">
        <v>0.1515</v>
      </c>
      <c r="I237">
        <v>0.55000000000000004</v>
      </c>
      <c r="J237">
        <v>0.19400000000000001</v>
      </c>
      <c r="K237">
        <v>0</v>
      </c>
      <c r="L237">
        <v>3</v>
      </c>
      <c r="M237">
        <v>3</v>
      </c>
    </row>
    <row r="238" spans="1:13" x14ac:dyDescent="0.3">
      <c r="A238">
        <v>237</v>
      </c>
      <c r="B238" s="1">
        <v>40554</v>
      </c>
      <c r="C238">
        <v>5</v>
      </c>
      <c r="D238" t="b">
        <v>0</v>
      </c>
      <c r="E238" t="s">
        <v>25</v>
      </c>
      <c r="F238" t="s">
        <v>31</v>
      </c>
      <c r="G238">
        <v>0.16</v>
      </c>
      <c r="H238">
        <v>0.18179999999999999</v>
      </c>
      <c r="I238">
        <v>0.55000000000000004</v>
      </c>
      <c r="J238">
        <v>0.1343</v>
      </c>
      <c r="K238">
        <v>0</v>
      </c>
      <c r="L238">
        <v>6</v>
      </c>
      <c r="M238">
        <v>6</v>
      </c>
    </row>
    <row r="239" spans="1:13" x14ac:dyDescent="0.3">
      <c r="A239">
        <v>238</v>
      </c>
      <c r="B239" s="1">
        <v>40554</v>
      </c>
      <c r="C239">
        <v>6</v>
      </c>
      <c r="D239" t="b">
        <v>0</v>
      </c>
      <c r="E239" t="s">
        <v>25</v>
      </c>
      <c r="F239" t="s">
        <v>31</v>
      </c>
      <c r="G239">
        <v>0.16</v>
      </c>
      <c r="H239">
        <v>0.18179999999999999</v>
      </c>
      <c r="I239">
        <v>0.55000000000000004</v>
      </c>
      <c r="J239">
        <v>0.1343</v>
      </c>
      <c r="K239">
        <v>0</v>
      </c>
      <c r="L239">
        <v>27</v>
      </c>
      <c r="M239">
        <v>27</v>
      </c>
    </row>
    <row r="240" spans="1:13" x14ac:dyDescent="0.3">
      <c r="A240">
        <v>239</v>
      </c>
      <c r="B240" s="1">
        <v>40554</v>
      </c>
      <c r="C240">
        <v>7</v>
      </c>
      <c r="D240" t="b">
        <v>0</v>
      </c>
      <c r="E240" t="s">
        <v>25</v>
      </c>
      <c r="F240" t="s">
        <v>31</v>
      </c>
      <c r="G240">
        <v>0.16</v>
      </c>
      <c r="H240">
        <v>0.2273</v>
      </c>
      <c r="I240">
        <v>0.55000000000000004</v>
      </c>
      <c r="J240">
        <v>0</v>
      </c>
      <c r="K240">
        <v>2</v>
      </c>
      <c r="L240">
        <v>97</v>
      </c>
      <c r="M240">
        <v>99</v>
      </c>
    </row>
    <row r="241" spans="1:13" x14ac:dyDescent="0.3">
      <c r="A241">
        <v>240</v>
      </c>
      <c r="B241" s="1">
        <v>40554</v>
      </c>
      <c r="C241">
        <v>8</v>
      </c>
      <c r="D241" t="b">
        <v>0</v>
      </c>
      <c r="E241" t="s">
        <v>25</v>
      </c>
      <c r="F241" t="s">
        <v>31</v>
      </c>
      <c r="G241">
        <v>0.18</v>
      </c>
      <c r="H241">
        <v>0.21210000000000001</v>
      </c>
      <c r="I241">
        <v>0.51</v>
      </c>
      <c r="J241">
        <v>8.9599999999999999E-2</v>
      </c>
      <c r="K241">
        <v>3</v>
      </c>
      <c r="L241">
        <v>214</v>
      </c>
      <c r="M241">
        <v>217</v>
      </c>
    </row>
    <row r="242" spans="1:13" x14ac:dyDescent="0.3">
      <c r="A242">
        <v>241</v>
      </c>
      <c r="B242" s="1">
        <v>40554</v>
      </c>
      <c r="C242">
        <v>9</v>
      </c>
      <c r="D242" t="b">
        <v>0</v>
      </c>
      <c r="E242" t="s">
        <v>25</v>
      </c>
      <c r="F242" t="s">
        <v>31</v>
      </c>
      <c r="G242">
        <v>0.18</v>
      </c>
      <c r="H242">
        <v>0.19700000000000001</v>
      </c>
      <c r="I242">
        <v>0.51</v>
      </c>
      <c r="J242">
        <v>0.16420000000000001</v>
      </c>
      <c r="K242">
        <v>3</v>
      </c>
      <c r="L242">
        <v>127</v>
      </c>
      <c r="M242">
        <v>130</v>
      </c>
    </row>
    <row r="243" spans="1:13" x14ac:dyDescent="0.3">
      <c r="A243">
        <v>242</v>
      </c>
      <c r="B243" s="1">
        <v>40554</v>
      </c>
      <c r="C243">
        <v>10</v>
      </c>
      <c r="D243" t="b">
        <v>0</v>
      </c>
      <c r="E243" t="s">
        <v>25</v>
      </c>
      <c r="F243" t="s">
        <v>31</v>
      </c>
      <c r="G243">
        <v>0.2</v>
      </c>
      <c r="H243">
        <v>0.21210000000000001</v>
      </c>
      <c r="I243">
        <v>0.51</v>
      </c>
      <c r="J243">
        <v>0.16420000000000001</v>
      </c>
      <c r="K243">
        <v>3</v>
      </c>
      <c r="L243">
        <v>51</v>
      </c>
      <c r="M243">
        <v>54</v>
      </c>
    </row>
    <row r="244" spans="1:13" x14ac:dyDescent="0.3">
      <c r="A244">
        <v>243</v>
      </c>
      <c r="B244" s="1">
        <v>40554</v>
      </c>
      <c r="C244">
        <v>11</v>
      </c>
      <c r="D244" t="b">
        <v>0</v>
      </c>
      <c r="E244" t="s">
        <v>25</v>
      </c>
      <c r="F244" t="s">
        <v>31</v>
      </c>
      <c r="G244">
        <v>0.2</v>
      </c>
      <c r="H244">
        <v>0.21210000000000001</v>
      </c>
      <c r="I244">
        <v>0.47</v>
      </c>
      <c r="J244">
        <v>0.1343</v>
      </c>
      <c r="K244">
        <v>4</v>
      </c>
      <c r="L244">
        <v>31</v>
      </c>
      <c r="M244">
        <v>35</v>
      </c>
    </row>
    <row r="245" spans="1:13" x14ac:dyDescent="0.3">
      <c r="A245">
        <v>244</v>
      </c>
      <c r="B245" s="1">
        <v>40554</v>
      </c>
      <c r="C245">
        <v>12</v>
      </c>
      <c r="D245" t="b">
        <v>0</v>
      </c>
      <c r="E245" t="s">
        <v>25</v>
      </c>
      <c r="F245" t="s">
        <v>31</v>
      </c>
      <c r="G245">
        <v>0.2</v>
      </c>
      <c r="H245">
        <v>0.2273</v>
      </c>
      <c r="I245">
        <v>0.51</v>
      </c>
      <c r="J245">
        <v>0.1045</v>
      </c>
      <c r="K245">
        <v>2</v>
      </c>
      <c r="L245">
        <v>55</v>
      </c>
      <c r="M245">
        <v>57</v>
      </c>
    </row>
    <row r="246" spans="1:13" x14ac:dyDescent="0.3">
      <c r="A246">
        <v>245</v>
      </c>
      <c r="B246" s="1">
        <v>40554</v>
      </c>
      <c r="C246">
        <v>13</v>
      </c>
      <c r="D246" t="b">
        <v>0</v>
      </c>
      <c r="E246" t="s">
        <v>25</v>
      </c>
      <c r="F246" t="s">
        <v>31</v>
      </c>
      <c r="G246">
        <v>0.2</v>
      </c>
      <c r="H246">
        <v>0.2273</v>
      </c>
      <c r="I246">
        <v>0.59</v>
      </c>
      <c r="J246">
        <v>8.9599999999999999E-2</v>
      </c>
      <c r="K246">
        <v>6</v>
      </c>
      <c r="L246">
        <v>46</v>
      </c>
      <c r="M246">
        <v>52</v>
      </c>
    </row>
    <row r="247" spans="1:13" x14ac:dyDescent="0.3">
      <c r="A247">
        <v>246</v>
      </c>
      <c r="B247" s="1">
        <v>40554</v>
      </c>
      <c r="C247">
        <v>14</v>
      </c>
      <c r="D247" t="b">
        <v>0</v>
      </c>
      <c r="E247" t="s">
        <v>25</v>
      </c>
      <c r="F247" t="s">
        <v>31</v>
      </c>
      <c r="G247">
        <v>0.2</v>
      </c>
      <c r="H247">
        <v>0.2273</v>
      </c>
      <c r="I247">
        <v>0.59</v>
      </c>
      <c r="J247">
        <v>8.9599999999999999E-2</v>
      </c>
      <c r="K247">
        <v>3</v>
      </c>
      <c r="L247">
        <v>60</v>
      </c>
      <c r="M247">
        <v>63</v>
      </c>
    </row>
    <row r="248" spans="1:13" x14ac:dyDescent="0.3">
      <c r="A248">
        <v>247</v>
      </c>
      <c r="B248" s="1">
        <v>40554</v>
      </c>
      <c r="C248">
        <v>15</v>
      </c>
      <c r="D248" t="b">
        <v>0</v>
      </c>
      <c r="E248" t="s">
        <v>25</v>
      </c>
      <c r="F248" t="s">
        <v>31</v>
      </c>
      <c r="G248">
        <v>0.16</v>
      </c>
      <c r="H248">
        <v>0.19700000000000001</v>
      </c>
      <c r="I248">
        <v>0.8</v>
      </c>
      <c r="J248">
        <v>8.9599999999999999E-2</v>
      </c>
      <c r="K248">
        <v>2</v>
      </c>
      <c r="L248">
        <v>45</v>
      </c>
      <c r="M248">
        <v>47</v>
      </c>
    </row>
    <row r="249" spans="1:13" x14ac:dyDescent="0.3">
      <c r="A249">
        <v>248</v>
      </c>
      <c r="B249" s="1">
        <v>40554</v>
      </c>
      <c r="C249">
        <v>16</v>
      </c>
      <c r="D249" t="b">
        <v>0</v>
      </c>
      <c r="E249" t="s">
        <v>25</v>
      </c>
      <c r="F249" t="s">
        <v>31</v>
      </c>
      <c r="G249">
        <v>0.16</v>
      </c>
      <c r="H249">
        <v>0.1515</v>
      </c>
      <c r="I249">
        <v>0.86</v>
      </c>
      <c r="J249">
        <v>0.22389999999999999</v>
      </c>
      <c r="K249">
        <v>4</v>
      </c>
      <c r="L249">
        <v>72</v>
      </c>
      <c r="M249">
        <v>76</v>
      </c>
    </row>
    <row r="250" spans="1:13" x14ac:dyDescent="0.3">
      <c r="A250">
        <v>249</v>
      </c>
      <c r="B250" s="1">
        <v>40554</v>
      </c>
      <c r="C250">
        <v>17</v>
      </c>
      <c r="D250" t="b">
        <v>0</v>
      </c>
      <c r="E250" t="s">
        <v>25</v>
      </c>
      <c r="F250" t="s">
        <v>31</v>
      </c>
      <c r="G250">
        <v>0.16</v>
      </c>
      <c r="H250">
        <v>0.1515</v>
      </c>
      <c r="I250">
        <v>0.86</v>
      </c>
      <c r="J250">
        <v>0.22389999999999999</v>
      </c>
      <c r="K250">
        <v>6</v>
      </c>
      <c r="L250">
        <v>130</v>
      </c>
      <c r="M250">
        <v>136</v>
      </c>
    </row>
    <row r="251" spans="1:13" x14ac:dyDescent="0.3">
      <c r="A251">
        <v>250</v>
      </c>
      <c r="B251" s="1">
        <v>40554</v>
      </c>
      <c r="C251">
        <v>18</v>
      </c>
      <c r="D251" t="b">
        <v>0</v>
      </c>
      <c r="E251" t="s">
        <v>25</v>
      </c>
      <c r="F251" t="s">
        <v>32</v>
      </c>
      <c r="G251">
        <v>0.16</v>
      </c>
      <c r="H251">
        <v>0.18179999999999999</v>
      </c>
      <c r="I251">
        <v>0.93</v>
      </c>
      <c r="J251">
        <v>0.1045</v>
      </c>
      <c r="K251">
        <v>1</v>
      </c>
      <c r="L251">
        <v>94</v>
      </c>
      <c r="M251">
        <v>95</v>
      </c>
    </row>
    <row r="252" spans="1:13" x14ac:dyDescent="0.3">
      <c r="A252">
        <v>251</v>
      </c>
      <c r="B252" s="1">
        <v>40554</v>
      </c>
      <c r="C252">
        <v>19</v>
      </c>
      <c r="D252" t="b">
        <v>0</v>
      </c>
      <c r="E252" t="s">
        <v>25</v>
      </c>
      <c r="F252" t="s">
        <v>32</v>
      </c>
      <c r="G252">
        <v>0.16</v>
      </c>
      <c r="H252">
        <v>0.2273</v>
      </c>
      <c r="I252">
        <v>0.93</v>
      </c>
      <c r="J252">
        <v>0</v>
      </c>
      <c r="K252">
        <v>0</v>
      </c>
      <c r="L252">
        <v>51</v>
      </c>
      <c r="M252">
        <v>51</v>
      </c>
    </row>
    <row r="253" spans="1:13" x14ac:dyDescent="0.3">
      <c r="A253">
        <v>252</v>
      </c>
      <c r="B253" s="1">
        <v>40554</v>
      </c>
      <c r="C253">
        <v>20</v>
      </c>
      <c r="D253" t="b">
        <v>0</v>
      </c>
      <c r="E253" t="s">
        <v>25</v>
      </c>
      <c r="F253" t="s">
        <v>32</v>
      </c>
      <c r="G253">
        <v>0.16</v>
      </c>
      <c r="H253">
        <v>0.1515</v>
      </c>
      <c r="I253">
        <v>0.93</v>
      </c>
      <c r="J253">
        <v>0.19400000000000001</v>
      </c>
      <c r="K253">
        <v>0</v>
      </c>
      <c r="L253">
        <v>32</v>
      </c>
      <c r="M253">
        <v>32</v>
      </c>
    </row>
    <row r="254" spans="1:13" x14ac:dyDescent="0.3">
      <c r="A254">
        <v>253</v>
      </c>
      <c r="B254" s="1">
        <v>40554</v>
      </c>
      <c r="C254">
        <v>21</v>
      </c>
      <c r="D254" t="b">
        <v>0</v>
      </c>
      <c r="E254" t="s">
        <v>25</v>
      </c>
      <c r="F254" t="s">
        <v>32</v>
      </c>
      <c r="G254">
        <v>0.16</v>
      </c>
      <c r="H254">
        <v>0.19700000000000001</v>
      </c>
      <c r="I254">
        <v>0.86</v>
      </c>
      <c r="J254">
        <v>8.9599999999999999E-2</v>
      </c>
      <c r="K254">
        <v>0</v>
      </c>
      <c r="L254">
        <v>20</v>
      </c>
      <c r="M254">
        <v>20</v>
      </c>
    </row>
    <row r="255" spans="1:13" x14ac:dyDescent="0.3">
      <c r="A255">
        <v>254</v>
      </c>
      <c r="B255" s="1">
        <v>40554</v>
      </c>
      <c r="C255">
        <v>22</v>
      </c>
      <c r="D255" t="b">
        <v>0</v>
      </c>
      <c r="E255" t="s">
        <v>25</v>
      </c>
      <c r="F255" t="s">
        <v>32</v>
      </c>
      <c r="G255">
        <v>0.16</v>
      </c>
      <c r="H255">
        <v>0.18179999999999999</v>
      </c>
      <c r="I255">
        <v>0.93</v>
      </c>
      <c r="J255">
        <v>0.1045</v>
      </c>
      <c r="K255">
        <v>1</v>
      </c>
      <c r="L255">
        <v>28</v>
      </c>
      <c r="M255">
        <v>29</v>
      </c>
    </row>
    <row r="256" spans="1:13" x14ac:dyDescent="0.3">
      <c r="A256">
        <v>255</v>
      </c>
      <c r="B256" s="1">
        <v>40554</v>
      </c>
      <c r="C256">
        <v>23</v>
      </c>
      <c r="D256" t="b">
        <v>0</v>
      </c>
      <c r="E256" t="s">
        <v>25</v>
      </c>
      <c r="F256" t="s">
        <v>32</v>
      </c>
      <c r="G256">
        <v>0.16</v>
      </c>
      <c r="H256">
        <v>0.19700000000000001</v>
      </c>
      <c r="I256">
        <v>0.93</v>
      </c>
      <c r="J256">
        <v>8.9599999999999999E-2</v>
      </c>
      <c r="K256">
        <v>1</v>
      </c>
      <c r="L256">
        <v>18</v>
      </c>
      <c r="M256">
        <v>19</v>
      </c>
    </row>
    <row r="257" spans="1:13" x14ac:dyDescent="0.3">
      <c r="A257">
        <v>256</v>
      </c>
      <c r="B257" s="1">
        <v>40555</v>
      </c>
      <c r="C257">
        <v>0</v>
      </c>
      <c r="D257" t="b">
        <v>0</v>
      </c>
      <c r="E257" t="s">
        <v>26</v>
      </c>
      <c r="F257" t="s">
        <v>31</v>
      </c>
      <c r="G257">
        <v>0.16</v>
      </c>
      <c r="H257">
        <v>0.19700000000000001</v>
      </c>
      <c r="I257">
        <v>0.86</v>
      </c>
      <c r="J257">
        <v>8.9599999999999999E-2</v>
      </c>
      <c r="K257">
        <v>0</v>
      </c>
      <c r="L257">
        <v>7</v>
      </c>
      <c r="M257">
        <v>7</v>
      </c>
    </row>
    <row r="258" spans="1:13" x14ac:dyDescent="0.3">
      <c r="A258">
        <v>257</v>
      </c>
      <c r="B258" s="1">
        <v>40555</v>
      </c>
      <c r="C258">
        <v>1</v>
      </c>
      <c r="D258" t="b">
        <v>0</v>
      </c>
      <c r="E258" t="s">
        <v>26</v>
      </c>
      <c r="F258" t="s">
        <v>31</v>
      </c>
      <c r="G258">
        <v>0.16</v>
      </c>
      <c r="H258">
        <v>0.18179999999999999</v>
      </c>
      <c r="I258">
        <v>0.86</v>
      </c>
      <c r="J258">
        <v>0.1045</v>
      </c>
      <c r="K258">
        <v>0</v>
      </c>
      <c r="L258">
        <v>6</v>
      </c>
      <c r="M258">
        <v>6</v>
      </c>
    </row>
    <row r="259" spans="1:13" x14ac:dyDescent="0.3">
      <c r="A259">
        <v>258</v>
      </c>
      <c r="B259" s="1">
        <v>40555</v>
      </c>
      <c r="C259">
        <v>2</v>
      </c>
      <c r="D259" t="b">
        <v>0</v>
      </c>
      <c r="E259" t="s">
        <v>26</v>
      </c>
      <c r="F259" t="s">
        <v>30</v>
      </c>
      <c r="G259">
        <v>0.14000000000000001</v>
      </c>
      <c r="H259">
        <v>0.1515</v>
      </c>
      <c r="I259">
        <v>0.86</v>
      </c>
      <c r="J259">
        <v>0.1343</v>
      </c>
      <c r="K259">
        <v>0</v>
      </c>
      <c r="L259">
        <v>1</v>
      </c>
      <c r="M259">
        <v>1</v>
      </c>
    </row>
    <row r="260" spans="1:13" x14ac:dyDescent="0.3">
      <c r="A260">
        <v>259</v>
      </c>
      <c r="B260" s="1">
        <v>40555</v>
      </c>
      <c r="C260">
        <v>5</v>
      </c>
      <c r="D260" t="b">
        <v>0</v>
      </c>
      <c r="E260" t="s">
        <v>26</v>
      </c>
      <c r="F260" t="s">
        <v>30</v>
      </c>
      <c r="G260">
        <v>0.14000000000000001</v>
      </c>
      <c r="H260">
        <v>0.1515</v>
      </c>
      <c r="I260">
        <v>0.86</v>
      </c>
      <c r="J260">
        <v>0.16420000000000001</v>
      </c>
      <c r="K260">
        <v>0</v>
      </c>
      <c r="L260">
        <v>5</v>
      </c>
      <c r="M260">
        <v>5</v>
      </c>
    </row>
    <row r="261" spans="1:13" x14ac:dyDescent="0.3">
      <c r="A261">
        <v>260</v>
      </c>
      <c r="B261" s="1">
        <v>40555</v>
      </c>
      <c r="C261">
        <v>6</v>
      </c>
      <c r="D261" t="b">
        <v>0</v>
      </c>
      <c r="E261" t="s">
        <v>26</v>
      </c>
      <c r="F261" t="s">
        <v>30</v>
      </c>
      <c r="G261">
        <v>0.12</v>
      </c>
      <c r="H261">
        <v>0.1515</v>
      </c>
      <c r="I261">
        <v>0.93</v>
      </c>
      <c r="J261">
        <v>0.1343</v>
      </c>
      <c r="K261">
        <v>0</v>
      </c>
      <c r="L261">
        <v>16</v>
      </c>
      <c r="M261">
        <v>16</v>
      </c>
    </row>
    <row r="262" spans="1:13" x14ac:dyDescent="0.3">
      <c r="A262">
        <v>261</v>
      </c>
      <c r="B262" s="1">
        <v>40555</v>
      </c>
      <c r="C262">
        <v>7</v>
      </c>
      <c r="D262" t="b">
        <v>0</v>
      </c>
      <c r="E262" t="s">
        <v>26</v>
      </c>
      <c r="F262" t="s">
        <v>30</v>
      </c>
      <c r="G262">
        <v>0.14000000000000001</v>
      </c>
      <c r="H262">
        <v>0.1515</v>
      </c>
      <c r="I262">
        <v>0.69</v>
      </c>
      <c r="J262">
        <v>0.1343</v>
      </c>
      <c r="K262">
        <v>0</v>
      </c>
      <c r="L262">
        <v>54</v>
      </c>
      <c r="M262">
        <v>54</v>
      </c>
    </row>
    <row r="263" spans="1:13" x14ac:dyDescent="0.3">
      <c r="A263">
        <v>262</v>
      </c>
      <c r="B263" s="1">
        <v>40555</v>
      </c>
      <c r="C263">
        <v>8</v>
      </c>
      <c r="D263" t="b">
        <v>0</v>
      </c>
      <c r="E263" t="s">
        <v>26</v>
      </c>
      <c r="F263" t="s">
        <v>30</v>
      </c>
      <c r="G263">
        <v>0.16</v>
      </c>
      <c r="H263">
        <v>0.16669999999999999</v>
      </c>
      <c r="I263">
        <v>0.59</v>
      </c>
      <c r="J263">
        <v>0.16420000000000001</v>
      </c>
      <c r="K263">
        <v>3</v>
      </c>
      <c r="L263">
        <v>125</v>
      </c>
      <c r="M263">
        <v>128</v>
      </c>
    </row>
    <row r="264" spans="1:13" x14ac:dyDescent="0.3">
      <c r="A264">
        <v>263</v>
      </c>
      <c r="B264" s="1">
        <v>40555</v>
      </c>
      <c r="C264">
        <v>9</v>
      </c>
      <c r="D264" t="b">
        <v>0</v>
      </c>
      <c r="E264" t="s">
        <v>26</v>
      </c>
      <c r="F264" t="s">
        <v>30</v>
      </c>
      <c r="G264">
        <v>0.16</v>
      </c>
      <c r="H264">
        <v>0.13639999999999999</v>
      </c>
      <c r="I264">
        <v>0.59</v>
      </c>
      <c r="J264">
        <v>0.32840000000000003</v>
      </c>
      <c r="K264">
        <v>3</v>
      </c>
      <c r="L264">
        <v>78</v>
      </c>
      <c r="M264">
        <v>81</v>
      </c>
    </row>
    <row r="265" spans="1:13" x14ac:dyDescent="0.3">
      <c r="A265">
        <v>264</v>
      </c>
      <c r="B265" s="1">
        <v>40555</v>
      </c>
      <c r="C265">
        <v>10</v>
      </c>
      <c r="D265" t="b">
        <v>0</v>
      </c>
      <c r="E265" t="s">
        <v>26</v>
      </c>
      <c r="F265" t="s">
        <v>30</v>
      </c>
      <c r="G265">
        <v>0.18</v>
      </c>
      <c r="H265">
        <v>0.18179999999999999</v>
      </c>
      <c r="I265">
        <v>0.55000000000000004</v>
      </c>
      <c r="J265">
        <v>0.22389999999999999</v>
      </c>
      <c r="K265">
        <v>0</v>
      </c>
      <c r="L265">
        <v>39</v>
      </c>
      <c r="M265">
        <v>39</v>
      </c>
    </row>
    <row r="266" spans="1:13" x14ac:dyDescent="0.3">
      <c r="A266">
        <v>265</v>
      </c>
      <c r="B266" s="1">
        <v>40555</v>
      </c>
      <c r="C266">
        <v>11</v>
      </c>
      <c r="D266" t="b">
        <v>0</v>
      </c>
      <c r="E266" t="s">
        <v>26</v>
      </c>
      <c r="F266" t="s">
        <v>30</v>
      </c>
      <c r="G266">
        <v>0.2</v>
      </c>
      <c r="H266">
        <v>0.18179999999999999</v>
      </c>
      <c r="I266">
        <v>0.51</v>
      </c>
      <c r="J266">
        <v>0.3881</v>
      </c>
      <c r="K266">
        <v>3</v>
      </c>
      <c r="L266">
        <v>32</v>
      </c>
      <c r="M266">
        <v>35</v>
      </c>
    </row>
    <row r="267" spans="1:13" x14ac:dyDescent="0.3">
      <c r="A267">
        <v>266</v>
      </c>
      <c r="B267" s="1">
        <v>40555</v>
      </c>
      <c r="C267">
        <v>12</v>
      </c>
      <c r="D267" t="b">
        <v>0</v>
      </c>
      <c r="E267" t="s">
        <v>26</v>
      </c>
      <c r="F267" t="s">
        <v>30</v>
      </c>
      <c r="G267">
        <v>0.2</v>
      </c>
      <c r="H267">
        <v>0.1515</v>
      </c>
      <c r="I267">
        <v>0.47</v>
      </c>
      <c r="J267">
        <v>0.58209999999999995</v>
      </c>
      <c r="K267">
        <v>3</v>
      </c>
      <c r="L267">
        <v>52</v>
      </c>
      <c r="M267">
        <v>55</v>
      </c>
    </row>
    <row r="268" spans="1:13" x14ac:dyDescent="0.3">
      <c r="A268">
        <v>267</v>
      </c>
      <c r="B268" s="1">
        <v>40555</v>
      </c>
      <c r="C268">
        <v>13</v>
      </c>
      <c r="D268" t="b">
        <v>0</v>
      </c>
      <c r="E268" t="s">
        <v>26</v>
      </c>
      <c r="F268" t="s">
        <v>30</v>
      </c>
      <c r="G268">
        <v>0.22</v>
      </c>
      <c r="H268">
        <v>0.19700000000000001</v>
      </c>
      <c r="I268">
        <v>0.44</v>
      </c>
      <c r="J268">
        <v>0.35820000000000002</v>
      </c>
      <c r="K268">
        <v>0</v>
      </c>
      <c r="L268">
        <v>49</v>
      </c>
      <c r="M268">
        <v>49</v>
      </c>
    </row>
    <row r="269" spans="1:13" x14ac:dyDescent="0.3">
      <c r="A269">
        <v>268</v>
      </c>
      <c r="B269" s="1">
        <v>40555</v>
      </c>
      <c r="C269">
        <v>14</v>
      </c>
      <c r="D269" t="b">
        <v>0</v>
      </c>
      <c r="E269" t="s">
        <v>26</v>
      </c>
      <c r="F269" t="s">
        <v>30</v>
      </c>
      <c r="G269">
        <v>0.2</v>
      </c>
      <c r="H269">
        <v>0.18179999999999999</v>
      </c>
      <c r="I269">
        <v>0.47</v>
      </c>
      <c r="J269">
        <v>0.32840000000000003</v>
      </c>
      <c r="K269">
        <v>0</v>
      </c>
      <c r="L269">
        <v>44</v>
      </c>
      <c r="M269">
        <v>44</v>
      </c>
    </row>
    <row r="270" spans="1:13" x14ac:dyDescent="0.3">
      <c r="A270">
        <v>269</v>
      </c>
      <c r="B270" s="1">
        <v>40555</v>
      </c>
      <c r="C270">
        <v>15</v>
      </c>
      <c r="D270" t="b">
        <v>0</v>
      </c>
      <c r="E270" t="s">
        <v>26</v>
      </c>
      <c r="F270" t="s">
        <v>30</v>
      </c>
      <c r="G270">
        <v>0.2</v>
      </c>
      <c r="H270">
        <v>0.16669999999999999</v>
      </c>
      <c r="I270">
        <v>0.47</v>
      </c>
      <c r="J270">
        <v>0.41789999999999999</v>
      </c>
      <c r="K270">
        <v>1</v>
      </c>
      <c r="L270">
        <v>48</v>
      </c>
      <c r="M270">
        <v>49</v>
      </c>
    </row>
    <row r="271" spans="1:13" x14ac:dyDescent="0.3">
      <c r="A271">
        <v>270</v>
      </c>
      <c r="B271" s="1">
        <v>40555</v>
      </c>
      <c r="C271">
        <v>16</v>
      </c>
      <c r="D271" t="b">
        <v>0</v>
      </c>
      <c r="E271" t="s">
        <v>26</v>
      </c>
      <c r="F271" t="s">
        <v>30</v>
      </c>
      <c r="G271">
        <v>0.22</v>
      </c>
      <c r="H271">
        <v>0.19700000000000001</v>
      </c>
      <c r="I271">
        <v>0.44</v>
      </c>
      <c r="J271">
        <v>0.32840000000000003</v>
      </c>
      <c r="K271">
        <v>5</v>
      </c>
      <c r="L271">
        <v>63</v>
      </c>
      <c r="M271">
        <v>68</v>
      </c>
    </row>
    <row r="272" spans="1:13" x14ac:dyDescent="0.3">
      <c r="A272">
        <v>271</v>
      </c>
      <c r="B272" s="1">
        <v>40555</v>
      </c>
      <c r="C272">
        <v>17</v>
      </c>
      <c r="D272" t="b">
        <v>0</v>
      </c>
      <c r="E272" t="s">
        <v>26</v>
      </c>
      <c r="F272" t="s">
        <v>30</v>
      </c>
      <c r="G272">
        <v>0.2</v>
      </c>
      <c r="H272">
        <v>0.18179999999999999</v>
      </c>
      <c r="I272">
        <v>0.47</v>
      </c>
      <c r="J272">
        <v>0.35820000000000002</v>
      </c>
      <c r="K272">
        <v>0</v>
      </c>
      <c r="L272">
        <v>139</v>
      </c>
      <c r="M272">
        <v>139</v>
      </c>
    </row>
    <row r="273" spans="1:13" x14ac:dyDescent="0.3">
      <c r="A273">
        <v>272</v>
      </c>
      <c r="B273" s="1">
        <v>40555</v>
      </c>
      <c r="C273">
        <v>18</v>
      </c>
      <c r="D273" t="b">
        <v>0</v>
      </c>
      <c r="E273" t="s">
        <v>26</v>
      </c>
      <c r="F273" t="s">
        <v>30</v>
      </c>
      <c r="G273">
        <v>0.2</v>
      </c>
      <c r="H273">
        <v>0.1515</v>
      </c>
      <c r="I273">
        <v>0.47</v>
      </c>
      <c r="J273">
        <v>0.52239999999999998</v>
      </c>
      <c r="K273">
        <v>2</v>
      </c>
      <c r="L273">
        <v>135</v>
      </c>
      <c r="M273">
        <v>137</v>
      </c>
    </row>
    <row r="274" spans="1:13" x14ac:dyDescent="0.3">
      <c r="A274">
        <v>273</v>
      </c>
      <c r="B274" s="1">
        <v>40555</v>
      </c>
      <c r="C274">
        <v>19</v>
      </c>
      <c r="D274" t="b">
        <v>0</v>
      </c>
      <c r="E274" t="s">
        <v>26</v>
      </c>
      <c r="F274" t="s">
        <v>30</v>
      </c>
      <c r="G274">
        <v>0.18</v>
      </c>
      <c r="H274">
        <v>0.1515</v>
      </c>
      <c r="I274">
        <v>0.47</v>
      </c>
      <c r="J274">
        <v>0.41789999999999999</v>
      </c>
      <c r="K274">
        <v>1</v>
      </c>
      <c r="L274">
        <v>82</v>
      </c>
      <c r="M274">
        <v>83</v>
      </c>
    </row>
    <row r="275" spans="1:13" x14ac:dyDescent="0.3">
      <c r="A275">
        <v>274</v>
      </c>
      <c r="B275" s="1">
        <v>40555</v>
      </c>
      <c r="C275">
        <v>20</v>
      </c>
      <c r="D275" t="b">
        <v>0</v>
      </c>
      <c r="E275" t="s">
        <v>26</v>
      </c>
      <c r="F275" t="s">
        <v>30</v>
      </c>
      <c r="G275">
        <v>0.16</v>
      </c>
      <c r="H275">
        <v>0.13639999999999999</v>
      </c>
      <c r="I275">
        <v>0.5</v>
      </c>
      <c r="J275">
        <v>0.32840000000000003</v>
      </c>
      <c r="K275">
        <v>2</v>
      </c>
      <c r="L275">
        <v>54</v>
      </c>
      <c r="M275">
        <v>56</v>
      </c>
    </row>
    <row r="276" spans="1:13" x14ac:dyDescent="0.3">
      <c r="A276">
        <v>275</v>
      </c>
      <c r="B276" s="1">
        <v>40555</v>
      </c>
      <c r="C276">
        <v>21</v>
      </c>
      <c r="D276" t="b">
        <v>0</v>
      </c>
      <c r="E276" t="s">
        <v>26</v>
      </c>
      <c r="F276" t="s">
        <v>30</v>
      </c>
      <c r="G276">
        <v>0.16</v>
      </c>
      <c r="H276">
        <v>0.13639999999999999</v>
      </c>
      <c r="I276">
        <v>0.55000000000000004</v>
      </c>
      <c r="J276">
        <v>0.32840000000000003</v>
      </c>
      <c r="K276">
        <v>0</v>
      </c>
      <c r="L276">
        <v>57</v>
      </c>
      <c r="M276">
        <v>57</v>
      </c>
    </row>
    <row r="277" spans="1:13" x14ac:dyDescent="0.3">
      <c r="A277">
        <v>276</v>
      </c>
      <c r="B277" s="1">
        <v>40555</v>
      </c>
      <c r="C277">
        <v>22</v>
      </c>
      <c r="D277" t="b">
        <v>0</v>
      </c>
      <c r="E277" t="s">
        <v>26</v>
      </c>
      <c r="F277" t="s">
        <v>30</v>
      </c>
      <c r="G277">
        <v>0.16</v>
      </c>
      <c r="H277">
        <v>0.1212</v>
      </c>
      <c r="I277">
        <v>0.55000000000000004</v>
      </c>
      <c r="J277">
        <v>0.44779999999999998</v>
      </c>
      <c r="K277">
        <v>1</v>
      </c>
      <c r="L277">
        <v>32</v>
      </c>
      <c r="M277">
        <v>33</v>
      </c>
    </row>
    <row r="278" spans="1:13" x14ac:dyDescent="0.3">
      <c r="A278">
        <v>277</v>
      </c>
      <c r="B278" s="1">
        <v>40555</v>
      </c>
      <c r="C278">
        <v>23</v>
      </c>
      <c r="D278" t="b">
        <v>0</v>
      </c>
      <c r="E278" t="s">
        <v>26</v>
      </c>
      <c r="F278" t="s">
        <v>30</v>
      </c>
      <c r="G278">
        <v>0.14000000000000001</v>
      </c>
      <c r="H278">
        <v>0.1061</v>
      </c>
      <c r="I278">
        <v>0.59</v>
      </c>
      <c r="J278">
        <v>0.41789999999999999</v>
      </c>
      <c r="K278">
        <v>1</v>
      </c>
      <c r="L278">
        <v>19</v>
      </c>
      <c r="M278">
        <v>20</v>
      </c>
    </row>
    <row r="279" spans="1:13" x14ac:dyDescent="0.3">
      <c r="A279">
        <v>278</v>
      </c>
      <c r="B279" s="1">
        <v>40556</v>
      </c>
      <c r="C279">
        <v>0</v>
      </c>
      <c r="D279" t="b">
        <v>0</v>
      </c>
      <c r="E279" t="s">
        <v>27</v>
      </c>
      <c r="F279" t="s">
        <v>30</v>
      </c>
      <c r="G279">
        <v>0.14000000000000001</v>
      </c>
      <c r="H279">
        <v>0.1212</v>
      </c>
      <c r="I279">
        <v>0.59</v>
      </c>
      <c r="J279">
        <v>0.28360000000000002</v>
      </c>
      <c r="K279">
        <v>1</v>
      </c>
      <c r="L279">
        <v>6</v>
      </c>
      <c r="M279">
        <v>7</v>
      </c>
    </row>
    <row r="280" spans="1:13" x14ac:dyDescent="0.3">
      <c r="A280">
        <v>279</v>
      </c>
      <c r="B280" s="1">
        <v>40556</v>
      </c>
      <c r="C280">
        <v>1</v>
      </c>
      <c r="D280" t="b">
        <v>0</v>
      </c>
      <c r="E280" t="s">
        <v>27</v>
      </c>
      <c r="F280" t="s">
        <v>30</v>
      </c>
      <c r="G280">
        <v>0.14000000000000001</v>
      </c>
      <c r="H280">
        <v>0.1212</v>
      </c>
      <c r="I280">
        <v>0.5</v>
      </c>
      <c r="J280">
        <v>0.28360000000000002</v>
      </c>
      <c r="K280">
        <v>0</v>
      </c>
      <c r="L280">
        <v>2</v>
      </c>
      <c r="M280">
        <v>2</v>
      </c>
    </row>
    <row r="281" spans="1:13" x14ac:dyDescent="0.3">
      <c r="A281">
        <v>280</v>
      </c>
      <c r="B281" s="1">
        <v>40556</v>
      </c>
      <c r="C281">
        <v>2</v>
      </c>
      <c r="D281" t="b">
        <v>0</v>
      </c>
      <c r="E281" t="s">
        <v>27</v>
      </c>
      <c r="F281" t="s">
        <v>30</v>
      </c>
      <c r="G281">
        <v>0.14000000000000001</v>
      </c>
      <c r="H281">
        <v>0.1212</v>
      </c>
      <c r="I281">
        <v>0.5</v>
      </c>
      <c r="J281">
        <v>0.35820000000000002</v>
      </c>
      <c r="K281">
        <v>0</v>
      </c>
      <c r="L281">
        <v>2</v>
      </c>
      <c r="M281">
        <v>2</v>
      </c>
    </row>
    <row r="282" spans="1:13" x14ac:dyDescent="0.3">
      <c r="A282">
        <v>281</v>
      </c>
      <c r="B282" s="1">
        <v>40556</v>
      </c>
      <c r="C282">
        <v>3</v>
      </c>
      <c r="D282" t="b">
        <v>0</v>
      </c>
      <c r="E282" t="s">
        <v>27</v>
      </c>
      <c r="F282" t="s">
        <v>30</v>
      </c>
      <c r="G282">
        <v>0.14000000000000001</v>
      </c>
      <c r="H282">
        <v>0.1212</v>
      </c>
      <c r="I282">
        <v>0.5</v>
      </c>
      <c r="J282">
        <v>0.32840000000000003</v>
      </c>
      <c r="K282">
        <v>0</v>
      </c>
      <c r="L282">
        <v>3</v>
      </c>
      <c r="M282">
        <v>3</v>
      </c>
    </row>
    <row r="283" spans="1:13" x14ac:dyDescent="0.3">
      <c r="A283">
        <v>282</v>
      </c>
      <c r="B283" s="1">
        <v>40556</v>
      </c>
      <c r="C283">
        <v>4</v>
      </c>
      <c r="D283" t="b">
        <v>0</v>
      </c>
      <c r="E283" t="s">
        <v>27</v>
      </c>
      <c r="F283" t="s">
        <v>30</v>
      </c>
      <c r="G283">
        <v>0.14000000000000001</v>
      </c>
      <c r="H283">
        <v>0.1212</v>
      </c>
      <c r="I283">
        <v>0.5</v>
      </c>
      <c r="J283">
        <v>0.25369999999999998</v>
      </c>
      <c r="K283">
        <v>0</v>
      </c>
      <c r="L283">
        <v>4</v>
      </c>
      <c r="M283">
        <v>4</v>
      </c>
    </row>
    <row r="284" spans="1:13" x14ac:dyDescent="0.3">
      <c r="A284">
        <v>283</v>
      </c>
      <c r="B284" s="1">
        <v>40556</v>
      </c>
      <c r="C284">
        <v>5</v>
      </c>
      <c r="D284" t="b">
        <v>0</v>
      </c>
      <c r="E284" t="s">
        <v>27</v>
      </c>
      <c r="F284" t="s">
        <v>30</v>
      </c>
      <c r="G284">
        <v>0.14000000000000001</v>
      </c>
      <c r="H284">
        <v>0.1212</v>
      </c>
      <c r="I284">
        <v>0.5</v>
      </c>
      <c r="J284">
        <v>0.29849999999999999</v>
      </c>
      <c r="K284">
        <v>0</v>
      </c>
      <c r="L284">
        <v>3</v>
      </c>
      <c r="M284">
        <v>3</v>
      </c>
    </row>
    <row r="285" spans="1:13" x14ac:dyDescent="0.3">
      <c r="A285">
        <v>284</v>
      </c>
      <c r="B285" s="1">
        <v>40556</v>
      </c>
      <c r="C285">
        <v>6</v>
      </c>
      <c r="D285" t="b">
        <v>0</v>
      </c>
      <c r="E285" t="s">
        <v>27</v>
      </c>
      <c r="F285" t="s">
        <v>30</v>
      </c>
      <c r="G285">
        <v>0.12</v>
      </c>
      <c r="H285">
        <v>0.1515</v>
      </c>
      <c r="I285">
        <v>0.54</v>
      </c>
      <c r="J285">
        <v>0.1343</v>
      </c>
      <c r="K285">
        <v>0</v>
      </c>
      <c r="L285">
        <v>28</v>
      </c>
      <c r="M285">
        <v>28</v>
      </c>
    </row>
    <row r="286" spans="1:13" x14ac:dyDescent="0.3">
      <c r="A286">
        <v>285</v>
      </c>
      <c r="B286" s="1">
        <v>40556</v>
      </c>
      <c r="C286">
        <v>7</v>
      </c>
      <c r="D286" t="b">
        <v>0</v>
      </c>
      <c r="E286" t="s">
        <v>27</v>
      </c>
      <c r="F286" t="s">
        <v>30</v>
      </c>
      <c r="G286">
        <v>0.12</v>
      </c>
      <c r="H286">
        <v>0.1515</v>
      </c>
      <c r="I286">
        <v>0.54</v>
      </c>
      <c r="J286">
        <v>0.1343</v>
      </c>
      <c r="K286">
        <v>0</v>
      </c>
      <c r="L286">
        <v>72</v>
      </c>
      <c r="M286">
        <v>72</v>
      </c>
    </row>
    <row r="287" spans="1:13" x14ac:dyDescent="0.3">
      <c r="A287">
        <v>286</v>
      </c>
      <c r="B287" s="1">
        <v>40556</v>
      </c>
      <c r="C287">
        <v>8</v>
      </c>
      <c r="D287" t="b">
        <v>0</v>
      </c>
      <c r="E287" t="s">
        <v>27</v>
      </c>
      <c r="F287" t="s">
        <v>30</v>
      </c>
      <c r="G287">
        <v>0.14000000000000001</v>
      </c>
      <c r="H287">
        <v>0.13639999999999999</v>
      </c>
      <c r="I287">
        <v>0.5</v>
      </c>
      <c r="J287">
        <v>0.19400000000000001</v>
      </c>
      <c r="K287">
        <v>5</v>
      </c>
      <c r="L287">
        <v>197</v>
      </c>
      <c r="M287">
        <v>202</v>
      </c>
    </row>
    <row r="288" spans="1:13" x14ac:dyDescent="0.3">
      <c r="A288">
        <v>287</v>
      </c>
      <c r="B288" s="1">
        <v>40556</v>
      </c>
      <c r="C288">
        <v>9</v>
      </c>
      <c r="D288" t="b">
        <v>0</v>
      </c>
      <c r="E288" t="s">
        <v>27</v>
      </c>
      <c r="F288" t="s">
        <v>30</v>
      </c>
      <c r="G288">
        <v>0.14000000000000001</v>
      </c>
      <c r="H288">
        <v>0.1212</v>
      </c>
      <c r="I288">
        <v>0.5</v>
      </c>
      <c r="J288">
        <v>0.32840000000000003</v>
      </c>
      <c r="K288">
        <v>2</v>
      </c>
      <c r="L288">
        <v>137</v>
      </c>
      <c r="M288">
        <v>139</v>
      </c>
    </row>
    <row r="289" spans="1:13" x14ac:dyDescent="0.3">
      <c r="A289">
        <v>288</v>
      </c>
      <c r="B289" s="1">
        <v>40556</v>
      </c>
      <c r="C289">
        <v>10</v>
      </c>
      <c r="D289" t="b">
        <v>0</v>
      </c>
      <c r="E289" t="s">
        <v>27</v>
      </c>
      <c r="F289" t="s">
        <v>31</v>
      </c>
      <c r="G289">
        <v>0.16</v>
      </c>
      <c r="H289">
        <v>0.13639999999999999</v>
      </c>
      <c r="I289">
        <v>0.5</v>
      </c>
      <c r="J289">
        <v>0.35820000000000002</v>
      </c>
      <c r="K289">
        <v>2</v>
      </c>
      <c r="L289">
        <v>36</v>
      </c>
      <c r="M289">
        <v>38</v>
      </c>
    </row>
    <row r="290" spans="1:13" x14ac:dyDescent="0.3">
      <c r="A290">
        <v>289</v>
      </c>
      <c r="B290" s="1">
        <v>40556</v>
      </c>
      <c r="C290">
        <v>11</v>
      </c>
      <c r="D290" t="b">
        <v>0</v>
      </c>
      <c r="E290" t="s">
        <v>27</v>
      </c>
      <c r="F290" t="s">
        <v>31</v>
      </c>
      <c r="G290">
        <v>0.2</v>
      </c>
      <c r="H290">
        <v>0.16669999999999999</v>
      </c>
      <c r="I290">
        <v>0.44</v>
      </c>
      <c r="J290">
        <v>0.44779999999999998</v>
      </c>
      <c r="K290">
        <v>4</v>
      </c>
      <c r="L290">
        <v>33</v>
      </c>
      <c r="M290">
        <v>37</v>
      </c>
    </row>
    <row r="291" spans="1:13" x14ac:dyDescent="0.3">
      <c r="A291">
        <v>290</v>
      </c>
      <c r="B291" s="1">
        <v>40556</v>
      </c>
      <c r="C291">
        <v>12</v>
      </c>
      <c r="D291" t="b">
        <v>0</v>
      </c>
      <c r="E291" t="s">
        <v>27</v>
      </c>
      <c r="F291" t="s">
        <v>30</v>
      </c>
      <c r="G291">
        <v>0.2</v>
      </c>
      <c r="H291">
        <v>0.16669999999999999</v>
      </c>
      <c r="I291">
        <v>0.44</v>
      </c>
      <c r="J291">
        <v>0.41789999999999999</v>
      </c>
      <c r="K291">
        <v>3</v>
      </c>
      <c r="L291">
        <v>49</v>
      </c>
      <c r="M291">
        <v>52</v>
      </c>
    </row>
    <row r="292" spans="1:13" x14ac:dyDescent="0.3">
      <c r="A292">
        <v>291</v>
      </c>
      <c r="B292" s="1">
        <v>40556</v>
      </c>
      <c r="C292">
        <v>13</v>
      </c>
      <c r="D292" t="b">
        <v>0</v>
      </c>
      <c r="E292" t="s">
        <v>27</v>
      </c>
      <c r="F292" t="s">
        <v>30</v>
      </c>
      <c r="G292">
        <v>0.22</v>
      </c>
      <c r="H292">
        <v>0.19700000000000001</v>
      </c>
      <c r="I292">
        <v>0.41</v>
      </c>
      <c r="J292">
        <v>0.44779999999999998</v>
      </c>
      <c r="K292">
        <v>2</v>
      </c>
      <c r="L292">
        <v>81</v>
      </c>
      <c r="M292">
        <v>83</v>
      </c>
    </row>
    <row r="293" spans="1:13" x14ac:dyDescent="0.3">
      <c r="A293">
        <v>292</v>
      </c>
      <c r="B293" s="1">
        <v>40556</v>
      </c>
      <c r="C293">
        <v>14</v>
      </c>
      <c r="D293" t="b">
        <v>0</v>
      </c>
      <c r="E293" t="s">
        <v>27</v>
      </c>
      <c r="F293" t="s">
        <v>30</v>
      </c>
      <c r="G293">
        <v>0.22</v>
      </c>
      <c r="H293">
        <v>0.19700000000000001</v>
      </c>
      <c r="I293">
        <v>0.41</v>
      </c>
      <c r="J293">
        <v>0.3881</v>
      </c>
      <c r="K293">
        <v>3</v>
      </c>
      <c r="L293">
        <v>39</v>
      </c>
      <c r="M293">
        <v>42</v>
      </c>
    </row>
    <row r="294" spans="1:13" x14ac:dyDescent="0.3">
      <c r="A294">
        <v>293</v>
      </c>
      <c r="B294" s="1">
        <v>40556</v>
      </c>
      <c r="C294">
        <v>15</v>
      </c>
      <c r="D294" t="b">
        <v>0</v>
      </c>
      <c r="E294" t="s">
        <v>27</v>
      </c>
      <c r="F294" t="s">
        <v>30</v>
      </c>
      <c r="G294">
        <v>0.24</v>
      </c>
      <c r="H294">
        <v>0.21210000000000001</v>
      </c>
      <c r="I294">
        <v>0.38</v>
      </c>
      <c r="J294">
        <v>0.29849999999999999</v>
      </c>
      <c r="K294">
        <v>5</v>
      </c>
      <c r="L294">
        <v>55</v>
      </c>
      <c r="M294">
        <v>60</v>
      </c>
    </row>
    <row r="295" spans="1:13" x14ac:dyDescent="0.3">
      <c r="A295">
        <v>294</v>
      </c>
      <c r="B295" s="1">
        <v>40556</v>
      </c>
      <c r="C295">
        <v>16</v>
      </c>
      <c r="D295" t="b">
        <v>0</v>
      </c>
      <c r="E295" t="s">
        <v>27</v>
      </c>
      <c r="F295" t="s">
        <v>30</v>
      </c>
      <c r="G295">
        <v>0.24</v>
      </c>
      <c r="H295">
        <v>0.21210000000000001</v>
      </c>
      <c r="I295">
        <v>0.38</v>
      </c>
      <c r="J295">
        <v>0.35820000000000002</v>
      </c>
      <c r="K295">
        <v>2</v>
      </c>
      <c r="L295">
        <v>76</v>
      </c>
      <c r="M295">
        <v>78</v>
      </c>
    </row>
    <row r="296" spans="1:13" x14ac:dyDescent="0.3">
      <c r="A296">
        <v>295</v>
      </c>
      <c r="B296" s="1">
        <v>40556</v>
      </c>
      <c r="C296">
        <v>17</v>
      </c>
      <c r="D296" t="b">
        <v>0</v>
      </c>
      <c r="E296" t="s">
        <v>27</v>
      </c>
      <c r="F296" t="s">
        <v>30</v>
      </c>
      <c r="G296">
        <v>0.2</v>
      </c>
      <c r="H296">
        <v>0.18179999999999999</v>
      </c>
      <c r="I296">
        <v>0.4</v>
      </c>
      <c r="J296">
        <v>0.28360000000000002</v>
      </c>
      <c r="K296">
        <v>4</v>
      </c>
      <c r="L296">
        <v>158</v>
      </c>
      <c r="M296">
        <v>162</v>
      </c>
    </row>
    <row r="297" spans="1:13" x14ac:dyDescent="0.3">
      <c r="A297">
        <v>296</v>
      </c>
      <c r="B297" s="1">
        <v>40556</v>
      </c>
      <c r="C297">
        <v>18</v>
      </c>
      <c r="D297" t="b">
        <v>0</v>
      </c>
      <c r="E297" t="s">
        <v>27</v>
      </c>
      <c r="F297" t="s">
        <v>30</v>
      </c>
      <c r="G297">
        <v>0.2</v>
      </c>
      <c r="H297">
        <v>0.18179999999999999</v>
      </c>
      <c r="I297">
        <v>0.4</v>
      </c>
      <c r="J297">
        <v>0.32840000000000003</v>
      </c>
      <c r="K297">
        <v>3</v>
      </c>
      <c r="L297">
        <v>141</v>
      </c>
      <c r="M297">
        <v>144</v>
      </c>
    </row>
    <row r="298" spans="1:13" x14ac:dyDescent="0.3">
      <c r="A298">
        <v>297</v>
      </c>
      <c r="B298" s="1">
        <v>40556</v>
      </c>
      <c r="C298">
        <v>19</v>
      </c>
      <c r="D298" t="b">
        <v>0</v>
      </c>
      <c r="E298" t="s">
        <v>27</v>
      </c>
      <c r="F298" t="s">
        <v>30</v>
      </c>
      <c r="G298">
        <v>0.16</v>
      </c>
      <c r="H298">
        <v>0.1515</v>
      </c>
      <c r="I298">
        <v>0.47</v>
      </c>
      <c r="J298">
        <v>0.25369999999999998</v>
      </c>
      <c r="K298">
        <v>1</v>
      </c>
      <c r="L298">
        <v>98</v>
      </c>
      <c r="M298">
        <v>99</v>
      </c>
    </row>
    <row r="299" spans="1:13" x14ac:dyDescent="0.3">
      <c r="A299">
        <v>298</v>
      </c>
      <c r="B299" s="1">
        <v>40556</v>
      </c>
      <c r="C299">
        <v>20</v>
      </c>
      <c r="D299" t="b">
        <v>0</v>
      </c>
      <c r="E299" t="s">
        <v>27</v>
      </c>
      <c r="F299" t="s">
        <v>30</v>
      </c>
      <c r="G299">
        <v>0.16</v>
      </c>
      <c r="H299">
        <v>0.1515</v>
      </c>
      <c r="I299">
        <v>0.47</v>
      </c>
      <c r="J299">
        <v>0.22389999999999999</v>
      </c>
      <c r="K299">
        <v>0</v>
      </c>
      <c r="L299">
        <v>64</v>
      </c>
      <c r="M299">
        <v>64</v>
      </c>
    </row>
    <row r="300" spans="1:13" x14ac:dyDescent="0.3">
      <c r="A300">
        <v>299</v>
      </c>
      <c r="B300" s="1">
        <v>40556</v>
      </c>
      <c r="C300">
        <v>21</v>
      </c>
      <c r="D300" t="b">
        <v>0</v>
      </c>
      <c r="E300" t="s">
        <v>27</v>
      </c>
      <c r="F300" t="s">
        <v>30</v>
      </c>
      <c r="G300">
        <v>0.14000000000000001</v>
      </c>
      <c r="H300">
        <v>0.1212</v>
      </c>
      <c r="I300">
        <v>0.46</v>
      </c>
      <c r="J300">
        <v>0.29849999999999999</v>
      </c>
      <c r="K300">
        <v>0</v>
      </c>
      <c r="L300">
        <v>40</v>
      </c>
      <c r="M300">
        <v>40</v>
      </c>
    </row>
    <row r="301" spans="1:13" x14ac:dyDescent="0.3">
      <c r="A301">
        <v>300</v>
      </c>
      <c r="B301" s="1">
        <v>40556</v>
      </c>
      <c r="C301">
        <v>22</v>
      </c>
      <c r="D301" t="b">
        <v>0</v>
      </c>
      <c r="E301" t="s">
        <v>27</v>
      </c>
      <c r="F301" t="s">
        <v>30</v>
      </c>
      <c r="G301">
        <v>0.14000000000000001</v>
      </c>
      <c r="H301">
        <v>0.1212</v>
      </c>
      <c r="I301">
        <v>0.46</v>
      </c>
      <c r="J301">
        <v>0.32840000000000003</v>
      </c>
      <c r="K301">
        <v>0</v>
      </c>
      <c r="L301">
        <v>30</v>
      </c>
      <c r="M301">
        <v>30</v>
      </c>
    </row>
    <row r="302" spans="1:13" x14ac:dyDescent="0.3">
      <c r="A302">
        <v>301</v>
      </c>
      <c r="B302" s="1">
        <v>40556</v>
      </c>
      <c r="C302">
        <v>23</v>
      </c>
      <c r="D302" t="b">
        <v>0</v>
      </c>
      <c r="E302" t="s">
        <v>27</v>
      </c>
      <c r="F302" t="s">
        <v>30</v>
      </c>
      <c r="G302">
        <v>0.12</v>
      </c>
      <c r="H302">
        <v>0.13639999999999999</v>
      </c>
      <c r="I302">
        <v>0.5</v>
      </c>
      <c r="J302">
        <v>0.19400000000000001</v>
      </c>
      <c r="K302">
        <v>1</v>
      </c>
      <c r="L302">
        <v>14</v>
      </c>
      <c r="M302">
        <v>15</v>
      </c>
    </row>
    <row r="303" spans="1:13" x14ac:dyDescent="0.3">
      <c r="A303">
        <v>302</v>
      </c>
      <c r="B303" s="1">
        <v>40557</v>
      </c>
      <c r="C303">
        <v>0</v>
      </c>
      <c r="D303" t="b">
        <v>0</v>
      </c>
      <c r="E303" t="s">
        <v>28</v>
      </c>
      <c r="F303" t="s">
        <v>30</v>
      </c>
      <c r="G303">
        <v>0.12</v>
      </c>
      <c r="H303">
        <v>0.13639999999999999</v>
      </c>
      <c r="I303">
        <v>0.5</v>
      </c>
      <c r="J303">
        <v>0.19400000000000001</v>
      </c>
      <c r="K303">
        <v>0</v>
      </c>
      <c r="L303">
        <v>14</v>
      </c>
      <c r="M303">
        <v>14</v>
      </c>
    </row>
    <row r="304" spans="1:13" x14ac:dyDescent="0.3">
      <c r="A304">
        <v>303</v>
      </c>
      <c r="B304" s="1">
        <v>40557</v>
      </c>
      <c r="C304">
        <v>1</v>
      </c>
      <c r="D304" t="b">
        <v>0</v>
      </c>
      <c r="E304" t="s">
        <v>28</v>
      </c>
      <c r="F304" t="s">
        <v>30</v>
      </c>
      <c r="G304">
        <v>0.1</v>
      </c>
      <c r="H304">
        <v>0.1212</v>
      </c>
      <c r="I304">
        <v>0.54</v>
      </c>
      <c r="J304">
        <v>0.16420000000000001</v>
      </c>
      <c r="K304">
        <v>0</v>
      </c>
      <c r="L304">
        <v>5</v>
      </c>
      <c r="M304">
        <v>5</v>
      </c>
    </row>
    <row r="305" spans="1:13" x14ac:dyDescent="0.3">
      <c r="A305">
        <v>304</v>
      </c>
      <c r="B305" s="1">
        <v>40557</v>
      </c>
      <c r="C305">
        <v>2</v>
      </c>
      <c r="D305" t="b">
        <v>0</v>
      </c>
      <c r="E305" t="s">
        <v>28</v>
      </c>
      <c r="F305" t="s">
        <v>30</v>
      </c>
      <c r="G305">
        <v>0.1</v>
      </c>
      <c r="H305">
        <v>0.1212</v>
      </c>
      <c r="I305">
        <v>0.54</v>
      </c>
      <c r="J305">
        <v>0.1343</v>
      </c>
      <c r="K305">
        <v>0</v>
      </c>
      <c r="L305">
        <v>1</v>
      </c>
      <c r="M305">
        <v>1</v>
      </c>
    </row>
    <row r="306" spans="1:13" x14ac:dyDescent="0.3">
      <c r="A306">
        <v>305</v>
      </c>
      <c r="B306" s="1">
        <v>40557</v>
      </c>
      <c r="C306">
        <v>3</v>
      </c>
      <c r="D306" t="b">
        <v>0</v>
      </c>
      <c r="E306" t="s">
        <v>28</v>
      </c>
      <c r="F306" t="s">
        <v>30</v>
      </c>
      <c r="G306">
        <v>0.1</v>
      </c>
      <c r="H306">
        <v>0.13639999999999999</v>
      </c>
      <c r="I306">
        <v>0.54</v>
      </c>
      <c r="J306">
        <v>0.1045</v>
      </c>
      <c r="K306">
        <v>0</v>
      </c>
      <c r="L306">
        <v>1</v>
      </c>
      <c r="M306">
        <v>1</v>
      </c>
    </row>
    <row r="307" spans="1:13" x14ac:dyDescent="0.3">
      <c r="A307">
        <v>306</v>
      </c>
      <c r="B307" s="1">
        <v>40557</v>
      </c>
      <c r="C307">
        <v>5</v>
      </c>
      <c r="D307" t="b">
        <v>0</v>
      </c>
      <c r="E307" t="s">
        <v>28</v>
      </c>
      <c r="F307" t="s">
        <v>30</v>
      </c>
      <c r="G307">
        <v>0.1</v>
      </c>
      <c r="H307">
        <v>0.13639999999999999</v>
      </c>
      <c r="I307">
        <v>0.54</v>
      </c>
      <c r="J307">
        <v>8.9599999999999999E-2</v>
      </c>
      <c r="K307">
        <v>0</v>
      </c>
      <c r="L307">
        <v>8</v>
      </c>
      <c r="M307">
        <v>8</v>
      </c>
    </row>
    <row r="308" spans="1:13" x14ac:dyDescent="0.3">
      <c r="A308">
        <v>307</v>
      </c>
      <c r="B308" s="1">
        <v>40557</v>
      </c>
      <c r="C308">
        <v>6</v>
      </c>
      <c r="D308" t="b">
        <v>0</v>
      </c>
      <c r="E308" t="s">
        <v>28</v>
      </c>
      <c r="F308" t="s">
        <v>30</v>
      </c>
      <c r="G308">
        <v>0.1</v>
      </c>
      <c r="H308">
        <v>0.18179999999999999</v>
      </c>
      <c r="I308">
        <v>0.54</v>
      </c>
      <c r="J308">
        <v>0</v>
      </c>
      <c r="K308">
        <v>0</v>
      </c>
      <c r="L308">
        <v>17</v>
      </c>
      <c r="M308">
        <v>17</v>
      </c>
    </row>
    <row r="309" spans="1:13" x14ac:dyDescent="0.3">
      <c r="A309">
        <v>308</v>
      </c>
      <c r="B309" s="1">
        <v>40557</v>
      </c>
      <c r="C309">
        <v>7</v>
      </c>
      <c r="D309" t="b">
        <v>0</v>
      </c>
      <c r="E309" t="s">
        <v>28</v>
      </c>
      <c r="F309" t="s">
        <v>30</v>
      </c>
      <c r="G309">
        <v>0.1</v>
      </c>
      <c r="H309">
        <v>0.1212</v>
      </c>
      <c r="I309">
        <v>0.74</v>
      </c>
      <c r="J309">
        <v>0.16420000000000001</v>
      </c>
      <c r="K309">
        <v>0</v>
      </c>
      <c r="L309">
        <v>70</v>
      </c>
      <c r="M309">
        <v>70</v>
      </c>
    </row>
    <row r="310" spans="1:13" x14ac:dyDescent="0.3">
      <c r="A310">
        <v>309</v>
      </c>
      <c r="B310" s="1">
        <v>40557</v>
      </c>
      <c r="C310">
        <v>8</v>
      </c>
      <c r="D310" t="b">
        <v>0</v>
      </c>
      <c r="E310" t="s">
        <v>28</v>
      </c>
      <c r="F310" t="s">
        <v>30</v>
      </c>
      <c r="G310">
        <v>0.12</v>
      </c>
      <c r="H310">
        <v>0.16669999999999999</v>
      </c>
      <c r="I310">
        <v>0.68</v>
      </c>
      <c r="J310">
        <v>0</v>
      </c>
      <c r="K310">
        <v>2</v>
      </c>
      <c r="L310">
        <v>156</v>
      </c>
      <c r="M310">
        <v>158</v>
      </c>
    </row>
    <row r="311" spans="1:13" x14ac:dyDescent="0.3">
      <c r="A311">
        <v>310</v>
      </c>
      <c r="B311" s="1">
        <v>40557</v>
      </c>
      <c r="C311">
        <v>9</v>
      </c>
      <c r="D311" t="b">
        <v>0</v>
      </c>
      <c r="E311" t="s">
        <v>28</v>
      </c>
      <c r="F311" t="s">
        <v>30</v>
      </c>
      <c r="G311">
        <v>0.14000000000000001</v>
      </c>
      <c r="H311">
        <v>0.1515</v>
      </c>
      <c r="I311">
        <v>0.69</v>
      </c>
      <c r="J311">
        <v>0.1343</v>
      </c>
      <c r="K311">
        <v>0</v>
      </c>
      <c r="L311">
        <v>117</v>
      </c>
      <c r="M311">
        <v>117</v>
      </c>
    </row>
    <row r="312" spans="1:13" x14ac:dyDescent="0.3">
      <c r="A312">
        <v>311</v>
      </c>
      <c r="B312" s="1">
        <v>40557</v>
      </c>
      <c r="C312">
        <v>10</v>
      </c>
      <c r="D312" t="b">
        <v>0</v>
      </c>
      <c r="E312" t="s">
        <v>28</v>
      </c>
      <c r="F312" t="s">
        <v>30</v>
      </c>
      <c r="G312">
        <v>0.18</v>
      </c>
      <c r="H312">
        <v>0.18179999999999999</v>
      </c>
      <c r="I312">
        <v>0.55000000000000004</v>
      </c>
      <c r="J312">
        <v>0.19400000000000001</v>
      </c>
      <c r="K312">
        <v>4</v>
      </c>
      <c r="L312">
        <v>40</v>
      </c>
      <c r="M312">
        <v>44</v>
      </c>
    </row>
    <row r="313" spans="1:13" x14ac:dyDescent="0.3">
      <c r="A313">
        <v>312</v>
      </c>
      <c r="B313" s="1">
        <v>40557</v>
      </c>
      <c r="C313">
        <v>11</v>
      </c>
      <c r="D313" t="b">
        <v>0</v>
      </c>
      <c r="E313" t="s">
        <v>28</v>
      </c>
      <c r="F313" t="s">
        <v>30</v>
      </c>
      <c r="G313">
        <v>0.18</v>
      </c>
      <c r="H313">
        <v>0.16669999999999999</v>
      </c>
      <c r="I313">
        <v>0.51</v>
      </c>
      <c r="J313">
        <v>0.28360000000000002</v>
      </c>
      <c r="K313">
        <v>6</v>
      </c>
      <c r="L313">
        <v>47</v>
      </c>
      <c r="M313">
        <v>53</v>
      </c>
    </row>
    <row r="314" spans="1:13" x14ac:dyDescent="0.3">
      <c r="A314">
        <v>313</v>
      </c>
      <c r="B314" s="1">
        <v>40557</v>
      </c>
      <c r="C314">
        <v>12</v>
      </c>
      <c r="D314" t="b">
        <v>0</v>
      </c>
      <c r="E314" t="s">
        <v>28</v>
      </c>
      <c r="F314" t="s">
        <v>30</v>
      </c>
      <c r="G314">
        <v>0.2</v>
      </c>
      <c r="H314">
        <v>0.19700000000000001</v>
      </c>
      <c r="I314">
        <v>0.44</v>
      </c>
      <c r="J314">
        <v>0.25369999999999998</v>
      </c>
      <c r="K314">
        <v>2</v>
      </c>
      <c r="L314">
        <v>59</v>
      </c>
      <c r="M314">
        <v>61</v>
      </c>
    </row>
    <row r="315" spans="1:13" x14ac:dyDescent="0.3">
      <c r="A315">
        <v>314</v>
      </c>
      <c r="B315" s="1">
        <v>40557</v>
      </c>
      <c r="C315">
        <v>13</v>
      </c>
      <c r="D315" t="b">
        <v>0</v>
      </c>
      <c r="E315" t="s">
        <v>28</v>
      </c>
      <c r="F315" t="s">
        <v>30</v>
      </c>
      <c r="G315">
        <v>0.22</v>
      </c>
      <c r="H315">
        <v>0.19700000000000001</v>
      </c>
      <c r="I315">
        <v>0.37</v>
      </c>
      <c r="J315">
        <v>0.3881</v>
      </c>
      <c r="K315">
        <v>4</v>
      </c>
      <c r="L315">
        <v>73</v>
      </c>
      <c r="M315">
        <v>77</v>
      </c>
    </row>
    <row r="316" spans="1:13" x14ac:dyDescent="0.3">
      <c r="A316">
        <v>315</v>
      </c>
      <c r="B316" s="1">
        <v>40557</v>
      </c>
      <c r="C316">
        <v>14</v>
      </c>
      <c r="D316" t="b">
        <v>0</v>
      </c>
      <c r="E316" t="s">
        <v>28</v>
      </c>
      <c r="F316" t="s">
        <v>30</v>
      </c>
      <c r="G316">
        <v>0.22</v>
      </c>
      <c r="H316">
        <v>0.21210000000000001</v>
      </c>
      <c r="I316">
        <v>0.41</v>
      </c>
      <c r="J316">
        <v>0.28360000000000002</v>
      </c>
      <c r="K316">
        <v>5</v>
      </c>
      <c r="L316">
        <v>59</v>
      </c>
      <c r="M316">
        <v>64</v>
      </c>
    </row>
    <row r="317" spans="1:13" x14ac:dyDescent="0.3">
      <c r="A317">
        <v>316</v>
      </c>
      <c r="B317" s="1">
        <v>40557</v>
      </c>
      <c r="C317">
        <v>15</v>
      </c>
      <c r="D317" t="b">
        <v>0</v>
      </c>
      <c r="E317" t="s">
        <v>28</v>
      </c>
      <c r="F317" t="s">
        <v>30</v>
      </c>
      <c r="G317">
        <v>0.24</v>
      </c>
      <c r="H317">
        <v>0.2424</v>
      </c>
      <c r="I317">
        <v>0.38</v>
      </c>
      <c r="J317">
        <v>0.16420000000000001</v>
      </c>
      <c r="K317">
        <v>9</v>
      </c>
      <c r="L317">
        <v>59</v>
      </c>
      <c r="M317">
        <v>68</v>
      </c>
    </row>
    <row r="318" spans="1:13" x14ac:dyDescent="0.3">
      <c r="A318">
        <v>317</v>
      </c>
      <c r="B318" s="1">
        <v>40557</v>
      </c>
      <c r="C318">
        <v>16</v>
      </c>
      <c r="D318" t="b">
        <v>0</v>
      </c>
      <c r="E318" t="s">
        <v>28</v>
      </c>
      <c r="F318" t="s">
        <v>30</v>
      </c>
      <c r="G318">
        <v>0.22</v>
      </c>
      <c r="H318">
        <v>0.2424</v>
      </c>
      <c r="I318">
        <v>0.41</v>
      </c>
      <c r="J318">
        <v>0.1045</v>
      </c>
      <c r="K318">
        <v>3</v>
      </c>
      <c r="L318">
        <v>87</v>
      </c>
      <c r="M318">
        <v>90</v>
      </c>
    </row>
    <row r="319" spans="1:13" x14ac:dyDescent="0.3">
      <c r="A319">
        <v>318</v>
      </c>
      <c r="B319" s="1">
        <v>40557</v>
      </c>
      <c r="C319">
        <v>17</v>
      </c>
      <c r="D319" t="b">
        <v>0</v>
      </c>
      <c r="E319" t="s">
        <v>28</v>
      </c>
      <c r="F319" t="s">
        <v>30</v>
      </c>
      <c r="G319">
        <v>0.22</v>
      </c>
      <c r="H319">
        <v>0.2273</v>
      </c>
      <c r="I319">
        <v>0.41</v>
      </c>
      <c r="J319">
        <v>0.16420000000000001</v>
      </c>
      <c r="K319">
        <v>4</v>
      </c>
      <c r="L319">
        <v>155</v>
      </c>
      <c r="M319">
        <v>159</v>
      </c>
    </row>
    <row r="320" spans="1:13" x14ac:dyDescent="0.3">
      <c r="A320">
        <v>319</v>
      </c>
      <c r="B320" s="1">
        <v>40557</v>
      </c>
      <c r="C320">
        <v>18</v>
      </c>
      <c r="D320" t="b">
        <v>0</v>
      </c>
      <c r="E320" t="s">
        <v>28</v>
      </c>
      <c r="F320" t="s">
        <v>30</v>
      </c>
      <c r="G320">
        <v>0.2</v>
      </c>
      <c r="H320">
        <v>0.2576</v>
      </c>
      <c r="I320">
        <v>0.47</v>
      </c>
      <c r="J320">
        <v>0</v>
      </c>
      <c r="K320">
        <v>5</v>
      </c>
      <c r="L320">
        <v>134</v>
      </c>
      <c r="M320">
        <v>139</v>
      </c>
    </row>
    <row r="321" spans="1:13" x14ac:dyDescent="0.3">
      <c r="A321">
        <v>320</v>
      </c>
      <c r="B321" s="1">
        <v>40557</v>
      </c>
      <c r="C321">
        <v>19</v>
      </c>
      <c r="D321" t="b">
        <v>0</v>
      </c>
      <c r="E321" t="s">
        <v>28</v>
      </c>
      <c r="F321" t="s">
        <v>30</v>
      </c>
      <c r="G321">
        <v>0.16</v>
      </c>
      <c r="H321">
        <v>0.19700000000000001</v>
      </c>
      <c r="I321">
        <v>0.59</v>
      </c>
      <c r="J321">
        <v>8.9599999999999999E-2</v>
      </c>
      <c r="K321">
        <v>3</v>
      </c>
      <c r="L321">
        <v>89</v>
      </c>
      <c r="M321">
        <v>92</v>
      </c>
    </row>
    <row r="322" spans="1:13" x14ac:dyDescent="0.3">
      <c r="A322">
        <v>321</v>
      </c>
      <c r="B322" s="1">
        <v>40557</v>
      </c>
      <c r="C322">
        <v>20</v>
      </c>
      <c r="D322" t="b">
        <v>0</v>
      </c>
      <c r="E322" t="s">
        <v>28</v>
      </c>
      <c r="F322" t="s">
        <v>30</v>
      </c>
      <c r="G322">
        <v>0.18</v>
      </c>
      <c r="H322">
        <v>0.2424</v>
      </c>
      <c r="I322">
        <v>0.59</v>
      </c>
      <c r="J322">
        <v>0</v>
      </c>
      <c r="K322">
        <v>0</v>
      </c>
      <c r="L322">
        <v>68</v>
      </c>
      <c r="M322">
        <v>68</v>
      </c>
    </row>
    <row r="323" spans="1:13" x14ac:dyDescent="0.3">
      <c r="A323">
        <v>322</v>
      </c>
      <c r="B323" s="1">
        <v>40557</v>
      </c>
      <c r="C323">
        <v>21</v>
      </c>
      <c r="D323" t="b">
        <v>0</v>
      </c>
      <c r="E323" t="s">
        <v>28</v>
      </c>
      <c r="F323" t="s">
        <v>30</v>
      </c>
      <c r="G323">
        <v>0.16</v>
      </c>
      <c r="H323">
        <v>0.2273</v>
      </c>
      <c r="I323">
        <v>0.69</v>
      </c>
      <c r="J323">
        <v>0</v>
      </c>
      <c r="K323">
        <v>4</v>
      </c>
      <c r="L323">
        <v>48</v>
      </c>
      <c r="M323">
        <v>52</v>
      </c>
    </row>
    <row r="324" spans="1:13" x14ac:dyDescent="0.3">
      <c r="A324">
        <v>323</v>
      </c>
      <c r="B324" s="1">
        <v>40557</v>
      </c>
      <c r="C324">
        <v>22</v>
      </c>
      <c r="D324" t="b">
        <v>0</v>
      </c>
      <c r="E324" t="s">
        <v>28</v>
      </c>
      <c r="F324" t="s">
        <v>31</v>
      </c>
      <c r="G324">
        <v>0.16</v>
      </c>
      <c r="H324">
        <v>0.2273</v>
      </c>
      <c r="I324">
        <v>0.69</v>
      </c>
      <c r="J324">
        <v>0</v>
      </c>
      <c r="K324">
        <v>2</v>
      </c>
      <c r="L324">
        <v>34</v>
      </c>
      <c r="M324">
        <v>36</v>
      </c>
    </row>
    <row r="325" spans="1:13" x14ac:dyDescent="0.3">
      <c r="A325">
        <v>324</v>
      </c>
      <c r="B325" s="1">
        <v>40557</v>
      </c>
      <c r="C325">
        <v>23</v>
      </c>
      <c r="D325" t="b">
        <v>0</v>
      </c>
      <c r="E325" t="s">
        <v>28</v>
      </c>
      <c r="F325" t="s">
        <v>31</v>
      </c>
      <c r="G325">
        <v>0.18</v>
      </c>
      <c r="H325">
        <v>0.2424</v>
      </c>
      <c r="I325">
        <v>0.55000000000000004</v>
      </c>
      <c r="J325">
        <v>0</v>
      </c>
      <c r="K325">
        <v>1</v>
      </c>
      <c r="L325">
        <v>26</v>
      </c>
      <c r="M325">
        <v>27</v>
      </c>
    </row>
    <row r="326" spans="1:13" x14ac:dyDescent="0.3">
      <c r="A326">
        <v>325</v>
      </c>
      <c r="B326" s="1">
        <v>40558</v>
      </c>
      <c r="C326">
        <v>0</v>
      </c>
      <c r="D326" t="b">
        <v>0</v>
      </c>
      <c r="E326" t="s">
        <v>29</v>
      </c>
      <c r="F326" t="s">
        <v>30</v>
      </c>
      <c r="G326">
        <v>0.18</v>
      </c>
      <c r="H326">
        <v>0.2424</v>
      </c>
      <c r="I326">
        <v>0.55000000000000004</v>
      </c>
      <c r="J326">
        <v>0</v>
      </c>
      <c r="K326">
        <v>3</v>
      </c>
      <c r="L326">
        <v>25</v>
      </c>
      <c r="M326">
        <v>28</v>
      </c>
    </row>
    <row r="327" spans="1:13" x14ac:dyDescent="0.3">
      <c r="A327">
        <v>326</v>
      </c>
      <c r="B327" s="1">
        <v>40558</v>
      </c>
      <c r="C327">
        <v>1</v>
      </c>
      <c r="D327" t="b">
        <v>0</v>
      </c>
      <c r="E327" t="s">
        <v>29</v>
      </c>
      <c r="F327" t="s">
        <v>31</v>
      </c>
      <c r="G327">
        <v>0.16</v>
      </c>
      <c r="H327">
        <v>0.19700000000000001</v>
      </c>
      <c r="I327">
        <v>0.59</v>
      </c>
      <c r="J327">
        <v>8.9599999999999999E-2</v>
      </c>
      <c r="K327">
        <v>2</v>
      </c>
      <c r="L327">
        <v>18</v>
      </c>
      <c r="M327">
        <v>20</v>
      </c>
    </row>
    <row r="328" spans="1:13" x14ac:dyDescent="0.3">
      <c r="A328">
        <v>327</v>
      </c>
      <c r="B328" s="1">
        <v>40558</v>
      </c>
      <c r="C328">
        <v>2</v>
      </c>
      <c r="D328" t="b">
        <v>0</v>
      </c>
      <c r="E328" t="s">
        <v>29</v>
      </c>
      <c r="F328" t="s">
        <v>31</v>
      </c>
      <c r="G328">
        <v>0.16</v>
      </c>
      <c r="H328">
        <v>0.19700000000000001</v>
      </c>
      <c r="I328">
        <v>0.59</v>
      </c>
      <c r="J328">
        <v>8.9599999999999999E-2</v>
      </c>
      <c r="K328">
        <v>0</v>
      </c>
      <c r="L328">
        <v>12</v>
      </c>
      <c r="M328">
        <v>12</v>
      </c>
    </row>
    <row r="329" spans="1:13" x14ac:dyDescent="0.3">
      <c r="A329">
        <v>328</v>
      </c>
      <c r="B329" s="1">
        <v>40558</v>
      </c>
      <c r="C329">
        <v>3</v>
      </c>
      <c r="D329" t="b">
        <v>0</v>
      </c>
      <c r="E329" t="s">
        <v>29</v>
      </c>
      <c r="F329" t="s">
        <v>31</v>
      </c>
      <c r="G329">
        <v>0.16</v>
      </c>
      <c r="H329">
        <v>0.2273</v>
      </c>
      <c r="I329">
        <v>0.59</v>
      </c>
      <c r="J329">
        <v>0</v>
      </c>
      <c r="K329">
        <v>1</v>
      </c>
      <c r="L329">
        <v>7</v>
      </c>
      <c r="M329">
        <v>8</v>
      </c>
    </row>
    <row r="330" spans="1:13" x14ac:dyDescent="0.3">
      <c r="A330">
        <v>329</v>
      </c>
      <c r="B330" s="1">
        <v>40558</v>
      </c>
      <c r="C330">
        <v>4</v>
      </c>
      <c r="D330" t="b">
        <v>0</v>
      </c>
      <c r="E330" t="s">
        <v>29</v>
      </c>
      <c r="F330" t="s">
        <v>31</v>
      </c>
      <c r="G330">
        <v>0.16</v>
      </c>
      <c r="H330">
        <v>0.2273</v>
      </c>
      <c r="I330">
        <v>0.59</v>
      </c>
      <c r="J330">
        <v>0</v>
      </c>
      <c r="K330">
        <v>0</v>
      </c>
      <c r="L330">
        <v>5</v>
      </c>
      <c r="M330">
        <v>5</v>
      </c>
    </row>
    <row r="331" spans="1:13" x14ac:dyDescent="0.3">
      <c r="A331">
        <v>330</v>
      </c>
      <c r="B331" s="1">
        <v>40558</v>
      </c>
      <c r="C331">
        <v>5</v>
      </c>
      <c r="D331" t="b">
        <v>0</v>
      </c>
      <c r="E331" t="s">
        <v>29</v>
      </c>
      <c r="F331" t="s">
        <v>30</v>
      </c>
      <c r="G331">
        <v>0.16</v>
      </c>
      <c r="H331">
        <v>0.2273</v>
      </c>
      <c r="I331">
        <v>0.59</v>
      </c>
      <c r="J331">
        <v>0</v>
      </c>
      <c r="K331">
        <v>0</v>
      </c>
      <c r="L331">
        <v>1</v>
      </c>
      <c r="M331">
        <v>1</v>
      </c>
    </row>
    <row r="332" spans="1:13" x14ac:dyDescent="0.3">
      <c r="A332">
        <v>331</v>
      </c>
      <c r="B332" s="1">
        <v>40558</v>
      </c>
      <c r="C332">
        <v>6</v>
      </c>
      <c r="D332" t="b">
        <v>0</v>
      </c>
      <c r="E332" t="s">
        <v>29</v>
      </c>
      <c r="F332" t="s">
        <v>30</v>
      </c>
      <c r="G332">
        <v>0.14000000000000001</v>
      </c>
      <c r="H332">
        <v>0.16669999999999999</v>
      </c>
      <c r="I332">
        <v>0.63</v>
      </c>
      <c r="J332">
        <v>0.1045</v>
      </c>
      <c r="K332">
        <v>1</v>
      </c>
      <c r="L332">
        <v>2</v>
      </c>
      <c r="M332">
        <v>3</v>
      </c>
    </row>
    <row r="333" spans="1:13" x14ac:dyDescent="0.3">
      <c r="A333">
        <v>332</v>
      </c>
      <c r="B333" s="1">
        <v>40558</v>
      </c>
      <c r="C333">
        <v>7</v>
      </c>
      <c r="D333" t="b">
        <v>0</v>
      </c>
      <c r="E333" t="s">
        <v>29</v>
      </c>
      <c r="F333" t="s">
        <v>30</v>
      </c>
      <c r="G333">
        <v>0.14000000000000001</v>
      </c>
      <c r="H333">
        <v>0.21210000000000001</v>
      </c>
      <c r="I333">
        <v>0.63</v>
      </c>
      <c r="J333">
        <v>0</v>
      </c>
      <c r="K333">
        <v>1</v>
      </c>
      <c r="L333">
        <v>9</v>
      </c>
      <c r="M333">
        <v>10</v>
      </c>
    </row>
    <row r="334" spans="1:13" x14ac:dyDescent="0.3">
      <c r="A334">
        <v>333</v>
      </c>
      <c r="B334" s="1">
        <v>40558</v>
      </c>
      <c r="C334">
        <v>8</v>
      </c>
      <c r="D334" t="b">
        <v>0</v>
      </c>
      <c r="E334" t="s">
        <v>29</v>
      </c>
      <c r="F334" t="s">
        <v>30</v>
      </c>
      <c r="G334">
        <v>0.14000000000000001</v>
      </c>
      <c r="H334">
        <v>0.1515</v>
      </c>
      <c r="I334">
        <v>0.63</v>
      </c>
      <c r="J334">
        <v>0.1343</v>
      </c>
      <c r="K334">
        <v>1</v>
      </c>
      <c r="L334">
        <v>22</v>
      </c>
      <c r="M334">
        <v>23</v>
      </c>
    </row>
    <row r="335" spans="1:13" x14ac:dyDescent="0.3">
      <c r="A335">
        <v>334</v>
      </c>
      <c r="B335" s="1">
        <v>40558</v>
      </c>
      <c r="C335">
        <v>9</v>
      </c>
      <c r="D335" t="b">
        <v>0</v>
      </c>
      <c r="E335" t="s">
        <v>29</v>
      </c>
      <c r="F335" t="s">
        <v>30</v>
      </c>
      <c r="G335">
        <v>0.16</v>
      </c>
      <c r="H335">
        <v>0.18179999999999999</v>
      </c>
      <c r="I335">
        <v>0.64</v>
      </c>
      <c r="J335">
        <v>0.1343</v>
      </c>
      <c r="K335">
        <v>2</v>
      </c>
      <c r="L335">
        <v>31</v>
      </c>
      <c r="M335">
        <v>33</v>
      </c>
    </row>
    <row r="336" spans="1:13" x14ac:dyDescent="0.3">
      <c r="A336">
        <v>335</v>
      </c>
      <c r="B336" s="1">
        <v>40558</v>
      </c>
      <c r="C336">
        <v>10</v>
      </c>
      <c r="D336" t="b">
        <v>0</v>
      </c>
      <c r="E336" t="s">
        <v>29</v>
      </c>
      <c r="F336" t="s">
        <v>30</v>
      </c>
      <c r="G336">
        <v>0.18</v>
      </c>
      <c r="H336">
        <v>0.19700000000000001</v>
      </c>
      <c r="I336">
        <v>0.59</v>
      </c>
      <c r="J336">
        <v>0.16420000000000001</v>
      </c>
      <c r="K336">
        <v>2</v>
      </c>
      <c r="L336">
        <v>57</v>
      </c>
      <c r="M336">
        <v>59</v>
      </c>
    </row>
    <row r="337" spans="1:13" x14ac:dyDescent="0.3">
      <c r="A337">
        <v>336</v>
      </c>
      <c r="B337" s="1">
        <v>40558</v>
      </c>
      <c r="C337">
        <v>11</v>
      </c>
      <c r="D337" t="b">
        <v>0</v>
      </c>
      <c r="E337" t="s">
        <v>29</v>
      </c>
      <c r="F337" t="s">
        <v>30</v>
      </c>
      <c r="G337">
        <v>0.2</v>
      </c>
      <c r="H337">
        <v>0.19700000000000001</v>
      </c>
      <c r="I337">
        <v>0.55000000000000004</v>
      </c>
      <c r="J337">
        <v>0.22389999999999999</v>
      </c>
      <c r="K337">
        <v>18</v>
      </c>
      <c r="L337">
        <v>54</v>
      </c>
      <c r="M337">
        <v>72</v>
      </c>
    </row>
    <row r="338" spans="1:13" x14ac:dyDescent="0.3">
      <c r="A338">
        <v>337</v>
      </c>
      <c r="B338" s="1">
        <v>40558</v>
      </c>
      <c r="C338">
        <v>12</v>
      </c>
      <c r="D338" t="b">
        <v>0</v>
      </c>
      <c r="E338" t="s">
        <v>29</v>
      </c>
      <c r="F338" t="s">
        <v>30</v>
      </c>
      <c r="G338">
        <v>0.24</v>
      </c>
      <c r="H338">
        <v>0.2273</v>
      </c>
      <c r="I338">
        <v>0.48</v>
      </c>
      <c r="J338">
        <v>0.22389999999999999</v>
      </c>
      <c r="K338">
        <v>15</v>
      </c>
      <c r="L338">
        <v>74</v>
      </c>
      <c r="M338">
        <v>89</v>
      </c>
    </row>
    <row r="339" spans="1:13" x14ac:dyDescent="0.3">
      <c r="A339">
        <v>338</v>
      </c>
      <c r="B339" s="1">
        <v>40558</v>
      </c>
      <c r="C339">
        <v>13</v>
      </c>
      <c r="D339" t="b">
        <v>0</v>
      </c>
      <c r="E339" t="s">
        <v>29</v>
      </c>
      <c r="F339" t="s">
        <v>30</v>
      </c>
      <c r="G339">
        <v>0.28000000000000003</v>
      </c>
      <c r="H339">
        <v>0.2576</v>
      </c>
      <c r="I339">
        <v>0.38</v>
      </c>
      <c r="J339">
        <v>0.29849999999999999</v>
      </c>
      <c r="K339">
        <v>21</v>
      </c>
      <c r="L339">
        <v>80</v>
      </c>
      <c r="M339">
        <v>101</v>
      </c>
    </row>
    <row r="340" spans="1:13" x14ac:dyDescent="0.3">
      <c r="A340">
        <v>339</v>
      </c>
      <c r="B340" s="1">
        <v>40558</v>
      </c>
      <c r="C340">
        <v>14</v>
      </c>
      <c r="D340" t="b">
        <v>0</v>
      </c>
      <c r="E340" t="s">
        <v>29</v>
      </c>
      <c r="F340" t="s">
        <v>30</v>
      </c>
      <c r="G340">
        <v>0.3</v>
      </c>
      <c r="H340">
        <v>0.28789999999999999</v>
      </c>
      <c r="I340">
        <v>0.39</v>
      </c>
      <c r="J340">
        <v>0.28360000000000002</v>
      </c>
      <c r="K340">
        <v>26</v>
      </c>
      <c r="L340">
        <v>92</v>
      </c>
      <c r="M340">
        <v>118</v>
      </c>
    </row>
    <row r="341" spans="1:13" x14ac:dyDescent="0.3">
      <c r="A341">
        <v>340</v>
      </c>
      <c r="B341" s="1">
        <v>40558</v>
      </c>
      <c r="C341">
        <v>15</v>
      </c>
      <c r="D341" t="b">
        <v>0</v>
      </c>
      <c r="E341" t="s">
        <v>29</v>
      </c>
      <c r="F341" t="s">
        <v>31</v>
      </c>
      <c r="G341">
        <v>0.32</v>
      </c>
      <c r="H341">
        <v>0.31819999999999998</v>
      </c>
      <c r="I341">
        <v>0.36</v>
      </c>
      <c r="J341">
        <v>0.19400000000000001</v>
      </c>
      <c r="K341">
        <v>21</v>
      </c>
      <c r="L341">
        <v>108</v>
      </c>
      <c r="M341">
        <v>129</v>
      </c>
    </row>
    <row r="342" spans="1:13" x14ac:dyDescent="0.3">
      <c r="A342">
        <v>341</v>
      </c>
      <c r="B342" s="1">
        <v>40558</v>
      </c>
      <c r="C342">
        <v>16</v>
      </c>
      <c r="D342" t="b">
        <v>0</v>
      </c>
      <c r="E342" t="s">
        <v>29</v>
      </c>
      <c r="F342" t="s">
        <v>31</v>
      </c>
      <c r="G342">
        <v>0.34</v>
      </c>
      <c r="H342">
        <v>0.33329999999999999</v>
      </c>
      <c r="I342">
        <v>0.34</v>
      </c>
      <c r="J342">
        <v>0.19400000000000001</v>
      </c>
      <c r="K342">
        <v>33</v>
      </c>
      <c r="L342">
        <v>95</v>
      </c>
      <c r="M342">
        <v>128</v>
      </c>
    </row>
    <row r="343" spans="1:13" x14ac:dyDescent="0.3">
      <c r="A343">
        <v>342</v>
      </c>
      <c r="B343" s="1">
        <v>40558</v>
      </c>
      <c r="C343">
        <v>17</v>
      </c>
      <c r="D343" t="b">
        <v>0</v>
      </c>
      <c r="E343" t="s">
        <v>29</v>
      </c>
      <c r="F343" t="s">
        <v>31</v>
      </c>
      <c r="G343">
        <v>0.32</v>
      </c>
      <c r="H343">
        <v>0.30299999999999999</v>
      </c>
      <c r="I343">
        <v>0.36</v>
      </c>
      <c r="J343">
        <v>0.28360000000000002</v>
      </c>
      <c r="K343">
        <v>29</v>
      </c>
      <c r="L343">
        <v>54</v>
      </c>
      <c r="M343">
        <v>83</v>
      </c>
    </row>
    <row r="344" spans="1:13" x14ac:dyDescent="0.3">
      <c r="A344">
        <v>343</v>
      </c>
      <c r="B344" s="1">
        <v>40558</v>
      </c>
      <c r="C344">
        <v>18</v>
      </c>
      <c r="D344" t="b">
        <v>0</v>
      </c>
      <c r="E344" t="s">
        <v>29</v>
      </c>
      <c r="F344" t="s">
        <v>31</v>
      </c>
      <c r="G344">
        <v>0.3</v>
      </c>
      <c r="H344">
        <v>0.28789999999999999</v>
      </c>
      <c r="I344">
        <v>0.45</v>
      </c>
      <c r="J344">
        <v>0.25369999999999998</v>
      </c>
      <c r="K344">
        <v>15</v>
      </c>
      <c r="L344">
        <v>69</v>
      </c>
      <c r="M344">
        <v>84</v>
      </c>
    </row>
    <row r="345" spans="1:13" x14ac:dyDescent="0.3">
      <c r="A345">
        <v>344</v>
      </c>
      <c r="B345" s="1">
        <v>40558</v>
      </c>
      <c r="C345">
        <v>19</v>
      </c>
      <c r="D345" t="b">
        <v>0</v>
      </c>
      <c r="E345" t="s">
        <v>29</v>
      </c>
      <c r="F345" t="s">
        <v>31</v>
      </c>
      <c r="G345">
        <v>0.32</v>
      </c>
      <c r="H345">
        <v>0.30299999999999999</v>
      </c>
      <c r="I345">
        <v>0.39</v>
      </c>
      <c r="J345">
        <v>0.25369999999999998</v>
      </c>
      <c r="K345">
        <v>14</v>
      </c>
      <c r="L345">
        <v>60</v>
      </c>
      <c r="M345">
        <v>74</v>
      </c>
    </row>
    <row r="346" spans="1:13" x14ac:dyDescent="0.3">
      <c r="A346">
        <v>345</v>
      </c>
      <c r="B346" s="1">
        <v>40558</v>
      </c>
      <c r="C346">
        <v>20</v>
      </c>
      <c r="D346" t="b">
        <v>0</v>
      </c>
      <c r="E346" t="s">
        <v>29</v>
      </c>
      <c r="F346" t="s">
        <v>31</v>
      </c>
      <c r="G346">
        <v>0.32</v>
      </c>
      <c r="H346">
        <v>0.30299999999999999</v>
      </c>
      <c r="I346">
        <v>0.39</v>
      </c>
      <c r="J346">
        <v>0.25369999999999998</v>
      </c>
      <c r="K346">
        <v>6</v>
      </c>
      <c r="L346">
        <v>35</v>
      </c>
      <c r="M346">
        <v>41</v>
      </c>
    </row>
    <row r="347" spans="1:13" x14ac:dyDescent="0.3">
      <c r="A347">
        <v>346</v>
      </c>
      <c r="B347" s="1">
        <v>40558</v>
      </c>
      <c r="C347">
        <v>21</v>
      </c>
      <c r="D347" t="b">
        <v>0</v>
      </c>
      <c r="E347" t="s">
        <v>29</v>
      </c>
      <c r="F347" t="s">
        <v>31</v>
      </c>
      <c r="G347">
        <v>0.32</v>
      </c>
      <c r="H347">
        <v>0.30299999999999999</v>
      </c>
      <c r="I347">
        <v>0.39</v>
      </c>
      <c r="J347">
        <v>0.22389999999999999</v>
      </c>
      <c r="K347">
        <v>6</v>
      </c>
      <c r="L347">
        <v>51</v>
      </c>
      <c r="M347">
        <v>57</v>
      </c>
    </row>
    <row r="348" spans="1:13" x14ac:dyDescent="0.3">
      <c r="A348">
        <v>347</v>
      </c>
      <c r="B348" s="1">
        <v>40558</v>
      </c>
      <c r="C348">
        <v>22</v>
      </c>
      <c r="D348" t="b">
        <v>0</v>
      </c>
      <c r="E348" t="s">
        <v>29</v>
      </c>
      <c r="F348" t="s">
        <v>31</v>
      </c>
      <c r="G348">
        <v>0.3</v>
      </c>
      <c r="H348">
        <v>0.31819999999999998</v>
      </c>
      <c r="I348">
        <v>0.42</v>
      </c>
      <c r="J348">
        <v>0.1045</v>
      </c>
      <c r="K348">
        <v>0</v>
      </c>
      <c r="L348">
        <v>26</v>
      </c>
      <c r="M348">
        <v>26</v>
      </c>
    </row>
    <row r="349" spans="1:13" x14ac:dyDescent="0.3">
      <c r="A349">
        <v>348</v>
      </c>
      <c r="B349" s="1">
        <v>40558</v>
      </c>
      <c r="C349">
        <v>23</v>
      </c>
      <c r="D349" t="b">
        <v>0</v>
      </c>
      <c r="E349" t="s">
        <v>29</v>
      </c>
      <c r="F349" t="s">
        <v>30</v>
      </c>
      <c r="G349">
        <v>0.3</v>
      </c>
      <c r="H349">
        <v>0.28789999999999999</v>
      </c>
      <c r="I349">
        <v>0.45</v>
      </c>
      <c r="J349">
        <v>0.28360000000000002</v>
      </c>
      <c r="K349">
        <v>5</v>
      </c>
      <c r="L349">
        <v>39</v>
      </c>
      <c r="M349">
        <v>44</v>
      </c>
    </row>
    <row r="350" spans="1:13" x14ac:dyDescent="0.3">
      <c r="A350">
        <v>349</v>
      </c>
      <c r="B350" s="1">
        <v>40559</v>
      </c>
      <c r="C350">
        <v>0</v>
      </c>
      <c r="D350" t="b">
        <v>0</v>
      </c>
      <c r="E350" t="s">
        <v>23</v>
      </c>
      <c r="F350" t="s">
        <v>30</v>
      </c>
      <c r="G350">
        <v>0.26</v>
      </c>
      <c r="H350">
        <v>0.30299999999999999</v>
      </c>
      <c r="I350">
        <v>0.56000000000000005</v>
      </c>
      <c r="J350">
        <v>0</v>
      </c>
      <c r="K350">
        <v>6</v>
      </c>
      <c r="L350">
        <v>33</v>
      </c>
      <c r="M350">
        <v>39</v>
      </c>
    </row>
    <row r="351" spans="1:13" x14ac:dyDescent="0.3">
      <c r="A351">
        <v>350</v>
      </c>
      <c r="B351" s="1">
        <v>40559</v>
      </c>
      <c r="C351">
        <v>1</v>
      </c>
      <c r="D351" t="b">
        <v>0</v>
      </c>
      <c r="E351" t="s">
        <v>23</v>
      </c>
      <c r="F351" t="s">
        <v>30</v>
      </c>
      <c r="G351">
        <v>0.26</v>
      </c>
      <c r="H351">
        <v>0.2727</v>
      </c>
      <c r="I351">
        <v>0.56000000000000005</v>
      </c>
      <c r="J351">
        <v>0.1343</v>
      </c>
      <c r="K351">
        <v>4</v>
      </c>
      <c r="L351">
        <v>19</v>
      </c>
      <c r="M351">
        <v>23</v>
      </c>
    </row>
    <row r="352" spans="1:13" x14ac:dyDescent="0.3">
      <c r="A352">
        <v>351</v>
      </c>
      <c r="B352" s="1">
        <v>40559</v>
      </c>
      <c r="C352">
        <v>2</v>
      </c>
      <c r="D352" t="b">
        <v>0</v>
      </c>
      <c r="E352" t="s">
        <v>23</v>
      </c>
      <c r="F352" t="s">
        <v>30</v>
      </c>
      <c r="G352">
        <v>0.26</v>
      </c>
      <c r="H352">
        <v>0.28789999999999999</v>
      </c>
      <c r="I352">
        <v>0.56000000000000005</v>
      </c>
      <c r="J352">
        <v>8.9599999999999999E-2</v>
      </c>
      <c r="K352">
        <v>3</v>
      </c>
      <c r="L352">
        <v>13</v>
      </c>
      <c r="M352">
        <v>16</v>
      </c>
    </row>
    <row r="353" spans="1:13" x14ac:dyDescent="0.3">
      <c r="A353">
        <v>352</v>
      </c>
      <c r="B353" s="1">
        <v>40559</v>
      </c>
      <c r="C353">
        <v>3</v>
      </c>
      <c r="D353" t="b">
        <v>0</v>
      </c>
      <c r="E353" t="s">
        <v>23</v>
      </c>
      <c r="F353" t="s">
        <v>30</v>
      </c>
      <c r="G353">
        <v>0.22</v>
      </c>
      <c r="H353">
        <v>0.2727</v>
      </c>
      <c r="I353">
        <v>0.69</v>
      </c>
      <c r="J353">
        <v>0</v>
      </c>
      <c r="K353">
        <v>9</v>
      </c>
      <c r="L353">
        <v>6</v>
      </c>
      <c r="M353">
        <v>15</v>
      </c>
    </row>
    <row r="354" spans="1:13" x14ac:dyDescent="0.3">
      <c r="A354">
        <v>353</v>
      </c>
      <c r="B354" s="1">
        <v>40559</v>
      </c>
      <c r="C354">
        <v>4</v>
      </c>
      <c r="D354" t="b">
        <v>0</v>
      </c>
      <c r="E354" t="s">
        <v>23</v>
      </c>
      <c r="F354" t="s">
        <v>30</v>
      </c>
      <c r="G354">
        <v>0.26</v>
      </c>
      <c r="H354">
        <v>0.2576</v>
      </c>
      <c r="I354">
        <v>0.56000000000000005</v>
      </c>
      <c r="J354">
        <v>0.16420000000000001</v>
      </c>
      <c r="K354">
        <v>0</v>
      </c>
      <c r="L354">
        <v>1</v>
      </c>
      <c r="M354">
        <v>1</v>
      </c>
    </row>
    <row r="355" spans="1:13" x14ac:dyDescent="0.3">
      <c r="A355">
        <v>354</v>
      </c>
      <c r="B355" s="1">
        <v>40559</v>
      </c>
      <c r="C355">
        <v>5</v>
      </c>
      <c r="D355" t="b">
        <v>0</v>
      </c>
      <c r="E355" t="s">
        <v>23</v>
      </c>
      <c r="F355" t="s">
        <v>31</v>
      </c>
      <c r="G355">
        <v>0.26</v>
      </c>
      <c r="H355">
        <v>0.2576</v>
      </c>
      <c r="I355">
        <v>0.56000000000000005</v>
      </c>
      <c r="J355">
        <v>0.16420000000000001</v>
      </c>
      <c r="K355">
        <v>1</v>
      </c>
      <c r="L355">
        <v>1</v>
      </c>
      <c r="M355">
        <v>2</v>
      </c>
    </row>
    <row r="356" spans="1:13" x14ac:dyDescent="0.3">
      <c r="A356">
        <v>355</v>
      </c>
      <c r="B356" s="1">
        <v>40559</v>
      </c>
      <c r="C356">
        <v>6</v>
      </c>
      <c r="D356" t="b">
        <v>0</v>
      </c>
      <c r="E356" t="s">
        <v>23</v>
      </c>
      <c r="F356" t="s">
        <v>31</v>
      </c>
      <c r="G356">
        <v>0.26</v>
      </c>
      <c r="H356">
        <v>0.2576</v>
      </c>
      <c r="I356">
        <v>0.56000000000000005</v>
      </c>
      <c r="J356">
        <v>0.16420000000000001</v>
      </c>
      <c r="K356">
        <v>0</v>
      </c>
      <c r="L356">
        <v>1</v>
      </c>
      <c r="M356">
        <v>1</v>
      </c>
    </row>
    <row r="357" spans="1:13" x14ac:dyDescent="0.3">
      <c r="A357">
        <v>356</v>
      </c>
      <c r="B357" s="1">
        <v>40559</v>
      </c>
      <c r="C357">
        <v>7</v>
      </c>
      <c r="D357" t="b">
        <v>0</v>
      </c>
      <c r="E357" t="s">
        <v>23</v>
      </c>
      <c r="F357" t="s">
        <v>31</v>
      </c>
      <c r="G357">
        <v>0.24</v>
      </c>
      <c r="H357">
        <v>0.21210000000000001</v>
      </c>
      <c r="I357">
        <v>0.56000000000000005</v>
      </c>
      <c r="J357">
        <v>0.29849999999999999</v>
      </c>
      <c r="K357">
        <v>0</v>
      </c>
      <c r="L357">
        <v>3</v>
      </c>
      <c r="M357">
        <v>3</v>
      </c>
    </row>
    <row r="358" spans="1:13" x14ac:dyDescent="0.3">
      <c r="A358">
        <v>357</v>
      </c>
      <c r="B358" s="1">
        <v>40559</v>
      </c>
      <c r="C358">
        <v>8</v>
      </c>
      <c r="D358" t="b">
        <v>0</v>
      </c>
      <c r="E358" t="s">
        <v>23</v>
      </c>
      <c r="F358" t="s">
        <v>30</v>
      </c>
      <c r="G358">
        <v>0.22</v>
      </c>
      <c r="H358">
        <v>0.21210000000000001</v>
      </c>
      <c r="I358">
        <v>0.55000000000000004</v>
      </c>
      <c r="J358">
        <v>0.28360000000000002</v>
      </c>
      <c r="K358">
        <v>0</v>
      </c>
      <c r="L358">
        <v>18</v>
      </c>
      <c r="M358">
        <v>18</v>
      </c>
    </row>
    <row r="359" spans="1:13" x14ac:dyDescent="0.3">
      <c r="A359">
        <v>358</v>
      </c>
      <c r="B359" s="1">
        <v>40559</v>
      </c>
      <c r="C359">
        <v>9</v>
      </c>
      <c r="D359" t="b">
        <v>0</v>
      </c>
      <c r="E359" t="s">
        <v>23</v>
      </c>
      <c r="F359" t="s">
        <v>30</v>
      </c>
      <c r="G359">
        <v>0.22</v>
      </c>
      <c r="H359">
        <v>0.21210000000000001</v>
      </c>
      <c r="I359">
        <v>0.51</v>
      </c>
      <c r="J359">
        <v>0.25369999999999998</v>
      </c>
      <c r="K359">
        <v>3</v>
      </c>
      <c r="L359">
        <v>29</v>
      </c>
      <c r="M359">
        <v>32</v>
      </c>
    </row>
    <row r="360" spans="1:13" x14ac:dyDescent="0.3">
      <c r="A360">
        <v>359</v>
      </c>
      <c r="B360" s="1">
        <v>40559</v>
      </c>
      <c r="C360">
        <v>10</v>
      </c>
      <c r="D360" t="b">
        <v>0</v>
      </c>
      <c r="E360" t="s">
        <v>23</v>
      </c>
      <c r="F360" t="s">
        <v>30</v>
      </c>
      <c r="G360">
        <v>0.22</v>
      </c>
      <c r="H360">
        <v>0.21210000000000001</v>
      </c>
      <c r="I360">
        <v>0.51</v>
      </c>
      <c r="J360">
        <v>0.28360000000000002</v>
      </c>
      <c r="K360">
        <v>8</v>
      </c>
      <c r="L360">
        <v>71</v>
      </c>
      <c r="M360">
        <v>79</v>
      </c>
    </row>
    <row r="361" spans="1:13" x14ac:dyDescent="0.3">
      <c r="A361">
        <v>360</v>
      </c>
      <c r="B361" s="1">
        <v>40559</v>
      </c>
      <c r="C361">
        <v>11</v>
      </c>
      <c r="D361" t="b">
        <v>0</v>
      </c>
      <c r="E361" t="s">
        <v>23</v>
      </c>
      <c r="F361" t="s">
        <v>30</v>
      </c>
      <c r="G361">
        <v>0.24</v>
      </c>
      <c r="H361">
        <v>0.2273</v>
      </c>
      <c r="I361">
        <v>0.44</v>
      </c>
      <c r="J361">
        <v>0.25369999999999998</v>
      </c>
      <c r="K361">
        <v>23</v>
      </c>
      <c r="L361">
        <v>70</v>
      </c>
      <c r="M361">
        <v>93</v>
      </c>
    </row>
    <row r="362" spans="1:13" x14ac:dyDescent="0.3">
      <c r="A362">
        <v>361</v>
      </c>
      <c r="B362" s="1">
        <v>40559</v>
      </c>
      <c r="C362">
        <v>12</v>
      </c>
      <c r="D362" t="b">
        <v>0</v>
      </c>
      <c r="E362" t="s">
        <v>23</v>
      </c>
      <c r="F362" t="s">
        <v>30</v>
      </c>
      <c r="G362">
        <v>0.24</v>
      </c>
      <c r="H362">
        <v>0.21210000000000001</v>
      </c>
      <c r="I362">
        <v>0.41</v>
      </c>
      <c r="J362">
        <v>0.28360000000000002</v>
      </c>
      <c r="K362">
        <v>29</v>
      </c>
      <c r="L362">
        <v>75</v>
      </c>
      <c r="M362">
        <v>104</v>
      </c>
    </row>
    <row r="363" spans="1:13" x14ac:dyDescent="0.3">
      <c r="A363">
        <v>362</v>
      </c>
      <c r="B363" s="1">
        <v>40559</v>
      </c>
      <c r="C363">
        <v>13</v>
      </c>
      <c r="D363" t="b">
        <v>0</v>
      </c>
      <c r="E363" t="s">
        <v>23</v>
      </c>
      <c r="F363" t="s">
        <v>30</v>
      </c>
      <c r="G363">
        <v>0.26</v>
      </c>
      <c r="H363">
        <v>0.2273</v>
      </c>
      <c r="I363">
        <v>0.35</v>
      </c>
      <c r="J363">
        <v>0.29849999999999999</v>
      </c>
      <c r="K363">
        <v>23</v>
      </c>
      <c r="L363">
        <v>95</v>
      </c>
      <c r="M363">
        <v>118</v>
      </c>
    </row>
    <row r="364" spans="1:13" x14ac:dyDescent="0.3">
      <c r="A364">
        <v>363</v>
      </c>
      <c r="B364" s="1">
        <v>40559</v>
      </c>
      <c r="C364">
        <v>14</v>
      </c>
      <c r="D364" t="b">
        <v>0</v>
      </c>
      <c r="E364" t="s">
        <v>23</v>
      </c>
      <c r="F364" t="s">
        <v>30</v>
      </c>
      <c r="G364">
        <v>0.28000000000000003</v>
      </c>
      <c r="H364">
        <v>0.2727</v>
      </c>
      <c r="I364">
        <v>0.36</v>
      </c>
      <c r="J364">
        <v>0.25369999999999998</v>
      </c>
      <c r="K364">
        <v>22</v>
      </c>
      <c r="L364">
        <v>69</v>
      </c>
      <c r="M364">
        <v>91</v>
      </c>
    </row>
    <row r="365" spans="1:13" x14ac:dyDescent="0.3">
      <c r="A365">
        <v>364</v>
      </c>
      <c r="B365" s="1">
        <v>40559</v>
      </c>
      <c r="C365">
        <v>15</v>
      </c>
      <c r="D365" t="b">
        <v>0</v>
      </c>
      <c r="E365" t="s">
        <v>23</v>
      </c>
      <c r="F365" t="s">
        <v>30</v>
      </c>
      <c r="G365">
        <v>0.26</v>
      </c>
      <c r="H365">
        <v>0.2424</v>
      </c>
      <c r="I365">
        <v>0.38</v>
      </c>
      <c r="J365">
        <v>0.25369999999999998</v>
      </c>
      <c r="K365">
        <v>35</v>
      </c>
      <c r="L365">
        <v>78</v>
      </c>
      <c r="M365">
        <v>113</v>
      </c>
    </row>
    <row r="366" spans="1:13" x14ac:dyDescent="0.3">
      <c r="A366">
        <v>365</v>
      </c>
      <c r="B366" s="1">
        <v>40559</v>
      </c>
      <c r="C366">
        <v>16</v>
      </c>
      <c r="D366" t="b">
        <v>0</v>
      </c>
      <c r="E366" t="s">
        <v>23</v>
      </c>
      <c r="F366" t="s">
        <v>30</v>
      </c>
      <c r="G366">
        <v>0.24</v>
      </c>
      <c r="H366">
        <v>0.2273</v>
      </c>
      <c r="I366">
        <v>0.38</v>
      </c>
      <c r="J366">
        <v>0.22389999999999999</v>
      </c>
      <c r="K366">
        <v>22</v>
      </c>
      <c r="L366">
        <v>77</v>
      </c>
      <c r="M366">
        <v>99</v>
      </c>
    </row>
    <row r="367" spans="1:13" x14ac:dyDescent="0.3">
      <c r="A367">
        <v>366</v>
      </c>
      <c r="B367" s="1">
        <v>40559</v>
      </c>
      <c r="C367">
        <v>17</v>
      </c>
      <c r="D367" t="b">
        <v>0</v>
      </c>
      <c r="E367" t="s">
        <v>23</v>
      </c>
      <c r="F367" t="s">
        <v>30</v>
      </c>
      <c r="G367">
        <v>0.22</v>
      </c>
      <c r="H367">
        <v>0.21210000000000001</v>
      </c>
      <c r="I367">
        <v>0.37</v>
      </c>
      <c r="J367">
        <v>0.25369999999999998</v>
      </c>
      <c r="K367">
        <v>23</v>
      </c>
      <c r="L367">
        <v>82</v>
      </c>
      <c r="M367">
        <v>105</v>
      </c>
    </row>
    <row r="368" spans="1:13" x14ac:dyDescent="0.3">
      <c r="A368">
        <v>367</v>
      </c>
      <c r="B368" s="1">
        <v>40559</v>
      </c>
      <c r="C368">
        <v>18</v>
      </c>
      <c r="D368" t="b">
        <v>0</v>
      </c>
      <c r="E368" t="s">
        <v>23</v>
      </c>
      <c r="F368" t="s">
        <v>30</v>
      </c>
      <c r="G368">
        <v>0.2</v>
      </c>
      <c r="H368">
        <v>0.21210000000000001</v>
      </c>
      <c r="I368">
        <v>0.4</v>
      </c>
      <c r="J368">
        <v>0.16420000000000001</v>
      </c>
      <c r="K368">
        <v>11</v>
      </c>
      <c r="L368">
        <v>56</v>
      </c>
      <c r="M368">
        <v>67</v>
      </c>
    </row>
    <row r="369" spans="1:13" x14ac:dyDescent="0.3">
      <c r="A369">
        <v>368</v>
      </c>
      <c r="B369" s="1">
        <v>40559</v>
      </c>
      <c r="C369">
        <v>19</v>
      </c>
      <c r="D369" t="b">
        <v>0</v>
      </c>
      <c r="E369" t="s">
        <v>23</v>
      </c>
      <c r="F369" t="s">
        <v>30</v>
      </c>
      <c r="G369">
        <v>0.18</v>
      </c>
      <c r="H369">
        <v>0.19700000000000001</v>
      </c>
      <c r="I369">
        <v>0.47</v>
      </c>
      <c r="J369">
        <v>0.1343</v>
      </c>
      <c r="K369">
        <v>14</v>
      </c>
      <c r="L369">
        <v>47</v>
      </c>
      <c r="M369">
        <v>61</v>
      </c>
    </row>
    <row r="370" spans="1:13" x14ac:dyDescent="0.3">
      <c r="A370">
        <v>369</v>
      </c>
      <c r="B370" s="1">
        <v>40559</v>
      </c>
      <c r="C370">
        <v>20</v>
      </c>
      <c r="D370" t="b">
        <v>0</v>
      </c>
      <c r="E370" t="s">
        <v>23</v>
      </c>
      <c r="F370" t="s">
        <v>30</v>
      </c>
      <c r="G370">
        <v>0.18</v>
      </c>
      <c r="H370">
        <v>0.19700000000000001</v>
      </c>
      <c r="I370">
        <v>0.47</v>
      </c>
      <c r="J370">
        <v>0.16420000000000001</v>
      </c>
      <c r="K370">
        <v>7</v>
      </c>
      <c r="L370">
        <v>50</v>
      </c>
      <c r="M370">
        <v>57</v>
      </c>
    </row>
    <row r="371" spans="1:13" x14ac:dyDescent="0.3">
      <c r="A371">
        <v>370</v>
      </c>
      <c r="B371" s="1">
        <v>40559</v>
      </c>
      <c r="C371">
        <v>21</v>
      </c>
      <c r="D371" t="b">
        <v>0</v>
      </c>
      <c r="E371" t="s">
        <v>23</v>
      </c>
      <c r="F371" t="s">
        <v>30</v>
      </c>
      <c r="G371">
        <v>0.18</v>
      </c>
      <c r="H371">
        <v>0.19700000000000001</v>
      </c>
      <c r="I371">
        <v>0.51</v>
      </c>
      <c r="J371">
        <v>0.16420000000000001</v>
      </c>
      <c r="K371">
        <v>6</v>
      </c>
      <c r="L371">
        <v>22</v>
      </c>
      <c r="M371">
        <v>28</v>
      </c>
    </row>
    <row r="372" spans="1:13" x14ac:dyDescent="0.3">
      <c r="A372">
        <v>371</v>
      </c>
      <c r="B372" s="1">
        <v>40559</v>
      </c>
      <c r="C372">
        <v>22</v>
      </c>
      <c r="D372" t="b">
        <v>0</v>
      </c>
      <c r="E372" t="s">
        <v>23</v>
      </c>
      <c r="F372" t="s">
        <v>31</v>
      </c>
      <c r="G372">
        <v>0.2</v>
      </c>
      <c r="H372">
        <v>0.21210000000000001</v>
      </c>
      <c r="I372">
        <v>0.49</v>
      </c>
      <c r="J372">
        <v>0.1343</v>
      </c>
      <c r="K372">
        <v>2</v>
      </c>
      <c r="L372">
        <v>19</v>
      </c>
      <c r="M372">
        <v>21</v>
      </c>
    </row>
    <row r="373" spans="1:13" x14ac:dyDescent="0.3">
      <c r="A373">
        <v>372</v>
      </c>
      <c r="B373" s="1">
        <v>40559</v>
      </c>
      <c r="C373">
        <v>23</v>
      </c>
      <c r="D373" t="b">
        <v>0</v>
      </c>
      <c r="E373" t="s">
        <v>23</v>
      </c>
      <c r="F373" t="s">
        <v>31</v>
      </c>
      <c r="G373">
        <v>0.2</v>
      </c>
      <c r="H373">
        <v>0.2273</v>
      </c>
      <c r="I373">
        <v>0.4</v>
      </c>
      <c r="J373">
        <v>0.1045</v>
      </c>
      <c r="K373">
        <v>0</v>
      </c>
      <c r="L373">
        <v>18</v>
      </c>
      <c r="M373">
        <v>18</v>
      </c>
    </row>
    <row r="374" spans="1:13" x14ac:dyDescent="0.3">
      <c r="A374">
        <v>373</v>
      </c>
      <c r="B374" s="1">
        <v>40560</v>
      </c>
      <c r="C374">
        <v>0</v>
      </c>
      <c r="D374" t="b">
        <v>1</v>
      </c>
      <c r="E374" t="s">
        <v>24</v>
      </c>
      <c r="F374" t="s">
        <v>31</v>
      </c>
      <c r="G374">
        <v>0.2</v>
      </c>
      <c r="H374">
        <v>0.19700000000000001</v>
      </c>
      <c r="I374">
        <v>0.47</v>
      </c>
      <c r="J374">
        <v>0.22389999999999999</v>
      </c>
      <c r="K374">
        <v>1</v>
      </c>
      <c r="L374">
        <v>16</v>
      </c>
      <c r="M374">
        <v>17</v>
      </c>
    </row>
    <row r="375" spans="1:13" x14ac:dyDescent="0.3">
      <c r="A375">
        <v>374</v>
      </c>
      <c r="B375" s="1">
        <v>40560</v>
      </c>
      <c r="C375">
        <v>1</v>
      </c>
      <c r="D375" t="b">
        <v>1</v>
      </c>
      <c r="E375" t="s">
        <v>24</v>
      </c>
      <c r="F375" t="s">
        <v>31</v>
      </c>
      <c r="G375">
        <v>0.2</v>
      </c>
      <c r="H375">
        <v>0.19700000000000001</v>
      </c>
      <c r="I375">
        <v>0.44</v>
      </c>
      <c r="J375">
        <v>0.19400000000000001</v>
      </c>
      <c r="K375">
        <v>1</v>
      </c>
      <c r="L375">
        <v>15</v>
      </c>
      <c r="M375">
        <v>16</v>
      </c>
    </row>
    <row r="376" spans="1:13" x14ac:dyDescent="0.3">
      <c r="A376">
        <v>375</v>
      </c>
      <c r="B376" s="1">
        <v>40560</v>
      </c>
      <c r="C376">
        <v>2</v>
      </c>
      <c r="D376" t="b">
        <v>1</v>
      </c>
      <c r="E376" t="s">
        <v>24</v>
      </c>
      <c r="F376" t="s">
        <v>31</v>
      </c>
      <c r="G376">
        <v>0.18</v>
      </c>
      <c r="H376">
        <v>0.16669999999999999</v>
      </c>
      <c r="I376">
        <v>0.43</v>
      </c>
      <c r="J376">
        <v>0.25369999999999998</v>
      </c>
      <c r="K376">
        <v>0</v>
      </c>
      <c r="L376">
        <v>8</v>
      </c>
      <c r="M376">
        <v>8</v>
      </c>
    </row>
    <row r="377" spans="1:13" x14ac:dyDescent="0.3">
      <c r="A377">
        <v>376</v>
      </c>
      <c r="B377" s="1">
        <v>40560</v>
      </c>
      <c r="C377">
        <v>3</v>
      </c>
      <c r="D377" t="b">
        <v>1</v>
      </c>
      <c r="E377" t="s">
        <v>24</v>
      </c>
      <c r="F377" t="s">
        <v>31</v>
      </c>
      <c r="G377">
        <v>0.18</v>
      </c>
      <c r="H377">
        <v>0.18179999999999999</v>
      </c>
      <c r="I377">
        <v>0.43</v>
      </c>
      <c r="J377">
        <v>0.19400000000000001</v>
      </c>
      <c r="K377">
        <v>0</v>
      </c>
      <c r="L377">
        <v>2</v>
      </c>
      <c r="M377">
        <v>2</v>
      </c>
    </row>
    <row r="378" spans="1:13" x14ac:dyDescent="0.3">
      <c r="A378">
        <v>377</v>
      </c>
      <c r="B378" s="1">
        <v>40560</v>
      </c>
      <c r="C378">
        <v>4</v>
      </c>
      <c r="D378" t="b">
        <v>1</v>
      </c>
      <c r="E378" t="s">
        <v>24</v>
      </c>
      <c r="F378" t="s">
        <v>31</v>
      </c>
      <c r="G378">
        <v>0.18</v>
      </c>
      <c r="H378">
        <v>0.19700000000000001</v>
      </c>
      <c r="I378">
        <v>0.43</v>
      </c>
      <c r="J378">
        <v>0.1343</v>
      </c>
      <c r="K378">
        <v>1</v>
      </c>
      <c r="L378">
        <v>2</v>
      </c>
      <c r="M378">
        <v>3</v>
      </c>
    </row>
    <row r="379" spans="1:13" x14ac:dyDescent="0.3">
      <c r="A379">
        <v>378</v>
      </c>
      <c r="B379" s="1">
        <v>40560</v>
      </c>
      <c r="C379">
        <v>5</v>
      </c>
      <c r="D379" t="b">
        <v>1</v>
      </c>
      <c r="E379" t="s">
        <v>24</v>
      </c>
      <c r="F379" t="s">
        <v>31</v>
      </c>
      <c r="G379">
        <v>0.18</v>
      </c>
      <c r="H379">
        <v>0.19700000000000001</v>
      </c>
      <c r="I379">
        <v>0.43</v>
      </c>
      <c r="J379">
        <v>0.16420000000000001</v>
      </c>
      <c r="K379">
        <v>0</v>
      </c>
      <c r="L379">
        <v>1</v>
      </c>
      <c r="M379">
        <v>1</v>
      </c>
    </row>
    <row r="380" spans="1:13" x14ac:dyDescent="0.3">
      <c r="A380">
        <v>379</v>
      </c>
      <c r="B380" s="1">
        <v>40560</v>
      </c>
      <c r="C380">
        <v>6</v>
      </c>
      <c r="D380" t="b">
        <v>1</v>
      </c>
      <c r="E380" t="s">
        <v>24</v>
      </c>
      <c r="F380" t="s">
        <v>31</v>
      </c>
      <c r="G380">
        <v>0.18</v>
      </c>
      <c r="H380">
        <v>0.18179999999999999</v>
      </c>
      <c r="I380">
        <v>0.43</v>
      </c>
      <c r="J380">
        <v>0.19400000000000001</v>
      </c>
      <c r="K380">
        <v>0</v>
      </c>
      <c r="L380">
        <v>5</v>
      </c>
      <c r="M380">
        <v>5</v>
      </c>
    </row>
    <row r="381" spans="1:13" x14ac:dyDescent="0.3">
      <c r="A381">
        <v>380</v>
      </c>
      <c r="B381" s="1">
        <v>40560</v>
      </c>
      <c r="C381">
        <v>7</v>
      </c>
      <c r="D381" t="b">
        <v>1</v>
      </c>
      <c r="E381" t="s">
        <v>24</v>
      </c>
      <c r="F381" t="s">
        <v>31</v>
      </c>
      <c r="G381">
        <v>0.16</v>
      </c>
      <c r="H381">
        <v>0.18179999999999999</v>
      </c>
      <c r="I381">
        <v>0.5</v>
      </c>
      <c r="J381">
        <v>0.1343</v>
      </c>
      <c r="K381">
        <v>4</v>
      </c>
      <c r="L381">
        <v>9</v>
      </c>
      <c r="M381">
        <v>13</v>
      </c>
    </row>
    <row r="382" spans="1:13" x14ac:dyDescent="0.3">
      <c r="A382">
        <v>381</v>
      </c>
      <c r="B382" s="1">
        <v>40560</v>
      </c>
      <c r="C382">
        <v>8</v>
      </c>
      <c r="D382" t="b">
        <v>1</v>
      </c>
      <c r="E382" t="s">
        <v>24</v>
      </c>
      <c r="F382" t="s">
        <v>31</v>
      </c>
      <c r="G382">
        <v>0.16</v>
      </c>
      <c r="H382">
        <v>0.1515</v>
      </c>
      <c r="I382">
        <v>0.47</v>
      </c>
      <c r="J382">
        <v>0.22389999999999999</v>
      </c>
      <c r="K382">
        <v>3</v>
      </c>
      <c r="L382">
        <v>30</v>
      </c>
      <c r="M382">
        <v>33</v>
      </c>
    </row>
    <row r="383" spans="1:13" x14ac:dyDescent="0.3">
      <c r="A383">
        <v>382</v>
      </c>
      <c r="B383" s="1">
        <v>40560</v>
      </c>
      <c r="C383">
        <v>9</v>
      </c>
      <c r="D383" t="b">
        <v>1</v>
      </c>
      <c r="E383" t="s">
        <v>24</v>
      </c>
      <c r="F383" t="s">
        <v>31</v>
      </c>
      <c r="G383">
        <v>0.16</v>
      </c>
      <c r="H383">
        <v>0.1515</v>
      </c>
      <c r="I383">
        <v>0.47</v>
      </c>
      <c r="J383">
        <v>0.22389999999999999</v>
      </c>
      <c r="K383">
        <v>8</v>
      </c>
      <c r="L383">
        <v>39</v>
      </c>
      <c r="M383">
        <v>47</v>
      </c>
    </row>
    <row r="384" spans="1:13" x14ac:dyDescent="0.3">
      <c r="A384">
        <v>383</v>
      </c>
      <c r="B384" s="1">
        <v>40560</v>
      </c>
      <c r="C384">
        <v>10</v>
      </c>
      <c r="D384" t="b">
        <v>1</v>
      </c>
      <c r="E384" t="s">
        <v>24</v>
      </c>
      <c r="F384" t="s">
        <v>31</v>
      </c>
      <c r="G384">
        <v>0.16</v>
      </c>
      <c r="H384">
        <v>0.1515</v>
      </c>
      <c r="I384">
        <v>0.5</v>
      </c>
      <c r="J384">
        <v>0.25369999999999998</v>
      </c>
      <c r="K384">
        <v>7</v>
      </c>
      <c r="L384">
        <v>50</v>
      </c>
      <c r="M384">
        <v>57</v>
      </c>
    </row>
    <row r="385" spans="1:13" x14ac:dyDescent="0.3">
      <c r="A385">
        <v>384</v>
      </c>
      <c r="B385" s="1">
        <v>40560</v>
      </c>
      <c r="C385">
        <v>11</v>
      </c>
      <c r="D385" t="b">
        <v>1</v>
      </c>
      <c r="E385" t="s">
        <v>24</v>
      </c>
      <c r="F385" t="s">
        <v>31</v>
      </c>
      <c r="G385">
        <v>0.16</v>
      </c>
      <c r="H385">
        <v>0.1515</v>
      </c>
      <c r="I385">
        <v>0.55000000000000004</v>
      </c>
      <c r="J385">
        <v>0.19400000000000001</v>
      </c>
      <c r="K385">
        <v>9</v>
      </c>
      <c r="L385">
        <v>55</v>
      </c>
      <c r="M385">
        <v>64</v>
      </c>
    </row>
    <row r="386" spans="1:13" x14ac:dyDescent="0.3">
      <c r="A386">
        <v>385</v>
      </c>
      <c r="B386" s="1">
        <v>40560</v>
      </c>
      <c r="C386">
        <v>12</v>
      </c>
      <c r="D386" t="b">
        <v>1</v>
      </c>
      <c r="E386" t="s">
        <v>24</v>
      </c>
      <c r="F386" t="s">
        <v>31</v>
      </c>
      <c r="G386">
        <v>0.18</v>
      </c>
      <c r="H386">
        <v>0.19700000000000001</v>
      </c>
      <c r="I386">
        <v>0.47</v>
      </c>
      <c r="J386">
        <v>0.1343</v>
      </c>
      <c r="K386">
        <v>10</v>
      </c>
      <c r="L386">
        <v>70</v>
      </c>
      <c r="M386">
        <v>80</v>
      </c>
    </row>
    <row r="387" spans="1:13" x14ac:dyDescent="0.3">
      <c r="A387">
        <v>386</v>
      </c>
      <c r="B387" s="1">
        <v>40560</v>
      </c>
      <c r="C387">
        <v>13</v>
      </c>
      <c r="D387" t="b">
        <v>1</v>
      </c>
      <c r="E387" t="s">
        <v>24</v>
      </c>
      <c r="F387" t="s">
        <v>31</v>
      </c>
      <c r="G387">
        <v>0.18</v>
      </c>
      <c r="H387">
        <v>0.19700000000000001</v>
      </c>
      <c r="I387">
        <v>0.47</v>
      </c>
      <c r="J387">
        <v>0.1343</v>
      </c>
      <c r="K387">
        <v>13</v>
      </c>
      <c r="L387">
        <v>80</v>
      </c>
      <c r="M387">
        <v>93</v>
      </c>
    </row>
    <row r="388" spans="1:13" x14ac:dyDescent="0.3">
      <c r="A388">
        <v>387</v>
      </c>
      <c r="B388" s="1">
        <v>40560</v>
      </c>
      <c r="C388">
        <v>14</v>
      </c>
      <c r="D388" t="b">
        <v>1</v>
      </c>
      <c r="E388" t="s">
        <v>24</v>
      </c>
      <c r="F388" t="s">
        <v>31</v>
      </c>
      <c r="G388">
        <v>0.18</v>
      </c>
      <c r="H388">
        <v>0.21210000000000001</v>
      </c>
      <c r="I388">
        <v>0.43</v>
      </c>
      <c r="J388">
        <v>0.1045</v>
      </c>
      <c r="K388">
        <v>12</v>
      </c>
      <c r="L388">
        <v>74</v>
      </c>
      <c r="M388">
        <v>86</v>
      </c>
    </row>
    <row r="389" spans="1:13" x14ac:dyDescent="0.3">
      <c r="A389">
        <v>388</v>
      </c>
      <c r="B389" s="1">
        <v>40560</v>
      </c>
      <c r="C389">
        <v>15</v>
      </c>
      <c r="D389" t="b">
        <v>1</v>
      </c>
      <c r="E389" t="s">
        <v>24</v>
      </c>
      <c r="F389" t="s">
        <v>31</v>
      </c>
      <c r="G389">
        <v>0.2</v>
      </c>
      <c r="H389">
        <v>0.21210000000000001</v>
      </c>
      <c r="I389">
        <v>0.47</v>
      </c>
      <c r="J389">
        <v>0.16420000000000001</v>
      </c>
      <c r="K389">
        <v>21</v>
      </c>
      <c r="L389">
        <v>72</v>
      </c>
      <c r="M389">
        <v>93</v>
      </c>
    </row>
    <row r="390" spans="1:13" x14ac:dyDescent="0.3">
      <c r="A390">
        <v>389</v>
      </c>
      <c r="B390" s="1">
        <v>40560</v>
      </c>
      <c r="C390">
        <v>16</v>
      </c>
      <c r="D390" t="b">
        <v>1</v>
      </c>
      <c r="E390" t="s">
        <v>24</v>
      </c>
      <c r="F390" t="s">
        <v>31</v>
      </c>
      <c r="G390">
        <v>0.2</v>
      </c>
      <c r="H390">
        <v>0.21210000000000001</v>
      </c>
      <c r="I390">
        <v>0.47</v>
      </c>
      <c r="J390">
        <v>0.16420000000000001</v>
      </c>
      <c r="K390">
        <v>6</v>
      </c>
      <c r="L390">
        <v>76</v>
      </c>
      <c r="M390">
        <v>82</v>
      </c>
    </row>
    <row r="391" spans="1:13" x14ac:dyDescent="0.3">
      <c r="A391">
        <v>390</v>
      </c>
      <c r="B391" s="1">
        <v>40560</v>
      </c>
      <c r="C391">
        <v>17</v>
      </c>
      <c r="D391" t="b">
        <v>1</v>
      </c>
      <c r="E391" t="s">
        <v>24</v>
      </c>
      <c r="F391" t="s">
        <v>30</v>
      </c>
      <c r="G391">
        <v>0.2</v>
      </c>
      <c r="H391">
        <v>0.19700000000000001</v>
      </c>
      <c r="I391">
        <v>0.51</v>
      </c>
      <c r="J391">
        <v>0.19400000000000001</v>
      </c>
      <c r="K391">
        <v>4</v>
      </c>
      <c r="L391">
        <v>67</v>
      </c>
      <c r="M391">
        <v>71</v>
      </c>
    </row>
    <row r="392" spans="1:13" x14ac:dyDescent="0.3">
      <c r="A392">
        <v>391</v>
      </c>
      <c r="B392" s="1">
        <v>40560</v>
      </c>
      <c r="C392">
        <v>18</v>
      </c>
      <c r="D392" t="b">
        <v>1</v>
      </c>
      <c r="E392" t="s">
        <v>24</v>
      </c>
      <c r="F392" t="s">
        <v>31</v>
      </c>
      <c r="G392">
        <v>0.18</v>
      </c>
      <c r="H392">
        <v>0.16669999999999999</v>
      </c>
      <c r="I392">
        <v>0.55000000000000004</v>
      </c>
      <c r="J392">
        <v>0.25369999999999998</v>
      </c>
      <c r="K392">
        <v>7</v>
      </c>
      <c r="L392">
        <v>85</v>
      </c>
      <c r="M392">
        <v>92</v>
      </c>
    </row>
    <row r="393" spans="1:13" x14ac:dyDescent="0.3">
      <c r="A393">
        <v>392</v>
      </c>
      <c r="B393" s="1">
        <v>40560</v>
      </c>
      <c r="C393">
        <v>19</v>
      </c>
      <c r="D393" t="b">
        <v>1</v>
      </c>
      <c r="E393" t="s">
        <v>24</v>
      </c>
      <c r="F393" t="s">
        <v>32</v>
      </c>
      <c r="G393">
        <v>0.18</v>
      </c>
      <c r="H393">
        <v>0.18179999999999999</v>
      </c>
      <c r="I393">
        <v>0.59</v>
      </c>
      <c r="J393">
        <v>0.19400000000000001</v>
      </c>
      <c r="K393">
        <v>2</v>
      </c>
      <c r="L393">
        <v>58</v>
      </c>
      <c r="M393">
        <v>60</v>
      </c>
    </row>
    <row r="394" spans="1:13" x14ac:dyDescent="0.3">
      <c r="A394">
        <v>393</v>
      </c>
      <c r="B394" s="1">
        <v>40560</v>
      </c>
      <c r="C394">
        <v>20</v>
      </c>
      <c r="D394" t="b">
        <v>1</v>
      </c>
      <c r="E394" t="s">
        <v>24</v>
      </c>
      <c r="F394" t="s">
        <v>32</v>
      </c>
      <c r="G394">
        <v>0.16</v>
      </c>
      <c r="H394">
        <v>0.1515</v>
      </c>
      <c r="I394">
        <v>0.8</v>
      </c>
      <c r="J394">
        <v>0.19400000000000001</v>
      </c>
      <c r="K394">
        <v>4</v>
      </c>
      <c r="L394">
        <v>29</v>
      </c>
      <c r="M394">
        <v>33</v>
      </c>
    </row>
    <row r="395" spans="1:13" x14ac:dyDescent="0.3">
      <c r="A395">
        <v>394</v>
      </c>
      <c r="B395" s="1">
        <v>40560</v>
      </c>
      <c r="C395">
        <v>21</v>
      </c>
      <c r="D395" t="b">
        <v>1</v>
      </c>
      <c r="E395" t="s">
        <v>24</v>
      </c>
      <c r="F395" t="s">
        <v>32</v>
      </c>
      <c r="G395">
        <v>0.16</v>
      </c>
      <c r="H395">
        <v>0.1515</v>
      </c>
      <c r="I395">
        <v>0.8</v>
      </c>
      <c r="J395">
        <v>0.19400000000000001</v>
      </c>
      <c r="K395">
        <v>3</v>
      </c>
      <c r="L395">
        <v>24</v>
      </c>
      <c r="M395">
        <v>27</v>
      </c>
    </row>
    <row r="396" spans="1:13" x14ac:dyDescent="0.3">
      <c r="A396">
        <v>395</v>
      </c>
      <c r="B396" s="1">
        <v>40560</v>
      </c>
      <c r="C396">
        <v>22</v>
      </c>
      <c r="D396" t="b">
        <v>1</v>
      </c>
      <c r="E396" t="s">
        <v>24</v>
      </c>
      <c r="F396" t="s">
        <v>32</v>
      </c>
      <c r="G396">
        <v>0.14000000000000001</v>
      </c>
      <c r="H396">
        <v>0.1212</v>
      </c>
      <c r="I396">
        <v>0.93</v>
      </c>
      <c r="J396">
        <v>0.25369999999999998</v>
      </c>
      <c r="K396">
        <v>0</v>
      </c>
      <c r="L396">
        <v>13</v>
      </c>
      <c r="M396">
        <v>13</v>
      </c>
    </row>
    <row r="397" spans="1:13" x14ac:dyDescent="0.3">
      <c r="A397">
        <v>396</v>
      </c>
      <c r="B397" s="1">
        <v>40560</v>
      </c>
      <c r="C397">
        <v>23</v>
      </c>
      <c r="D397" t="b">
        <v>1</v>
      </c>
      <c r="E397" t="s">
        <v>24</v>
      </c>
      <c r="F397" t="s">
        <v>32</v>
      </c>
      <c r="G397">
        <v>0.16</v>
      </c>
      <c r="H397">
        <v>0.13639999999999999</v>
      </c>
      <c r="I397">
        <v>0.86</v>
      </c>
      <c r="J397">
        <v>0.28360000000000002</v>
      </c>
      <c r="K397">
        <v>1</v>
      </c>
      <c r="L397">
        <v>3</v>
      </c>
      <c r="M397">
        <v>4</v>
      </c>
    </row>
    <row r="398" spans="1:13" x14ac:dyDescent="0.3">
      <c r="A398">
        <v>397</v>
      </c>
      <c r="B398" s="1">
        <v>40561</v>
      </c>
      <c r="C398">
        <v>12</v>
      </c>
      <c r="D398" t="b">
        <v>0</v>
      </c>
      <c r="E398" t="s">
        <v>25</v>
      </c>
      <c r="F398" t="s">
        <v>31</v>
      </c>
      <c r="G398">
        <v>0.2</v>
      </c>
      <c r="H398">
        <v>0.18179999999999999</v>
      </c>
      <c r="I398">
        <v>0.86</v>
      </c>
      <c r="J398">
        <v>0.32840000000000003</v>
      </c>
      <c r="K398">
        <v>0</v>
      </c>
      <c r="L398">
        <v>3</v>
      </c>
      <c r="M398">
        <v>3</v>
      </c>
    </row>
    <row r="399" spans="1:13" x14ac:dyDescent="0.3">
      <c r="A399">
        <v>398</v>
      </c>
      <c r="B399" s="1">
        <v>40561</v>
      </c>
      <c r="C399">
        <v>13</v>
      </c>
      <c r="D399" t="b">
        <v>0</v>
      </c>
      <c r="E399" t="s">
        <v>25</v>
      </c>
      <c r="F399" t="s">
        <v>31</v>
      </c>
      <c r="G399">
        <v>0.2</v>
      </c>
      <c r="H399">
        <v>0.19700000000000001</v>
      </c>
      <c r="I399">
        <v>0.86</v>
      </c>
      <c r="J399">
        <v>0.22389999999999999</v>
      </c>
      <c r="K399">
        <v>0</v>
      </c>
      <c r="L399">
        <v>22</v>
      </c>
      <c r="M399">
        <v>22</v>
      </c>
    </row>
    <row r="400" spans="1:13" x14ac:dyDescent="0.3">
      <c r="A400">
        <v>399</v>
      </c>
      <c r="B400" s="1">
        <v>40561</v>
      </c>
      <c r="C400">
        <v>14</v>
      </c>
      <c r="D400" t="b">
        <v>0</v>
      </c>
      <c r="E400" t="s">
        <v>25</v>
      </c>
      <c r="F400" t="s">
        <v>31</v>
      </c>
      <c r="G400">
        <v>0.22</v>
      </c>
      <c r="H400">
        <v>0.2273</v>
      </c>
      <c r="I400">
        <v>0.8</v>
      </c>
      <c r="J400">
        <v>0.16420000000000001</v>
      </c>
      <c r="K400">
        <v>2</v>
      </c>
      <c r="L400">
        <v>26</v>
      </c>
      <c r="M400">
        <v>28</v>
      </c>
    </row>
    <row r="401" spans="1:13" x14ac:dyDescent="0.3">
      <c r="A401">
        <v>400</v>
      </c>
      <c r="B401" s="1">
        <v>40561</v>
      </c>
      <c r="C401">
        <v>15</v>
      </c>
      <c r="D401" t="b">
        <v>0</v>
      </c>
      <c r="E401" t="s">
        <v>25</v>
      </c>
      <c r="F401" t="s">
        <v>31</v>
      </c>
      <c r="G401">
        <v>0.22</v>
      </c>
      <c r="H401">
        <v>0.2273</v>
      </c>
      <c r="I401">
        <v>0.87</v>
      </c>
      <c r="J401">
        <v>0.16420000000000001</v>
      </c>
      <c r="K401">
        <v>3</v>
      </c>
      <c r="L401">
        <v>32</v>
      </c>
      <c r="M401">
        <v>35</v>
      </c>
    </row>
    <row r="402" spans="1:13" x14ac:dyDescent="0.3">
      <c r="A402">
        <v>401</v>
      </c>
      <c r="B402" s="1">
        <v>40561</v>
      </c>
      <c r="C402">
        <v>16</v>
      </c>
      <c r="D402" t="b">
        <v>0</v>
      </c>
      <c r="E402" t="s">
        <v>25</v>
      </c>
      <c r="F402" t="s">
        <v>31</v>
      </c>
      <c r="G402">
        <v>0.22</v>
      </c>
      <c r="H402">
        <v>0.2273</v>
      </c>
      <c r="I402">
        <v>0.87</v>
      </c>
      <c r="J402">
        <v>0.19400000000000001</v>
      </c>
      <c r="K402">
        <v>0</v>
      </c>
      <c r="L402">
        <v>61</v>
      </c>
      <c r="M402">
        <v>61</v>
      </c>
    </row>
    <row r="403" spans="1:13" x14ac:dyDescent="0.3">
      <c r="A403">
        <v>402</v>
      </c>
      <c r="B403" s="1">
        <v>40561</v>
      </c>
      <c r="C403">
        <v>17</v>
      </c>
      <c r="D403" t="b">
        <v>0</v>
      </c>
      <c r="E403" t="s">
        <v>25</v>
      </c>
      <c r="F403" t="s">
        <v>31</v>
      </c>
      <c r="G403">
        <v>0.22</v>
      </c>
      <c r="H403">
        <v>0.2273</v>
      </c>
      <c r="I403">
        <v>0.82</v>
      </c>
      <c r="J403">
        <v>0.19400000000000001</v>
      </c>
      <c r="K403">
        <v>1</v>
      </c>
      <c r="L403">
        <v>124</v>
      </c>
      <c r="M403">
        <v>125</v>
      </c>
    </row>
    <row r="404" spans="1:13" x14ac:dyDescent="0.3">
      <c r="A404">
        <v>403</v>
      </c>
      <c r="B404" s="1">
        <v>40561</v>
      </c>
      <c r="C404">
        <v>18</v>
      </c>
      <c r="D404" t="b">
        <v>0</v>
      </c>
      <c r="E404" t="s">
        <v>25</v>
      </c>
      <c r="F404" t="s">
        <v>31</v>
      </c>
      <c r="G404">
        <v>0.22</v>
      </c>
      <c r="H404">
        <v>0.2273</v>
      </c>
      <c r="I404">
        <v>0.8</v>
      </c>
      <c r="J404">
        <v>0.16420000000000001</v>
      </c>
      <c r="K404">
        <v>1</v>
      </c>
      <c r="L404">
        <v>132</v>
      </c>
      <c r="M404">
        <v>133</v>
      </c>
    </row>
    <row r="405" spans="1:13" x14ac:dyDescent="0.3">
      <c r="A405">
        <v>404</v>
      </c>
      <c r="B405" s="1">
        <v>40561</v>
      </c>
      <c r="C405">
        <v>19</v>
      </c>
      <c r="D405" t="b">
        <v>0</v>
      </c>
      <c r="E405" t="s">
        <v>25</v>
      </c>
      <c r="F405" t="s">
        <v>31</v>
      </c>
      <c r="G405">
        <v>0.22</v>
      </c>
      <c r="H405">
        <v>0.2273</v>
      </c>
      <c r="I405">
        <v>0.8</v>
      </c>
      <c r="J405">
        <v>0.1343</v>
      </c>
      <c r="K405">
        <v>1</v>
      </c>
      <c r="L405">
        <v>98</v>
      </c>
      <c r="M405">
        <v>99</v>
      </c>
    </row>
    <row r="406" spans="1:13" x14ac:dyDescent="0.3">
      <c r="A406">
        <v>405</v>
      </c>
      <c r="B406" s="1">
        <v>40561</v>
      </c>
      <c r="C406">
        <v>20</v>
      </c>
      <c r="D406" t="b">
        <v>0</v>
      </c>
      <c r="E406" t="s">
        <v>25</v>
      </c>
      <c r="F406" t="s">
        <v>31</v>
      </c>
      <c r="G406">
        <v>0.22</v>
      </c>
      <c r="H406">
        <v>0.2727</v>
      </c>
      <c r="I406">
        <v>0.87</v>
      </c>
      <c r="J406">
        <v>0</v>
      </c>
      <c r="K406">
        <v>0</v>
      </c>
      <c r="L406">
        <v>83</v>
      </c>
      <c r="M406">
        <v>83</v>
      </c>
    </row>
    <row r="407" spans="1:13" x14ac:dyDescent="0.3">
      <c r="A407">
        <v>406</v>
      </c>
      <c r="B407" s="1">
        <v>40561</v>
      </c>
      <c r="C407">
        <v>21</v>
      </c>
      <c r="D407" t="b">
        <v>0</v>
      </c>
      <c r="E407" t="s">
        <v>25</v>
      </c>
      <c r="F407" t="s">
        <v>31</v>
      </c>
      <c r="G407">
        <v>0.22</v>
      </c>
      <c r="H407">
        <v>0.2424</v>
      </c>
      <c r="I407">
        <v>0.93</v>
      </c>
      <c r="J407">
        <v>0.1045</v>
      </c>
      <c r="K407">
        <v>0</v>
      </c>
      <c r="L407">
        <v>41</v>
      </c>
      <c r="M407">
        <v>41</v>
      </c>
    </row>
    <row r="408" spans="1:13" x14ac:dyDescent="0.3">
      <c r="A408">
        <v>407</v>
      </c>
      <c r="B408" s="1">
        <v>40561</v>
      </c>
      <c r="C408">
        <v>22</v>
      </c>
      <c r="D408" t="b">
        <v>0</v>
      </c>
      <c r="E408" t="s">
        <v>25</v>
      </c>
      <c r="F408" t="s">
        <v>31</v>
      </c>
      <c r="G408">
        <v>0.22</v>
      </c>
      <c r="H408">
        <v>0.2576</v>
      </c>
      <c r="I408">
        <v>0.93</v>
      </c>
      <c r="J408">
        <v>8.9599999999999999E-2</v>
      </c>
      <c r="K408">
        <v>0</v>
      </c>
      <c r="L408">
        <v>33</v>
      </c>
      <c r="M408">
        <v>33</v>
      </c>
    </row>
    <row r="409" spans="1:13" x14ac:dyDescent="0.3">
      <c r="A409">
        <v>408</v>
      </c>
      <c r="B409" s="1">
        <v>40561</v>
      </c>
      <c r="C409">
        <v>23</v>
      </c>
      <c r="D409" t="b">
        <v>0</v>
      </c>
      <c r="E409" t="s">
        <v>25</v>
      </c>
      <c r="F409" t="s">
        <v>31</v>
      </c>
      <c r="G409">
        <v>0.22</v>
      </c>
      <c r="H409">
        <v>0.2727</v>
      </c>
      <c r="I409">
        <v>0.93</v>
      </c>
      <c r="J409">
        <v>0</v>
      </c>
      <c r="K409">
        <v>1</v>
      </c>
      <c r="L409">
        <v>19</v>
      </c>
      <c r="M409">
        <v>20</v>
      </c>
    </row>
    <row r="410" spans="1:13" x14ac:dyDescent="0.3">
      <c r="A410">
        <v>409</v>
      </c>
      <c r="B410" s="1">
        <v>40562</v>
      </c>
      <c r="C410">
        <v>0</v>
      </c>
      <c r="D410" t="b">
        <v>0</v>
      </c>
      <c r="E410" t="s">
        <v>26</v>
      </c>
      <c r="F410" t="s">
        <v>31</v>
      </c>
      <c r="G410">
        <v>0.22</v>
      </c>
      <c r="H410">
        <v>0.2727</v>
      </c>
      <c r="I410">
        <v>0.93</v>
      </c>
      <c r="J410">
        <v>0</v>
      </c>
      <c r="K410">
        <v>0</v>
      </c>
      <c r="L410">
        <v>3</v>
      </c>
      <c r="M410">
        <v>3</v>
      </c>
    </row>
    <row r="411" spans="1:13" x14ac:dyDescent="0.3">
      <c r="A411">
        <v>410</v>
      </c>
      <c r="B411" s="1">
        <v>40562</v>
      </c>
      <c r="C411">
        <v>1</v>
      </c>
      <c r="D411" t="b">
        <v>0</v>
      </c>
      <c r="E411" t="s">
        <v>26</v>
      </c>
      <c r="F411" t="s">
        <v>32</v>
      </c>
      <c r="G411">
        <v>0.22</v>
      </c>
      <c r="H411">
        <v>0.2273</v>
      </c>
      <c r="I411">
        <v>0.93</v>
      </c>
      <c r="J411">
        <v>0.1343</v>
      </c>
      <c r="K411">
        <v>1</v>
      </c>
      <c r="L411">
        <v>6</v>
      </c>
      <c r="M411">
        <v>7</v>
      </c>
    </row>
    <row r="412" spans="1:13" x14ac:dyDescent="0.3">
      <c r="A412">
        <v>411</v>
      </c>
      <c r="B412" s="1">
        <v>40562</v>
      </c>
      <c r="C412">
        <v>2</v>
      </c>
      <c r="D412" t="b">
        <v>0</v>
      </c>
      <c r="E412" t="s">
        <v>26</v>
      </c>
      <c r="F412" t="s">
        <v>32</v>
      </c>
      <c r="G412">
        <v>0.22</v>
      </c>
      <c r="H412">
        <v>0.2273</v>
      </c>
      <c r="I412">
        <v>0.93</v>
      </c>
      <c r="J412">
        <v>0.1343</v>
      </c>
      <c r="K412">
        <v>0</v>
      </c>
      <c r="L412">
        <v>3</v>
      </c>
      <c r="M412">
        <v>3</v>
      </c>
    </row>
    <row r="413" spans="1:13" x14ac:dyDescent="0.3">
      <c r="A413">
        <v>412</v>
      </c>
      <c r="B413" s="1">
        <v>40562</v>
      </c>
      <c r="C413">
        <v>4</v>
      </c>
      <c r="D413" t="b">
        <v>0</v>
      </c>
      <c r="E413" t="s">
        <v>26</v>
      </c>
      <c r="F413" t="s">
        <v>32</v>
      </c>
      <c r="G413">
        <v>0.22</v>
      </c>
      <c r="H413">
        <v>0.2273</v>
      </c>
      <c r="I413">
        <v>0.93</v>
      </c>
      <c r="J413">
        <v>0.1343</v>
      </c>
      <c r="K413">
        <v>1</v>
      </c>
      <c r="L413">
        <v>1</v>
      </c>
      <c r="M413">
        <v>2</v>
      </c>
    </row>
    <row r="414" spans="1:13" x14ac:dyDescent="0.3">
      <c r="A414">
        <v>413</v>
      </c>
      <c r="B414" s="1">
        <v>40562</v>
      </c>
      <c r="C414">
        <v>5</v>
      </c>
      <c r="D414" t="b">
        <v>0</v>
      </c>
      <c r="E414" t="s">
        <v>26</v>
      </c>
      <c r="F414" t="s">
        <v>31</v>
      </c>
      <c r="G414">
        <v>0.22</v>
      </c>
      <c r="H414">
        <v>0.2576</v>
      </c>
      <c r="I414">
        <v>0.93</v>
      </c>
      <c r="J414">
        <v>8.9599999999999999E-2</v>
      </c>
      <c r="K414">
        <v>0</v>
      </c>
      <c r="L414">
        <v>7</v>
      </c>
      <c r="M414">
        <v>7</v>
      </c>
    </row>
    <row r="415" spans="1:13" x14ac:dyDescent="0.3">
      <c r="A415">
        <v>414</v>
      </c>
      <c r="B415" s="1">
        <v>40562</v>
      </c>
      <c r="C415">
        <v>6</v>
      </c>
      <c r="D415" t="b">
        <v>0</v>
      </c>
      <c r="E415" t="s">
        <v>26</v>
      </c>
      <c r="F415" t="s">
        <v>31</v>
      </c>
      <c r="G415">
        <v>0.22</v>
      </c>
      <c r="H415">
        <v>0.2576</v>
      </c>
      <c r="I415">
        <v>0.93</v>
      </c>
      <c r="J415">
        <v>8.9599999999999999E-2</v>
      </c>
      <c r="K415">
        <v>0</v>
      </c>
      <c r="L415">
        <v>32</v>
      </c>
      <c r="M415">
        <v>32</v>
      </c>
    </row>
    <row r="416" spans="1:13" x14ac:dyDescent="0.3">
      <c r="A416">
        <v>415</v>
      </c>
      <c r="B416" s="1">
        <v>40562</v>
      </c>
      <c r="C416">
        <v>7</v>
      </c>
      <c r="D416" t="b">
        <v>0</v>
      </c>
      <c r="E416" t="s">
        <v>26</v>
      </c>
      <c r="F416" t="s">
        <v>31</v>
      </c>
      <c r="G416">
        <v>0.24</v>
      </c>
      <c r="H416">
        <v>0.2576</v>
      </c>
      <c r="I416">
        <v>0.92</v>
      </c>
      <c r="J416">
        <v>0.1045</v>
      </c>
      <c r="K416">
        <v>1</v>
      </c>
      <c r="L416">
        <v>89</v>
      </c>
      <c r="M416">
        <v>90</v>
      </c>
    </row>
    <row r="417" spans="1:13" x14ac:dyDescent="0.3">
      <c r="A417">
        <v>416</v>
      </c>
      <c r="B417" s="1">
        <v>40562</v>
      </c>
      <c r="C417">
        <v>8</v>
      </c>
      <c r="D417" t="b">
        <v>0</v>
      </c>
      <c r="E417" t="s">
        <v>26</v>
      </c>
      <c r="F417" t="s">
        <v>31</v>
      </c>
      <c r="G417">
        <v>0.24</v>
      </c>
      <c r="H417">
        <v>0.2576</v>
      </c>
      <c r="I417">
        <v>0.93</v>
      </c>
      <c r="J417">
        <v>0.1045</v>
      </c>
      <c r="K417">
        <v>1</v>
      </c>
      <c r="L417">
        <v>196</v>
      </c>
      <c r="M417">
        <v>197</v>
      </c>
    </row>
    <row r="418" spans="1:13" x14ac:dyDescent="0.3">
      <c r="A418">
        <v>417</v>
      </c>
      <c r="B418" s="1">
        <v>40562</v>
      </c>
      <c r="C418">
        <v>9</v>
      </c>
      <c r="D418" t="b">
        <v>0</v>
      </c>
      <c r="E418" t="s">
        <v>26</v>
      </c>
      <c r="F418" t="s">
        <v>31</v>
      </c>
      <c r="G418">
        <v>0.24</v>
      </c>
      <c r="H418">
        <v>0.2576</v>
      </c>
      <c r="I418">
        <v>0.93</v>
      </c>
      <c r="J418">
        <v>0.1045</v>
      </c>
      <c r="K418">
        <v>2</v>
      </c>
      <c r="L418">
        <v>107</v>
      </c>
      <c r="M418">
        <v>109</v>
      </c>
    </row>
    <row r="419" spans="1:13" x14ac:dyDescent="0.3">
      <c r="A419">
        <v>418</v>
      </c>
      <c r="B419" s="1">
        <v>40562</v>
      </c>
      <c r="C419">
        <v>10</v>
      </c>
      <c r="D419" t="b">
        <v>0</v>
      </c>
      <c r="E419" t="s">
        <v>26</v>
      </c>
      <c r="F419" t="s">
        <v>31</v>
      </c>
      <c r="G419">
        <v>0.26</v>
      </c>
      <c r="H419">
        <v>0.2727</v>
      </c>
      <c r="I419">
        <v>0.93</v>
      </c>
      <c r="J419">
        <v>0.1343</v>
      </c>
      <c r="K419">
        <v>1</v>
      </c>
      <c r="L419">
        <v>46</v>
      </c>
      <c r="M419">
        <v>47</v>
      </c>
    </row>
    <row r="420" spans="1:13" x14ac:dyDescent="0.3">
      <c r="A420">
        <v>419</v>
      </c>
      <c r="B420" s="1">
        <v>40562</v>
      </c>
      <c r="C420">
        <v>11</v>
      </c>
      <c r="D420" t="b">
        <v>0</v>
      </c>
      <c r="E420" t="s">
        <v>26</v>
      </c>
      <c r="F420" t="s">
        <v>31</v>
      </c>
      <c r="G420">
        <v>0.28000000000000003</v>
      </c>
      <c r="H420">
        <v>0.30299999999999999</v>
      </c>
      <c r="I420">
        <v>0.87</v>
      </c>
      <c r="J420">
        <v>8.9599999999999999E-2</v>
      </c>
      <c r="K420">
        <v>5</v>
      </c>
      <c r="L420">
        <v>47</v>
      </c>
      <c r="M420">
        <v>52</v>
      </c>
    </row>
    <row r="421" spans="1:13" x14ac:dyDescent="0.3">
      <c r="A421">
        <v>420</v>
      </c>
      <c r="B421" s="1">
        <v>40562</v>
      </c>
      <c r="C421">
        <v>12</v>
      </c>
      <c r="D421" t="b">
        <v>0</v>
      </c>
      <c r="E421" t="s">
        <v>26</v>
      </c>
      <c r="F421" t="s">
        <v>31</v>
      </c>
      <c r="G421">
        <v>0.3</v>
      </c>
      <c r="H421">
        <v>0.31819999999999998</v>
      </c>
      <c r="I421">
        <v>0.81</v>
      </c>
      <c r="J421">
        <v>8.9599999999999999E-2</v>
      </c>
      <c r="K421">
        <v>5</v>
      </c>
      <c r="L421">
        <v>65</v>
      </c>
      <c r="M421">
        <v>70</v>
      </c>
    </row>
    <row r="422" spans="1:13" x14ac:dyDescent="0.3">
      <c r="A422">
        <v>421</v>
      </c>
      <c r="B422" s="1">
        <v>40562</v>
      </c>
      <c r="C422">
        <v>13</v>
      </c>
      <c r="D422" t="b">
        <v>0</v>
      </c>
      <c r="E422" t="s">
        <v>26</v>
      </c>
      <c r="F422" t="s">
        <v>30</v>
      </c>
      <c r="G422">
        <v>0.4</v>
      </c>
      <c r="H422">
        <v>0.40910000000000002</v>
      </c>
      <c r="I422">
        <v>0.62</v>
      </c>
      <c r="J422">
        <v>0.28360000000000002</v>
      </c>
      <c r="K422">
        <v>11</v>
      </c>
      <c r="L422">
        <v>67</v>
      </c>
      <c r="M422">
        <v>78</v>
      </c>
    </row>
    <row r="423" spans="1:13" x14ac:dyDescent="0.3">
      <c r="A423">
        <v>422</v>
      </c>
      <c r="B423" s="1">
        <v>40562</v>
      </c>
      <c r="C423">
        <v>14</v>
      </c>
      <c r="D423" t="b">
        <v>0</v>
      </c>
      <c r="E423" t="s">
        <v>26</v>
      </c>
      <c r="F423" t="s">
        <v>30</v>
      </c>
      <c r="G423">
        <v>0.4</v>
      </c>
      <c r="H423">
        <v>0.40910000000000002</v>
      </c>
      <c r="I423">
        <v>0.57999999999999996</v>
      </c>
      <c r="J423">
        <v>0.25369999999999998</v>
      </c>
      <c r="K423">
        <v>7</v>
      </c>
      <c r="L423">
        <v>68</v>
      </c>
      <c r="M423">
        <v>75</v>
      </c>
    </row>
    <row r="424" spans="1:13" x14ac:dyDescent="0.3">
      <c r="A424">
        <v>423</v>
      </c>
      <c r="B424" s="1">
        <v>40562</v>
      </c>
      <c r="C424">
        <v>15</v>
      </c>
      <c r="D424" t="b">
        <v>0</v>
      </c>
      <c r="E424" t="s">
        <v>26</v>
      </c>
      <c r="F424" t="s">
        <v>30</v>
      </c>
      <c r="G424">
        <v>0.4</v>
      </c>
      <c r="H424">
        <v>0.40910000000000002</v>
      </c>
      <c r="I424">
        <v>0.54</v>
      </c>
      <c r="J424">
        <v>0.28360000000000002</v>
      </c>
      <c r="K424">
        <v>4</v>
      </c>
      <c r="L424">
        <v>78</v>
      </c>
      <c r="M424">
        <v>82</v>
      </c>
    </row>
    <row r="425" spans="1:13" x14ac:dyDescent="0.3">
      <c r="A425">
        <v>424</v>
      </c>
      <c r="B425" s="1">
        <v>40562</v>
      </c>
      <c r="C425">
        <v>16</v>
      </c>
      <c r="D425" t="b">
        <v>0</v>
      </c>
      <c r="E425" t="s">
        <v>26</v>
      </c>
      <c r="F425" t="s">
        <v>30</v>
      </c>
      <c r="G425">
        <v>0.38</v>
      </c>
      <c r="H425">
        <v>0.39389999999999997</v>
      </c>
      <c r="I425">
        <v>0.57999999999999996</v>
      </c>
      <c r="J425">
        <v>0.3881</v>
      </c>
      <c r="K425">
        <v>10</v>
      </c>
      <c r="L425">
        <v>94</v>
      </c>
      <c r="M425">
        <v>104</v>
      </c>
    </row>
    <row r="426" spans="1:13" x14ac:dyDescent="0.3">
      <c r="A426">
        <v>425</v>
      </c>
      <c r="B426" s="1">
        <v>40562</v>
      </c>
      <c r="C426">
        <v>17</v>
      </c>
      <c r="D426" t="b">
        <v>0</v>
      </c>
      <c r="E426" t="s">
        <v>26</v>
      </c>
      <c r="F426" t="s">
        <v>30</v>
      </c>
      <c r="G426">
        <v>0.36</v>
      </c>
      <c r="H426">
        <v>0.33329999999999999</v>
      </c>
      <c r="I426">
        <v>0.56999999999999995</v>
      </c>
      <c r="J426">
        <v>0.32840000000000003</v>
      </c>
      <c r="K426">
        <v>7</v>
      </c>
      <c r="L426">
        <v>190</v>
      </c>
      <c r="M426">
        <v>197</v>
      </c>
    </row>
    <row r="427" spans="1:13" x14ac:dyDescent="0.3">
      <c r="A427">
        <v>426</v>
      </c>
      <c r="B427" s="1">
        <v>40562</v>
      </c>
      <c r="C427">
        <v>18</v>
      </c>
      <c r="D427" t="b">
        <v>0</v>
      </c>
      <c r="E427" t="s">
        <v>26</v>
      </c>
      <c r="F427" t="s">
        <v>30</v>
      </c>
      <c r="G427">
        <v>0.34</v>
      </c>
      <c r="H427">
        <v>0.31819999999999998</v>
      </c>
      <c r="I427">
        <v>0.61</v>
      </c>
      <c r="J427">
        <v>0.28360000000000002</v>
      </c>
      <c r="K427">
        <v>5</v>
      </c>
      <c r="L427">
        <v>156</v>
      </c>
      <c r="M427">
        <v>161</v>
      </c>
    </row>
    <row r="428" spans="1:13" x14ac:dyDescent="0.3">
      <c r="A428">
        <v>427</v>
      </c>
      <c r="B428" s="1">
        <v>40562</v>
      </c>
      <c r="C428">
        <v>19</v>
      </c>
      <c r="D428" t="b">
        <v>0</v>
      </c>
      <c r="E428" t="s">
        <v>26</v>
      </c>
      <c r="F428" t="s">
        <v>30</v>
      </c>
      <c r="G428">
        <v>0.32</v>
      </c>
      <c r="H428">
        <v>0.28789999999999999</v>
      </c>
      <c r="I428">
        <v>0.56999999999999995</v>
      </c>
      <c r="J428">
        <v>0.41789999999999999</v>
      </c>
      <c r="K428">
        <v>4</v>
      </c>
      <c r="L428">
        <v>108</v>
      </c>
      <c r="M428">
        <v>112</v>
      </c>
    </row>
    <row r="429" spans="1:13" x14ac:dyDescent="0.3">
      <c r="A429">
        <v>428</v>
      </c>
      <c r="B429" s="1">
        <v>40562</v>
      </c>
      <c r="C429">
        <v>20</v>
      </c>
      <c r="D429" t="b">
        <v>0</v>
      </c>
      <c r="E429" t="s">
        <v>26</v>
      </c>
      <c r="F429" t="s">
        <v>30</v>
      </c>
      <c r="G429">
        <v>0.32</v>
      </c>
      <c r="H429">
        <v>0.30299999999999999</v>
      </c>
      <c r="I429">
        <v>0.49</v>
      </c>
      <c r="J429">
        <v>0.29849999999999999</v>
      </c>
      <c r="K429">
        <v>2</v>
      </c>
      <c r="L429">
        <v>74</v>
      </c>
      <c r="M429">
        <v>76</v>
      </c>
    </row>
    <row r="430" spans="1:13" x14ac:dyDescent="0.3">
      <c r="A430">
        <v>429</v>
      </c>
      <c r="B430" s="1">
        <v>40562</v>
      </c>
      <c r="C430">
        <v>21</v>
      </c>
      <c r="D430" t="b">
        <v>0</v>
      </c>
      <c r="E430" t="s">
        <v>26</v>
      </c>
      <c r="F430" t="s">
        <v>30</v>
      </c>
      <c r="G430">
        <v>0.32</v>
      </c>
      <c r="H430">
        <v>0.28789999999999999</v>
      </c>
      <c r="I430">
        <v>0.49</v>
      </c>
      <c r="J430">
        <v>0.41789999999999999</v>
      </c>
      <c r="K430">
        <v>4</v>
      </c>
      <c r="L430">
        <v>55</v>
      </c>
      <c r="M430">
        <v>59</v>
      </c>
    </row>
    <row r="431" spans="1:13" x14ac:dyDescent="0.3">
      <c r="A431">
        <v>430</v>
      </c>
      <c r="B431" s="1">
        <v>40562</v>
      </c>
      <c r="C431">
        <v>22</v>
      </c>
      <c r="D431" t="b">
        <v>0</v>
      </c>
      <c r="E431" t="s">
        <v>26</v>
      </c>
      <c r="F431" t="s">
        <v>30</v>
      </c>
      <c r="G431">
        <v>0.3</v>
      </c>
      <c r="H431">
        <v>0.30299999999999999</v>
      </c>
      <c r="I431">
        <v>0.52</v>
      </c>
      <c r="J431">
        <v>0.16420000000000001</v>
      </c>
      <c r="K431">
        <v>6</v>
      </c>
      <c r="L431">
        <v>53</v>
      </c>
      <c r="M431">
        <v>59</v>
      </c>
    </row>
    <row r="432" spans="1:13" x14ac:dyDescent="0.3">
      <c r="A432">
        <v>431</v>
      </c>
      <c r="B432" s="1">
        <v>40562</v>
      </c>
      <c r="C432">
        <v>23</v>
      </c>
      <c r="D432" t="b">
        <v>0</v>
      </c>
      <c r="E432" t="s">
        <v>26</v>
      </c>
      <c r="F432" t="s">
        <v>30</v>
      </c>
      <c r="G432">
        <v>0.3</v>
      </c>
      <c r="H432">
        <v>0.2727</v>
      </c>
      <c r="I432">
        <v>0.52</v>
      </c>
      <c r="J432">
        <v>0.4627</v>
      </c>
      <c r="K432">
        <v>1</v>
      </c>
      <c r="L432">
        <v>27</v>
      </c>
      <c r="M432">
        <v>28</v>
      </c>
    </row>
    <row r="433" spans="1:13" x14ac:dyDescent="0.3">
      <c r="A433">
        <v>432</v>
      </c>
      <c r="B433" s="1">
        <v>40563</v>
      </c>
      <c r="C433">
        <v>0</v>
      </c>
      <c r="D433" t="b">
        <v>0</v>
      </c>
      <c r="E433" t="s">
        <v>27</v>
      </c>
      <c r="F433" t="s">
        <v>30</v>
      </c>
      <c r="G433">
        <v>0.26</v>
      </c>
      <c r="H433">
        <v>0.2273</v>
      </c>
      <c r="I433">
        <v>0.56000000000000005</v>
      </c>
      <c r="J433">
        <v>0.3881</v>
      </c>
      <c r="K433">
        <v>5</v>
      </c>
      <c r="L433">
        <v>8</v>
      </c>
      <c r="M433">
        <v>13</v>
      </c>
    </row>
    <row r="434" spans="1:13" x14ac:dyDescent="0.3">
      <c r="A434">
        <v>433</v>
      </c>
      <c r="B434" s="1">
        <v>40563</v>
      </c>
      <c r="C434">
        <v>1</v>
      </c>
      <c r="D434" t="b">
        <v>0</v>
      </c>
      <c r="E434" t="s">
        <v>27</v>
      </c>
      <c r="F434" t="s">
        <v>30</v>
      </c>
      <c r="G434">
        <v>0.26</v>
      </c>
      <c r="H434">
        <v>0.2727</v>
      </c>
      <c r="I434">
        <v>0.56000000000000005</v>
      </c>
      <c r="J434">
        <v>0</v>
      </c>
      <c r="K434">
        <v>2</v>
      </c>
      <c r="L434">
        <v>3</v>
      </c>
      <c r="M434">
        <v>5</v>
      </c>
    </row>
    <row r="435" spans="1:13" x14ac:dyDescent="0.3">
      <c r="A435">
        <v>434</v>
      </c>
      <c r="B435" s="1">
        <v>40563</v>
      </c>
      <c r="C435">
        <v>2</v>
      </c>
      <c r="D435" t="b">
        <v>0</v>
      </c>
      <c r="E435" t="s">
        <v>27</v>
      </c>
      <c r="F435" t="s">
        <v>30</v>
      </c>
      <c r="G435">
        <v>0.26</v>
      </c>
      <c r="H435">
        <v>0.2727</v>
      </c>
      <c r="I435">
        <v>0.56000000000000005</v>
      </c>
      <c r="J435">
        <v>0</v>
      </c>
      <c r="K435">
        <v>0</v>
      </c>
      <c r="L435">
        <v>2</v>
      </c>
      <c r="M435">
        <v>2</v>
      </c>
    </row>
    <row r="436" spans="1:13" x14ac:dyDescent="0.3">
      <c r="A436">
        <v>435</v>
      </c>
      <c r="B436" s="1">
        <v>40563</v>
      </c>
      <c r="C436">
        <v>3</v>
      </c>
      <c r="D436" t="b">
        <v>0</v>
      </c>
      <c r="E436" t="s">
        <v>27</v>
      </c>
      <c r="F436" t="s">
        <v>30</v>
      </c>
      <c r="G436">
        <v>0.26</v>
      </c>
      <c r="H436">
        <v>0.2576</v>
      </c>
      <c r="I436">
        <v>0.56000000000000005</v>
      </c>
      <c r="J436">
        <v>0.16420000000000001</v>
      </c>
      <c r="K436">
        <v>0</v>
      </c>
      <c r="L436">
        <v>1</v>
      </c>
      <c r="M436">
        <v>1</v>
      </c>
    </row>
    <row r="437" spans="1:13" x14ac:dyDescent="0.3">
      <c r="A437">
        <v>436</v>
      </c>
      <c r="B437" s="1">
        <v>40563</v>
      </c>
      <c r="C437">
        <v>4</v>
      </c>
      <c r="D437" t="b">
        <v>0</v>
      </c>
      <c r="E437" t="s">
        <v>27</v>
      </c>
      <c r="F437" t="s">
        <v>30</v>
      </c>
      <c r="G437">
        <v>0.26</v>
      </c>
      <c r="H437">
        <v>0.2576</v>
      </c>
      <c r="I437">
        <v>0.56000000000000005</v>
      </c>
      <c r="J437">
        <v>0.16420000000000001</v>
      </c>
      <c r="K437">
        <v>0</v>
      </c>
      <c r="L437">
        <v>1</v>
      </c>
      <c r="M437">
        <v>1</v>
      </c>
    </row>
    <row r="438" spans="1:13" x14ac:dyDescent="0.3">
      <c r="A438">
        <v>437</v>
      </c>
      <c r="B438" s="1">
        <v>40563</v>
      </c>
      <c r="C438">
        <v>5</v>
      </c>
      <c r="D438" t="b">
        <v>0</v>
      </c>
      <c r="E438" t="s">
        <v>27</v>
      </c>
      <c r="F438" t="s">
        <v>30</v>
      </c>
      <c r="G438">
        <v>0.24</v>
      </c>
      <c r="H438">
        <v>0.2273</v>
      </c>
      <c r="I438">
        <v>0.6</v>
      </c>
      <c r="J438">
        <v>0.22389999999999999</v>
      </c>
      <c r="K438">
        <v>0</v>
      </c>
      <c r="L438">
        <v>6</v>
      </c>
      <c r="M438">
        <v>6</v>
      </c>
    </row>
    <row r="439" spans="1:13" x14ac:dyDescent="0.3">
      <c r="A439">
        <v>438</v>
      </c>
      <c r="B439" s="1">
        <v>40563</v>
      </c>
      <c r="C439">
        <v>6</v>
      </c>
      <c r="D439" t="b">
        <v>0</v>
      </c>
      <c r="E439" t="s">
        <v>27</v>
      </c>
      <c r="F439" t="s">
        <v>30</v>
      </c>
      <c r="G439">
        <v>0.22</v>
      </c>
      <c r="H439">
        <v>0.21210000000000001</v>
      </c>
      <c r="I439">
        <v>0.6</v>
      </c>
      <c r="J439">
        <v>0.22389999999999999</v>
      </c>
      <c r="K439">
        <v>0</v>
      </c>
      <c r="L439">
        <v>35</v>
      </c>
      <c r="M439">
        <v>35</v>
      </c>
    </row>
    <row r="440" spans="1:13" x14ac:dyDescent="0.3">
      <c r="A440">
        <v>439</v>
      </c>
      <c r="B440" s="1">
        <v>40563</v>
      </c>
      <c r="C440">
        <v>7</v>
      </c>
      <c r="D440" t="b">
        <v>0</v>
      </c>
      <c r="E440" t="s">
        <v>27</v>
      </c>
      <c r="F440" t="s">
        <v>30</v>
      </c>
      <c r="G440">
        <v>0.22</v>
      </c>
      <c r="H440">
        <v>0.21210000000000001</v>
      </c>
      <c r="I440">
        <v>0.55000000000000004</v>
      </c>
      <c r="J440">
        <v>0.22389999999999999</v>
      </c>
      <c r="K440">
        <v>1</v>
      </c>
      <c r="L440">
        <v>100</v>
      </c>
      <c r="M440">
        <v>101</v>
      </c>
    </row>
    <row r="441" spans="1:13" x14ac:dyDescent="0.3">
      <c r="A441">
        <v>440</v>
      </c>
      <c r="B441" s="1">
        <v>40563</v>
      </c>
      <c r="C441">
        <v>8</v>
      </c>
      <c r="D441" t="b">
        <v>0</v>
      </c>
      <c r="E441" t="s">
        <v>27</v>
      </c>
      <c r="F441" t="s">
        <v>30</v>
      </c>
      <c r="G441">
        <v>0.22</v>
      </c>
      <c r="H441">
        <v>0.21210000000000001</v>
      </c>
      <c r="I441">
        <v>0.55000000000000004</v>
      </c>
      <c r="J441">
        <v>0.28360000000000002</v>
      </c>
      <c r="K441">
        <v>2</v>
      </c>
      <c r="L441">
        <v>247</v>
      </c>
      <c r="M441">
        <v>249</v>
      </c>
    </row>
    <row r="442" spans="1:13" x14ac:dyDescent="0.3">
      <c r="A442">
        <v>441</v>
      </c>
      <c r="B442" s="1">
        <v>40563</v>
      </c>
      <c r="C442">
        <v>9</v>
      </c>
      <c r="D442" t="b">
        <v>0</v>
      </c>
      <c r="E442" t="s">
        <v>27</v>
      </c>
      <c r="F442" t="s">
        <v>31</v>
      </c>
      <c r="G442">
        <v>0.24</v>
      </c>
      <c r="H442">
        <v>0.2273</v>
      </c>
      <c r="I442">
        <v>0.52</v>
      </c>
      <c r="J442">
        <v>0.22389999999999999</v>
      </c>
      <c r="K442">
        <v>3</v>
      </c>
      <c r="L442">
        <v>140</v>
      </c>
      <c r="M442">
        <v>143</v>
      </c>
    </row>
    <row r="443" spans="1:13" x14ac:dyDescent="0.3">
      <c r="A443">
        <v>442</v>
      </c>
      <c r="B443" s="1">
        <v>40563</v>
      </c>
      <c r="C443">
        <v>10</v>
      </c>
      <c r="D443" t="b">
        <v>0</v>
      </c>
      <c r="E443" t="s">
        <v>27</v>
      </c>
      <c r="F443" t="s">
        <v>30</v>
      </c>
      <c r="G443">
        <v>0.26</v>
      </c>
      <c r="H443">
        <v>0.2273</v>
      </c>
      <c r="I443">
        <v>0.48</v>
      </c>
      <c r="J443">
        <v>0.29849999999999999</v>
      </c>
      <c r="K443">
        <v>1</v>
      </c>
      <c r="L443">
        <v>56</v>
      </c>
      <c r="M443">
        <v>57</v>
      </c>
    </row>
    <row r="444" spans="1:13" x14ac:dyDescent="0.3">
      <c r="A444">
        <v>443</v>
      </c>
      <c r="B444" s="1">
        <v>40563</v>
      </c>
      <c r="C444">
        <v>11</v>
      </c>
      <c r="D444" t="b">
        <v>0</v>
      </c>
      <c r="E444" t="s">
        <v>27</v>
      </c>
      <c r="F444" t="s">
        <v>31</v>
      </c>
      <c r="G444">
        <v>0.28000000000000003</v>
      </c>
      <c r="H444">
        <v>0.2727</v>
      </c>
      <c r="I444">
        <v>0.45</v>
      </c>
      <c r="J444">
        <v>0.16420000000000001</v>
      </c>
      <c r="K444">
        <v>5</v>
      </c>
      <c r="L444">
        <v>63</v>
      </c>
      <c r="M444">
        <v>68</v>
      </c>
    </row>
    <row r="445" spans="1:13" x14ac:dyDescent="0.3">
      <c r="A445">
        <v>444</v>
      </c>
      <c r="B445" s="1">
        <v>40563</v>
      </c>
      <c r="C445">
        <v>12</v>
      </c>
      <c r="D445" t="b">
        <v>0</v>
      </c>
      <c r="E445" t="s">
        <v>27</v>
      </c>
      <c r="F445" t="s">
        <v>31</v>
      </c>
      <c r="G445">
        <v>0.3</v>
      </c>
      <c r="H445">
        <v>0.33329999999999999</v>
      </c>
      <c r="I445">
        <v>0.42</v>
      </c>
      <c r="J445">
        <v>0</v>
      </c>
      <c r="K445">
        <v>7</v>
      </c>
      <c r="L445">
        <v>77</v>
      </c>
      <c r="M445">
        <v>84</v>
      </c>
    </row>
    <row r="446" spans="1:13" x14ac:dyDescent="0.3">
      <c r="A446">
        <v>445</v>
      </c>
      <c r="B446" s="1">
        <v>40563</v>
      </c>
      <c r="C446">
        <v>13</v>
      </c>
      <c r="D446" t="b">
        <v>0</v>
      </c>
      <c r="E446" t="s">
        <v>27</v>
      </c>
      <c r="F446" t="s">
        <v>31</v>
      </c>
      <c r="G446">
        <v>0.28000000000000003</v>
      </c>
      <c r="H446">
        <v>0.28789999999999999</v>
      </c>
      <c r="I446">
        <v>0.45</v>
      </c>
      <c r="J446">
        <v>0.1045</v>
      </c>
      <c r="K446">
        <v>12</v>
      </c>
      <c r="L446">
        <v>86</v>
      </c>
      <c r="M446">
        <v>98</v>
      </c>
    </row>
    <row r="447" spans="1:13" x14ac:dyDescent="0.3">
      <c r="A447">
        <v>446</v>
      </c>
      <c r="B447" s="1">
        <v>40563</v>
      </c>
      <c r="C447">
        <v>14</v>
      </c>
      <c r="D447" t="b">
        <v>0</v>
      </c>
      <c r="E447" t="s">
        <v>27</v>
      </c>
      <c r="F447" t="s">
        <v>31</v>
      </c>
      <c r="G447">
        <v>0.3</v>
      </c>
      <c r="H447">
        <v>0.30299999999999999</v>
      </c>
      <c r="I447">
        <v>0.45</v>
      </c>
      <c r="J447">
        <v>0.1343</v>
      </c>
      <c r="K447">
        <v>6</v>
      </c>
      <c r="L447">
        <v>75</v>
      </c>
      <c r="M447">
        <v>81</v>
      </c>
    </row>
    <row r="448" spans="1:13" x14ac:dyDescent="0.3">
      <c r="A448">
        <v>447</v>
      </c>
      <c r="B448" s="1">
        <v>40563</v>
      </c>
      <c r="C448">
        <v>15</v>
      </c>
      <c r="D448" t="b">
        <v>0</v>
      </c>
      <c r="E448" t="s">
        <v>27</v>
      </c>
      <c r="F448" t="s">
        <v>31</v>
      </c>
      <c r="G448">
        <v>0.32</v>
      </c>
      <c r="H448">
        <v>0.31819999999999998</v>
      </c>
      <c r="I448">
        <v>0.45</v>
      </c>
      <c r="J448">
        <v>0.19400000000000001</v>
      </c>
      <c r="K448">
        <v>8</v>
      </c>
      <c r="L448">
        <v>62</v>
      </c>
      <c r="M448">
        <v>70</v>
      </c>
    </row>
    <row r="449" spans="1:13" x14ac:dyDescent="0.3">
      <c r="A449">
        <v>448</v>
      </c>
      <c r="B449" s="1">
        <v>40563</v>
      </c>
      <c r="C449">
        <v>16</v>
      </c>
      <c r="D449" t="b">
        <v>0</v>
      </c>
      <c r="E449" t="s">
        <v>27</v>
      </c>
      <c r="F449" t="s">
        <v>31</v>
      </c>
      <c r="G449">
        <v>0.3</v>
      </c>
      <c r="H449">
        <v>0.30299999999999999</v>
      </c>
      <c r="I449">
        <v>0.49</v>
      </c>
      <c r="J449">
        <v>0.1343</v>
      </c>
      <c r="K449">
        <v>8</v>
      </c>
      <c r="L449">
        <v>83</v>
      </c>
      <c r="M449">
        <v>91</v>
      </c>
    </row>
    <row r="450" spans="1:13" x14ac:dyDescent="0.3">
      <c r="A450">
        <v>449</v>
      </c>
      <c r="B450" s="1">
        <v>40563</v>
      </c>
      <c r="C450">
        <v>17</v>
      </c>
      <c r="D450" t="b">
        <v>0</v>
      </c>
      <c r="E450" t="s">
        <v>27</v>
      </c>
      <c r="F450" t="s">
        <v>31</v>
      </c>
      <c r="G450">
        <v>0.3</v>
      </c>
      <c r="H450">
        <v>0.31819999999999998</v>
      </c>
      <c r="I450">
        <v>0.49</v>
      </c>
      <c r="J450">
        <v>0.1045</v>
      </c>
      <c r="K450">
        <v>8</v>
      </c>
      <c r="L450">
        <v>207</v>
      </c>
      <c r="M450">
        <v>215</v>
      </c>
    </row>
    <row r="451" spans="1:13" x14ac:dyDescent="0.3">
      <c r="A451">
        <v>450</v>
      </c>
      <c r="B451" s="1">
        <v>40563</v>
      </c>
      <c r="C451">
        <v>18</v>
      </c>
      <c r="D451" t="b">
        <v>0</v>
      </c>
      <c r="E451" t="s">
        <v>27</v>
      </c>
      <c r="F451" t="s">
        <v>31</v>
      </c>
      <c r="G451">
        <v>0.26</v>
      </c>
      <c r="H451">
        <v>0.2576</v>
      </c>
      <c r="I451">
        <v>0.56000000000000005</v>
      </c>
      <c r="J451">
        <v>0.19400000000000001</v>
      </c>
      <c r="K451">
        <v>1</v>
      </c>
      <c r="L451">
        <v>184</v>
      </c>
      <c r="M451">
        <v>185</v>
      </c>
    </row>
    <row r="452" spans="1:13" x14ac:dyDescent="0.3">
      <c r="A452">
        <v>451</v>
      </c>
      <c r="B452" s="1">
        <v>40563</v>
      </c>
      <c r="C452">
        <v>19</v>
      </c>
      <c r="D452" t="b">
        <v>0</v>
      </c>
      <c r="E452" t="s">
        <v>27</v>
      </c>
      <c r="F452" t="s">
        <v>30</v>
      </c>
      <c r="G452">
        <v>0.26</v>
      </c>
      <c r="H452">
        <v>0.2273</v>
      </c>
      <c r="I452">
        <v>0.56000000000000005</v>
      </c>
      <c r="J452">
        <v>0.32840000000000003</v>
      </c>
      <c r="K452">
        <v>6</v>
      </c>
      <c r="L452">
        <v>146</v>
      </c>
      <c r="M452">
        <v>152</v>
      </c>
    </row>
    <row r="453" spans="1:13" x14ac:dyDescent="0.3">
      <c r="A453">
        <v>452</v>
      </c>
      <c r="B453" s="1">
        <v>40563</v>
      </c>
      <c r="C453">
        <v>20</v>
      </c>
      <c r="D453" t="b">
        <v>0</v>
      </c>
      <c r="E453" t="s">
        <v>27</v>
      </c>
      <c r="F453" t="s">
        <v>31</v>
      </c>
      <c r="G453">
        <v>0.26</v>
      </c>
      <c r="H453">
        <v>0.2424</v>
      </c>
      <c r="I453">
        <v>0.6</v>
      </c>
      <c r="J453">
        <v>0.28360000000000002</v>
      </c>
      <c r="K453">
        <v>2</v>
      </c>
      <c r="L453">
        <v>124</v>
      </c>
      <c r="M453">
        <v>126</v>
      </c>
    </row>
    <row r="454" spans="1:13" x14ac:dyDescent="0.3">
      <c r="A454">
        <v>453</v>
      </c>
      <c r="B454" s="1">
        <v>40563</v>
      </c>
      <c r="C454">
        <v>21</v>
      </c>
      <c r="D454" t="b">
        <v>0</v>
      </c>
      <c r="E454" t="s">
        <v>27</v>
      </c>
      <c r="F454" t="s">
        <v>31</v>
      </c>
      <c r="G454">
        <v>0.24</v>
      </c>
      <c r="H454">
        <v>0.2273</v>
      </c>
      <c r="I454">
        <v>0.6</v>
      </c>
      <c r="J454">
        <v>0.25369999999999998</v>
      </c>
      <c r="K454">
        <v>3</v>
      </c>
      <c r="L454">
        <v>54</v>
      </c>
      <c r="M454">
        <v>57</v>
      </c>
    </row>
    <row r="455" spans="1:13" x14ac:dyDescent="0.3">
      <c r="A455">
        <v>454</v>
      </c>
      <c r="B455" s="1">
        <v>40563</v>
      </c>
      <c r="C455">
        <v>22</v>
      </c>
      <c r="D455" t="b">
        <v>0</v>
      </c>
      <c r="E455" t="s">
        <v>27</v>
      </c>
      <c r="F455" t="s">
        <v>31</v>
      </c>
      <c r="G455">
        <v>0.24</v>
      </c>
      <c r="H455">
        <v>0.21210000000000001</v>
      </c>
      <c r="I455">
        <v>0.65</v>
      </c>
      <c r="J455">
        <v>0.28360000000000002</v>
      </c>
      <c r="K455">
        <v>0</v>
      </c>
      <c r="L455">
        <v>56</v>
      </c>
      <c r="M455">
        <v>56</v>
      </c>
    </row>
    <row r="456" spans="1:13" x14ac:dyDescent="0.3">
      <c r="A456">
        <v>455</v>
      </c>
      <c r="B456" s="1">
        <v>40563</v>
      </c>
      <c r="C456">
        <v>23</v>
      </c>
      <c r="D456" t="b">
        <v>0</v>
      </c>
      <c r="E456" t="s">
        <v>27</v>
      </c>
      <c r="F456" t="s">
        <v>31</v>
      </c>
      <c r="G456">
        <v>0.24</v>
      </c>
      <c r="H456">
        <v>0.21210000000000001</v>
      </c>
      <c r="I456">
        <v>0.65</v>
      </c>
      <c r="J456">
        <v>0.32840000000000003</v>
      </c>
      <c r="K456">
        <v>3</v>
      </c>
      <c r="L456">
        <v>28</v>
      </c>
      <c r="M456">
        <v>31</v>
      </c>
    </row>
    <row r="457" spans="1:13" x14ac:dyDescent="0.3">
      <c r="A457">
        <v>456</v>
      </c>
      <c r="B457" s="1">
        <v>40564</v>
      </c>
      <c r="C457">
        <v>0</v>
      </c>
      <c r="D457" t="b">
        <v>0</v>
      </c>
      <c r="E457" t="s">
        <v>28</v>
      </c>
      <c r="F457" t="s">
        <v>31</v>
      </c>
      <c r="G457">
        <v>0.24</v>
      </c>
      <c r="H457">
        <v>0.2273</v>
      </c>
      <c r="I457">
        <v>0.7</v>
      </c>
      <c r="J457">
        <v>0.25369999999999998</v>
      </c>
      <c r="K457">
        <v>1</v>
      </c>
      <c r="L457">
        <v>20</v>
      </c>
      <c r="M457">
        <v>21</v>
      </c>
    </row>
    <row r="458" spans="1:13" x14ac:dyDescent="0.3">
      <c r="A458">
        <v>457</v>
      </c>
      <c r="B458" s="1">
        <v>40564</v>
      </c>
      <c r="C458">
        <v>1</v>
      </c>
      <c r="D458" t="b">
        <v>0</v>
      </c>
      <c r="E458" t="s">
        <v>28</v>
      </c>
      <c r="F458" t="s">
        <v>31</v>
      </c>
      <c r="G458">
        <v>0.24</v>
      </c>
      <c r="H458">
        <v>0.2273</v>
      </c>
      <c r="I458">
        <v>0.7</v>
      </c>
      <c r="J458">
        <v>0.25369999999999998</v>
      </c>
      <c r="K458">
        <v>0</v>
      </c>
      <c r="L458">
        <v>6</v>
      </c>
      <c r="M458">
        <v>6</v>
      </c>
    </row>
    <row r="459" spans="1:13" x14ac:dyDescent="0.3">
      <c r="A459">
        <v>458</v>
      </c>
      <c r="B459" s="1">
        <v>40564</v>
      </c>
      <c r="C459">
        <v>2</v>
      </c>
      <c r="D459" t="b">
        <v>0</v>
      </c>
      <c r="E459" t="s">
        <v>28</v>
      </c>
      <c r="F459" t="s">
        <v>32</v>
      </c>
      <c r="G459">
        <v>0.24</v>
      </c>
      <c r="H459">
        <v>0.2424</v>
      </c>
      <c r="I459">
        <v>0.75</v>
      </c>
      <c r="J459">
        <v>0.16420000000000001</v>
      </c>
      <c r="K459">
        <v>0</v>
      </c>
      <c r="L459">
        <v>2</v>
      </c>
      <c r="M459">
        <v>2</v>
      </c>
    </row>
    <row r="460" spans="1:13" x14ac:dyDescent="0.3">
      <c r="A460">
        <v>459</v>
      </c>
      <c r="B460" s="1">
        <v>40564</v>
      </c>
      <c r="C460">
        <v>3</v>
      </c>
      <c r="D460" t="b">
        <v>0</v>
      </c>
      <c r="E460" t="s">
        <v>28</v>
      </c>
      <c r="F460" t="s">
        <v>32</v>
      </c>
      <c r="G460">
        <v>0.22</v>
      </c>
      <c r="H460">
        <v>0.21210000000000001</v>
      </c>
      <c r="I460">
        <v>0.8</v>
      </c>
      <c r="J460">
        <v>0.29849999999999999</v>
      </c>
      <c r="K460">
        <v>0</v>
      </c>
      <c r="L460">
        <v>1</v>
      </c>
      <c r="M460">
        <v>1</v>
      </c>
    </row>
    <row r="461" spans="1:13" x14ac:dyDescent="0.3">
      <c r="A461">
        <v>460</v>
      </c>
      <c r="B461" s="1">
        <v>40564</v>
      </c>
      <c r="C461">
        <v>4</v>
      </c>
      <c r="D461" t="b">
        <v>0</v>
      </c>
      <c r="E461" t="s">
        <v>28</v>
      </c>
      <c r="F461" t="s">
        <v>31</v>
      </c>
      <c r="G461">
        <v>0.22</v>
      </c>
      <c r="H461">
        <v>0.2576</v>
      </c>
      <c r="I461">
        <v>0.87</v>
      </c>
      <c r="J461">
        <v>8.9599999999999999E-2</v>
      </c>
      <c r="K461">
        <v>0</v>
      </c>
      <c r="L461">
        <v>1</v>
      </c>
      <c r="M461">
        <v>1</v>
      </c>
    </row>
    <row r="462" spans="1:13" x14ac:dyDescent="0.3">
      <c r="A462">
        <v>461</v>
      </c>
      <c r="B462" s="1">
        <v>40564</v>
      </c>
      <c r="C462">
        <v>5</v>
      </c>
      <c r="D462" t="b">
        <v>0</v>
      </c>
      <c r="E462" t="s">
        <v>28</v>
      </c>
      <c r="F462" t="s">
        <v>30</v>
      </c>
      <c r="G462">
        <v>0.24</v>
      </c>
      <c r="H462">
        <v>0.19700000000000001</v>
      </c>
      <c r="I462">
        <v>0.6</v>
      </c>
      <c r="J462">
        <v>0.41789999999999999</v>
      </c>
      <c r="K462">
        <v>1</v>
      </c>
      <c r="L462">
        <v>4</v>
      </c>
      <c r="M462">
        <v>5</v>
      </c>
    </row>
    <row r="463" spans="1:13" x14ac:dyDescent="0.3">
      <c r="A463">
        <v>462</v>
      </c>
      <c r="B463" s="1">
        <v>40564</v>
      </c>
      <c r="C463">
        <v>6</v>
      </c>
      <c r="D463" t="b">
        <v>0</v>
      </c>
      <c r="E463" t="s">
        <v>28</v>
      </c>
      <c r="F463" t="s">
        <v>30</v>
      </c>
      <c r="G463">
        <v>0.22</v>
      </c>
      <c r="H463">
        <v>0.21210000000000001</v>
      </c>
      <c r="I463">
        <v>0.55000000000000004</v>
      </c>
      <c r="J463">
        <v>0.25369999999999998</v>
      </c>
      <c r="K463">
        <v>0</v>
      </c>
      <c r="L463">
        <v>27</v>
      </c>
      <c r="M463">
        <v>27</v>
      </c>
    </row>
    <row r="464" spans="1:13" x14ac:dyDescent="0.3">
      <c r="A464">
        <v>463</v>
      </c>
      <c r="B464" s="1">
        <v>40564</v>
      </c>
      <c r="C464">
        <v>7</v>
      </c>
      <c r="D464" t="b">
        <v>0</v>
      </c>
      <c r="E464" t="s">
        <v>28</v>
      </c>
      <c r="F464" t="s">
        <v>30</v>
      </c>
      <c r="G464">
        <v>0.2</v>
      </c>
      <c r="H464">
        <v>0.18179999999999999</v>
      </c>
      <c r="I464">
        <v>0.51</v>
      </c>
      <c r="J464">
        <v>0.28360000000000002</v>
      </c>
      <c r="K464">
        <v>2</v>
      </c>
      <c r="L464">
        <v>66</v>
      </c>
      <c r="M464">
        <v>68</v>
      </c>
    </row>
    <row r="465" spans="1:13" x14ac:dyDescent="0.3">
      <c r="A465">
        <v>464</v>
      </c>
      <c r="B465" s="1">
        <v>40564</v>
      </c>
      <c r="C465">
        <v>8</v>
      </c>
      <c r="D465" t="b">
        <v>0</v>
      </c>
      <c r="E465" t="s">
        <v>28</v>
      </c>
      <c r="F465" t="s">
        <v>30</v>
      </c>
      <c r="G465">
        <v>0.2</v>
      </c>
      <c r="H465">
        <v>0.18179999999999999</v>
      </c>
      <c r="I465">
        <v>0.47</v>
      </c>
      <c r="J465">
        <v>0.32840000000000003</v>
      </c>
      <c r="K465">
        <v>7</v>
      </c>
      <c r="L465">
        <v>210</v>
      </c>
      <c r="M465">
        <v>217</v>
      </c>
    </row>
    <row r="466" spans="1:13" x14ac:dyDescent="0.3">
      <c r="A466">
        <v>465</v>
      </c>
      <c r="B466" s="1">
        <v>40564</v>
      </c>
      <c r="C466">
        <v>9</v>
      </c>
      <c r="D466" t="b">
        <v>0</v>
      </c>
      <c r="E466" t="s">
        <v>28</v>
      </c>
      <c r="F466" t="s">
        <v>30</v>
      </c>
      <c r="G466">
        <v>0.2</v>
      </c>
      <c r="H466">
        <v>0.18179999999999999</v>
      </c>
      <c r="I466">
        <v>0.51</v>
      </c>
      <c r="J466">
        <v>0.35820000000000002</v>
      </c>
      <c r="K466">
        <v>7</v>
      </c>
      <c r="L466">
        <v>159</v>
      </c>
      <c r="M466">
        <v>166</v>
      </c>
    </row>
    <row r="467" spans="1:13" x14ac:dyDescent="0.3">
      <c r="A467">
        <v>466</v>
      </c>
      <c r="B467" s="1">
        <v>40564</v>
      </c>
      <c r="C467">
        <v>10</v>
      </c>
      <c r="D467" t="b">
        <v>0</v>
      </c>
      <c r="E467" t="s">
        <v>28</v>
      </c>
      <c r="F467" t="s">
        <v>30</v>
      </c>
      <c r="G467">
        <v>0.2</v>
      </c>
      <c r="H467">
        <v>0.16669999999999999</v>
      </c>
      <c r="I467">
        <v>0.47</v>
      </c>
      <c r="J467">
        <v>0.4627</v>
      </c>
      <c r="K467">
        <v>6</v>
      </c>
      <c r="L467">
        <v>57</v>
      </c>
      <c r="M467">
        <v>63</v>
      </c>
    </row>
    <row r="468" spans="1:13" x14ac:dyDescent="0.3">
      <c r="A468">
        <v>467</v>
      </c>
      <c r="B468" s="1">
        <v>40564</v>
      </c>
      <c r="C468">
        <v>11</v>
      </c>
      <c r="D468" t="b">
        <v>0</v>
      </c>
      <c r="E468" t="s">
        <v>28</v>
      </c>
      <c r="F468" t="s">
        <v>30</v>
      </c>
      <c r="G468">
        <v>0.22</v>
      </c>
      <c r="H468">
        <v>0.18179999999999999</v>
      </c>
      <c r="I468">
        <v>0.41</v>
      </c>
      <c r="J468">
        <v>0.4627</v>
      </c>
      <c r="K468">
        <v>6</v>
      </c>
      <c r="L468">
        <v>53</v>
      </c>
      <c r="M468">
        <v>59</v>
      </c>
    </row>
    <row r="469" spans="1:13" x14ac:dyDescent="0.3">
      <c r="A469">
        <v>468</v>
      </c>
      <c r="B469" s="1">
        <v>40564</v>
      </c>
      <c r="C469">
        <v>12</v>
      </c>
      <c r="D469" t="b">
        <v>0</v>
      </c>
      <c r="E469" t="s">
        <v>28</v>
      </c>
      <c r="F469" t="s">
        <v>30</v>
      </c>
      <c r="G469">
        <v>0.22</v>
      </c>
      <c r="H469">
        <v>0.18179999999999999</v>
      </c>
      <c r="I469">
        <v>0.27</v>
      </c>
      <c r="J469">
        <v>0.58209999999999995</v>
      </c>
      <c r="K469">
        <v>11</v>
      </c>
      <c r="L469">
        <v>67</v>
      </c>
      <c r="M469">
        <v>78</v>
      </c>
    </row>
    <row r="470" spans="1:13" x14ac:dyDescent="0.3">
      <c r="A470">
        <v>469</v>
      </c>
      <c r="B470" s="1">
        <v>40564</v>
      </c>
      <c r="C470">
        <v>13</v>
      </c>
      <c r="D470" t="b">
        <v>0</v>
      </c>
      <c r="E470" t="s">
        <v>28</v>
      </c>
      <c r="F470" t="s">
        <v>30</v>
      </c>
      <c r="G470">
        <v>0.2</v>
      </c>
      <c r="H470">
        <v>0.1515</v>
      </c>
      <c r="I470">
        <v>0.21</v>
      </c>
      <c r="J470">
        <v>0.58209999999999995</v>
      </c>
      <c r="K470">
        <v>8</v>
      </c>
      <c r="L470">
        <v>65</v>
      </c>
      <c r="M470">
        <v>73</v>
      </c>
    </row>
    <row r="471" spans="1:13" x14ac:dyDescent="0.3">
      <c r="A471">
        <v>470</v>
      </c>
      <c r="B471" s="1">
        <v>40564</v>
      </c>
      <c r="C471">
        <v>14</v>
      </c>
      <c r="D471" t="b">
        <v>0</v>
      </c>
      <c r="E471" t="s">
        <v>28</v>
      </c>
      <c r="F471" t="s">
        <v>30</v>
      </c>
      <c r="G471">
        <v>0.2</v>
      </c>
      <c r="H471">
        <v>0.1515</v>
      </c>
      <c r="I471">
        <v>0.25</v>
      </c>
      <c r="J471">
        <v>0.52239999999999998</v>
      </c>
      <c r="K471">
        <v>6</v>
      </c>
      <c r="L471">
        <v>56</v>
      </c>
      <c r="M471">
        <v>62</v>
      </c>
    </row>
    <row r="472" spans="1:13" x14ac:dyDescent="0.3">
      <c r="A472">
        <v>471</v>
      </c>
      <c r="B472" s="1">
        <v>40564</v>
      </c>
      <c r="C472">
        <v>15</v>
      </c>
      <c r="D472" t="b">
        <v>0</v>
      </c>
      <c r="E472" t="s">
        <v>28</v>
      </c>
      <c r="F472" t="s">
        <v>30</v>
      </c>
      <c r="G472">
        <v>0.16</v>
      </c>
      <c r="H472">
        <v>0.1212</v>
      </c>
      <c r="I472">
        <v>0.26</v>
      </c>
      <c r="J472">
        <v>0.44779999999999998</v>
      </c>
      <c r="K472">
        <v>4</v>
      </c>
      <c r="L472">
        <v>61</v>
      </c>
      <c r="M472">
        <v>65</v>
      </c>
    </row>
    <row r="473" spans="1:13" x14ac:dyDescent="0.3">
      <c r="A473">
        <v>472</v>
      </c>
      <c r="B473" s="1">
        <v>40564</v>
      </c>
      <c r="C473">
        <v>16</v>
      </c>
      <c r="D473" t="b">
        <v>0</v>
      </c>
      <c r="E473" t="s">
        <v>28</v>
      </c>
      <c r="F473" t="s">
        <v>30</v>
      </c>
      <c r="G473">
        <v>0.16</v>
      </c>
      <c r="H473">
        <v>0.13639999999999999</v>
      </c>
      <c r="I473">
        <v>0.26</v>
      </c>
      <c r="J473">
        <v>0.35820000000000002</v>
      </c>
      <c r="K473">
        <v>0</v>
      </c>
      <c r="L473">
        <v>97</v>
      </c>
      <c r="M473">
        <v>97</v>
      </c>
    </row>
    <row r="474" spans="1:13" x14ac:dyDescent="0.3">
      <c r="A474">
        <v>473</v>
      </c>
      <c r="B474" s="1">
        <v>40564</v>
      </c>
      <c r="C474">
        <v>17</v>
      </c>
      <c r="D474" t="b">
        <v>0</v>
      </c>
      <c r="E474" t="s">
        <v>28</v>
      </c>
      <c r="F474" t="s">
        <v>30</v>
      </c>
      <c r="G474">
        <v>0.14000000000000001</v>
      </c>
      <c r="H474">
        <v>0.1212</v>
      </c>
      <c r="I474">
        <v>0.28000000000000003</v>
      </c>
      <c r="J474">
        <v>0.35820000000000002</v>
      </c>
      <c r="K474">
        <v>10</v>
      </c>
      <c r="L474">
        <v>151</v>
      </c>
      <c r="M474">
        <v>161</v>
      </c>
    </row>
    <row r="475" spans="1:13" x14ac:dyDescent="0.3">
      <c r="A475">
        <v>474</v>
      </c>
      <c r="B475" s="1">
        <v>40564</v>
      </c>
      <c r="C475">
        <v>18</v>
      </c>
      <c r="D475" t="b">
        <v>0</v>
      </c>
      <c r="E475" t="s">
        <v>28</v>
      </c>
      <c r="F475" t="s">
        <v>30</v>
      </c>
      <c r="G475">
        <v>0.12</v>
      </c>
      <c r="H475">
        <v>0.1212</v>
      </c>
      <c r="I475">
        <v>0.3</v>
      </c>
      <c r="J475">
        <v>0.25369999999999998</v>
      </c>
      <c r="K475">
        <v>1</v>
      </c>
      <c r="L475">
        <v>119</v>
      </c>
      <c r="M475">
        <v>120</v>
      </c>
    </row>
    <row r="476" spans="1:13" x14ac:dyDescent="0.3">
      <c r="A476">
        <v>475</v>
      </c>
      <c r="B476" s="1">
        <v>40564</v>
      </c>
      <c r="C476">
        <v>19</v>
      </c>
      <c r="D476" t="b">
        <v>0</v>
      </c>
      <c r="E476" t="s">
        <v>28</v>
      </c>
      <c r="F476" t="s">
        <v>30</v>
      </c>
      <c r="G476">
        <v>0.12</v>
      </c>
      <c r="H476">
        <v>0.1061</v>
      </c>
      <c r="I476">
        <v>0.3</v>
      </c>
      <c r="J476">
        <v>0.32840000000000003</v>
      </c>
      <c r="K476">
        <v>3</v>
      </c>
      <c r="L476">
        <v>93</v>
      </c>
      <c r="M476">
        <v>96</v>
      </c>
    </row>
    <row r="477" spans="1:13" x14ac:dyDescent="0.3">
      <c r="A477">
        <v>476</v>
      </c>
      <c r="B477" s="1">
        <v>40564</v>
      </c>
      <c r="C477">
        <v>20</v>
      </c>
      <c r="D477" t="b">
        <v>0</v>
      </c>
      <c r="E477" t="s">
        <v>28</v>
      </c>
      <c r="F477" t="s">
        <v>30</v>
      </c>
      <c r="G477">
        <v>0.1</v>
      </c>
      <c r="H477">
        <v>7.5800000000000006E-2</v>
      </c>
      <c r="I477">
        <v>0.33</v>
      </c>
      <c r="J477">
        <v>0.41789999999999999</v>
      </c>
      <c r="K477">
        <v>1</v>
      </c>
      <c r="L477">
        <v>52</v>
      </c>
      <c r="M477">
        <v>53</v>
      </c>
    </row>
    <row r="478" spans="1:13" x14ac:dyDescent="0.3">
      <c r="A478">
        <v>477</v>
      </c>
      <c r="B478" s="1">
        <v>40564</v>
      </c>
      <c r="C478">
        <v>21</v>
      </c>
      <c r="D478" t="b">
        <v>0</v>
      </c>
      <c r="E478" t="s">
        <v>28</v>
      </c>
      <c r="F478" t="s">
        <v>30</v>
      </c>
      <c r="G478">
        <v>0.08</v>
      </c>
      <c r="H478">
        <v>7.5800000000000006E-2</v>
      </c>
      <c r="I478">
        <v>0.38</v>
      </c>
      <c r="J478">
        <v>0.28360000000000002</v>
      </c>
      <c r="K478">
        <v>0</v>
      </c>
      <c r="L478">
        <v>41</v>
      </c>
      <c r="M478">
        <v>41</v>
      </c>
    </row>
    <row r="479" spans="1:13" x14ac:dyDescent="0.3">
      <c r="A479">
        <v>478</v>
      </c>
      <c r="B479" s="1">
        <v>40564</v>
      </c>
      <c r="C479">
        <v>22</v>
      </c>
      <c r="D479" t="b">
        <v>0</v>
      </c>
      <c r="E479" t="s">
        <v>28</v>
      </c>
      <c r="F479" t="s">
        <v>30</v>
      </c>
      <c r="G479">
        <v>0.06</v>
      </c>
      <c r="H479">
        <v>3.0300000000000001E-2</v>
      </c>
      <c r="I479">
        <v>0.41</v>
      </c>
      <c r="J479">
        <v>0.3881</v>
      </c>
      <c r="K479">
        <v>1</v>
      </c>
      <c r="L479">
        <v>33</v>
      </c>
      <c r="M479">
        <v>34</v>
      </c>
    </row>
    <row r="480" spans="1:13" x14ac:dyDescent="0.3">
      <c r="A480">
        <v>479</v>
      </c>
      <c r="B480" s="1">
        <v>40564</v>
      </c>
      <c r="C480">
        <v>23</v>
      </c>
      <c r="D480" t="b">
        <v>0</v>
      </c>
      <c r="E480" t="s">
        <v>28</v>
      </c>
      <c r="F480" t="s">
        <v>30</v>
      </c>
      <c r="G480">
        <v>0.06</v>
      </c>
      <c r="H480">
        <v>4.5499999999999999E-2</v>
      </c>
      <c r="I480">
        <v>0.38</v>
      </c>
      <c r="J480">
        <v>0.32840000000000003</v>
      </c>
      <c r="K480">
        <v>0</v>
      </c>
      <c r="L480">
        <v>27</v>
      </c>
      <c r="M480">
        <v>27</v>
      </c>
    </row>
    <row r="481" spans="1:13" x14ac:dyDescent="0.3">
      <c r="A481">
        <v>480</v>
      </c>
      <c r="B481" s="1">
        <v>40565</v>
      </c>
      <c r="C481">
        <v>0</v>
      </c>
      <c r="D481" t="b">
        <v>0</v>
      </c>
      <c r="E481" t="s">
        <v>29</v>
      </c>
      <c r="F481" t="s">
        <v>30</v>
      </c>
      <c r="G481">
        <v>0.04</v>
      </c>
      <c r="H481">
        <v>3.0300000000000001E-2</v>
      </c>
      <c r="I481">
        <v>0.45</v>
      </c>
      <c r="J481">
        <v>0.25369999999999998</v>
      </c>
      <c r="K481">
        <v>0</v>
      </c>
      <c r="L481">
        <v>13</v>
      </c>
      <c r="M481">
        <v>13</v>
      </c>
    </row>
    <row r="482" spans="1:13" x14ac:dyDescent="0.3">
      <c r="A482">
        <v>481</v>
      </c>
      <c r="B482" s="1">
        <v>40565</v>
      </c>
      <c r="C482">
        <v>1</v>
      </c>
      <c r="D482" t="b">
        <v>0</v>
      </c>
      <c r="E482" t="s">
        <v>29</v>
      </c>
      <c r="F482" t="s">
        <v>31</v>
      </c>
      <c r="G482">
        <v>0.04</v>
      </c>
      <c r="H482">
        <v>0</v>
      </c>
      <c r="I482">
        <v>0.41</v>
      </c>
      <c r="J482">
        <v>0.3881</v>
      </c>
      <c r="K482">
        <v>3</v>
      </c>
      <c r="L482">
        <v>9</v>
      </c>
      <c r="M482">
        <v>12</v>
      </c>
    </row>
    <row r="483" spans="1:13" x14ac:dyDescent="0.3">
      <c r="A483">
        <v>482</v>
      </c>
      <c r="B483" s="1">
        <v>40565</v>
      </c>
      <c r="C483">
        <v>2</v>
      </c>
      <c r="D483" t="b">
        <v>0</v>
      </c>
      <c r="E483" t="s">
        <v>29</v>
      </c>
      <c r="F483" t="s">
        <v>31</v>
      </c>
      <c r="G483">
        <v>0.04</v>
      </c>
      <c r="H483">
        <v>3.0300000000000001E-2</v>
      </c>
      <c r="I483">
        <v>0.41</v>
      </c>
      <c r="J483">
        <v>0.25369999999999998</v>
      </c>
      <c r="K483">
        <v>0</v>
      </c>
      <c r="L483">
        <v>11</v>
      </c>
      <c r="M483">
        <v>11</v>
      </c>
    </row>
    <row r="484" spans="1:13" x14ac:dyDescent="0.3">
      <c r="A484">
        <v>483</v>
      </c>
      <c r="B484" s="1">
        <v>40565</v>
      </c>
      <c r="C484">
        <v>3</v>
      </c>
      <c r="D484" t="b">
        <v>0</v>
      </c>
      <c r="E484" t="s">
        <v>29</v>
      </c>
      <c r="F484" t="s">
        <v>31</v>
      </c>
      <c r="G484">
        <v>0.04</v>
      </c>
      <c r="H484">
        <v>3.0300000000000001E-2</v>
      </c>
      <c r="I484">
        <v>0.41</v>
      </c>
      <c r="J484">
        <v>0.28360000000000002</v>
      </c>
      <c r="K484">
        <v>1</v>
      </c>
      <c r="L484">
        <v>6</v>
      </c>
      <c r="M484">
        <v>7</v>
      </c>
    </row>
    <row r="485" spans="1:13" x14ac:dyDescent="0.3">
      <c r="A485">
        <v>484</v>
      </c>
      <c r="B485" s="1">
        <v>40565</v>
      </c>
      <c r="C485">
        <v>4</v>
      </c>
      <c r="D485" t="b">
        <v>0</v>
      </c>
      <c r="E485" t="s">
        <v>29</v>
      </c>
      <c r="F485" t="s">
        <v>31</v>
      </c>
      <c r="G485">
        <v>0.02</v>
      </c>
      <c r="H485">
        <v>1.52E-2</v>
      </c>
      <c r="I485">
        <v>0.48</v>
      </c>
      <c r="J485">
        <v>0.29849999999999999</v>
      </c>
      <c r="K485">
        <v>0</v>
      </c>
      <c r="L485">
        <v>3</v>
      </c>
      <c r="M485">
        <v>3</v>
      </c>
    </row>
    <row r="486" spans="1:13" x14ac:dyDescent="0.3">
      <c r="A486">
        <v>485</v>
      </c>
      <c r="B486" s="1">
        <v>40565</v>
      </c>
      <c r="C486">
        <v>6</v>
      </c>
      <c r="D486" t="b">
        <v>0</v>
      </c>
      <c r="E486" t="s">
        <v>29</v>
      </c>
      <c r="F486" t="s">
        <v>31</v>
      </c>
      <c r="G486">
        <v>0.02</v>
      </c>
      <c r="H486">
        <v>3.0300000000000001E-2</v>
      </c>
      <c r="I486">
        <v>0.44</v>
      </c>
      <c r="J486">
        <v>0.22389999999999999</v>
      </c>
      <c r="K486">
        <v>0</v>
      </c>
      <c r="L486">
        <v>2</v>
      </c>
      <c r="M486">
        <v>2</v>
      </c>
    </row>
    <row r="487" spans="1:13" x14ac:dyDescent="0.3">
      <c r="A487">
        <v>486</v>
      </c>
      <c r="B487" s="1">
        <v>40565</v>
      </c>
      <c r="C487">
        <v>7</v>
      </c>
      <c r="D487" t="b">
        <v>0</v>
      </c>
      <c r="E487" t="s">
        <v>29</v>
      </c>
      <c r="F487" t="s">
        <v>30</v>
      </c>
      <c r="G487">
        <v>0.02</v>
      </c>
      <c r="H487">
        <v>1.52E-2</v>
      </c>
      <c r="I487">
        <v>0.44</v>
      </c>
      <c r="J487">
        <v>0.28360000000000002</v>
      </c>
      <c r="K487">
        <v>0</v>
      </c>
      <c r="L487">
        <v>8</v>
      </c>
      <c r="M487">
        <v>8</v>
      </c>
    </row>
    <row r="488" spans="1:13" x14ac:dyDescent="0.3">
      <c r="A488">
        <v>487</v>
      </c>
      <c r="B488" s="1">
        <v>40565</v>
      </c>
      <c r="C488">
        <v>8</v>
      </c>
      <c r="D488" t="b">
        <v>0</v>
      </c>
      <c r="E488" t="s">
        <v>29</v>
      </c>
      <c r="F488" t="s">
        <v>30</v>
      </c>
      <c r="G488">
        <v>0.02</v>
      </c>
      <c r="H488">
        <v>0</v>
      </c>
      <c r="I488">
        <v>0.44</v>
      </c>
      <c r="J488">
        <v>0.32840000000000003</v>
      </c>
      <c r="K488">
        <v>1</v>
      </c>
      <c r="L488">
        <v>26</v>
      </c>
      <c r="M488">
        <v>27</v>
      </c>
    </row>
    <row r="489" spans="1:13" x14ac:dyDescent="0.3">
      <c r="A489">
        <v>488</v>
      </c>
      <c r="B489" s="1">
        <v>40565</v>
      </c>
      <c r="C489">
        <v>9</v>
      </c>
      <c r="D489" t="b">
        <v>0</v>
      </c>
      <c r="E489" t="s">
        <v>29</v>
      </c>
      <c r="F489" t="s">
        <v>30</v>
      </c>
      <c r="G489">
        <v>0.04</v>
      </c>
      <c r="H489">
        <v>3.0300000000000001E-2</v>
      </c>
      <c r="I489">
        <v>0.41</v>
      </c>
      <c r="J489">
        <v>0.25369999999999998</v>
      </c>
      <c r="K489">
        <v>3</v>
      </c>
      <c r="L489">
        <v>37</v>
      </c>
      <c r="M489">
        <v>40</v>
      </c>
    </row>
    <row r="490" spans="1:13" x14ac:dyDescent="0.3">
      <c r="A490">
        <v>489</v>
      </c>
      <c r="B490" s="1">
        <v>40565</v>
      </c>
      <c r="C490">
        <v>10</v>
      </c>
      <c r="D490" t="b">
        <v>0</v>
      </c>
      <c r="E490" t="s">
        <v>29</v>
      </c>
      <c r="F490" t="s">
        <v>31</v>
      </c>
      <c r="G490">
        <v>0.04</v>
      </c>
      <c r="H490">
        <v>6.0600000000000001E-2</v>
      </c>
      <c r="I490">
        <v>0.41</v>
      </c>
      <c r="J490">
        <v>0.16420000000000001</v>
      </c>
      <c r="K490">
        <v>3</v>
      </c>
      <c r="L490">
        <v>50</v>
      </c>
      <c r="M490">
        <v>53</v>
      </c>
    </row>
    <row r="491" spans="1:13" x14ac:dyDescent="0.3">
      <c r="A491">
        <v>490</v>
      </c>
      <c r="B491" s="1">
        <v>40565</v>
      </c>
      <c r="C491">
        <v>11</v>
      </c>
      <c r="D491" t="b">
        <v>0</v>
      </c>
      <c r="E491" t="s">
        <v>29</v>
      </c>
      <c r="F491" t="s">
        <v>31</v>
      </c>
      <c r="G491">
        <v>0.06</v>
      </c>
      <c r="H491">
        <v>7.5800000000000006E-2</v>
      </c>
      <c r="I491">
        <v>0.38</v>
      </c>
      <c r="J491">
        <v>0.1343</v>
      </c>
      <c r="K491">
        <v>4</v>
      </c>
      <c r="L491">
        <v>59</v>
      </c>
      <c r="M491">
        <v>63</v>
      </c>
    </row>
    <row r="492" spans="1:13" x14ac:dyDescent="0.3">
      <c r="A492">
        <v>491</v>
      </c>
      <c r="B492" s="1">
        <v>40565</v>
      </c>
      <c r="C492">
        <v>12</v>
      </c>
      <c r="D492" t="b">
        <v>0</v>
      </c>
      <c r="E492" t="s">
        <v>29</v>
      </c>
      <c r="F492" t="s">
        <v>31</v>
      </c>
      <c r="G492">
        <v>0.06</v>
      </c>
      <c r="H492">
        <v>0.1061</v>
      </c>
      <c r="I492">
        <v>0.38</v>
      </c>
      <c r="J492">
        <v>0.1045</v>
      </c>
      <c r="K492">
        <v>10</v>
      </c>
      <c r="L492">
        <v>60</v>
      </c>
      <c r="M492">
        <v>70</v>
      </c>
    </row>
    <row r="493" spans="1:13" x14ac:dyDescent="0.3">
      <c r="A493">
        <v>492</v>
      </c>
      <c r="B493" s="1">
        <v>40565</v>
      </c>
      <c r="C493">
        <v>13</v>
      </c>
      <c r="D493" t="b">
        <v>0</v>
      </c>
      <c r="E493" t="s">
        <v>29</v>
      </c>
      <c r="F493" t="s">
        <v>30</v>
      </c>
      <c r="G493">
        <v>0.08</v>
      </c>
      <c r="H493">
        <v>0.16669999999999999</v>
      </c>
      <c r="I493">
        <v>0.35</v>
      </c>
      <c r="J493">
        <v>0</v>
      </c>
      <c r="K493">
        <v>12</v>
      </c>
      <c r="L493">
        <v>72</v>
      </c>
      <c r="M493">
        <v>84</v>
      </c>
    </row>
    <row r="494" spans="1:13" x14ac:dyDescent="0.3">
      <c r="A494">
        <v>493</v>
      </c>
      <c r="B494" s="1">
        <v>40565</v>
      </c>
      <c r="C494">
        <v>14</v>
      </c>
      <c r="D494" t="b">
        <v>0</v>
      </c>
      <c r="E494" t="s">
        <v>29</v>
      </c>
      <c r="F494" t="s">
        <v>30</v>
      </c>
      <c r="G494">
        <v>0.1</v>
      </c>
      <c r="H494">
        <v>0.13639999999999999</v>
      </c>
      <c r="I494">
        <v>0.33</v>
      </c>
      <c r="J494">
        <v>0.1045</v>
      </c>
      <c r="K494">
        <v>11</v>
      </c>
      <c r="L494">
        <v>64</v>
      </c>
      <c r="M494">
        <v>75</v>
      </c>
    </row>
    <row r="495" spans="1:13" x14ac:dyDescent="0.3">
      <c r="A495">
        <v>494</v>
      </c>
      <c r="B495" s="1">
        <v>40565</v>
      </c>
      <c r="C495">
        <v>15</v>
      </c>
      <c r="D495" t="b">
        <v>0</v>
      </c>
      <c r="E495" t="s">
        <v>29</v>
      </c>
      <c r="F495" t="s">
        <v>30</v>
      </c>
      <c r="G495">
        <v>0.12</v>
      </c>
      <c r="H495">
        <v>0.1515</v>
      </c>
      <c r="I495">
        <v>0.28000000000000003</v>
      </c>
      <c r="J495">
        <v>0</v>
      </c>
      <c r="K495">
        <v>10</v>
      </c>
      <c r="L495">
        <v>93</v>
      </c>
      <c r="M495">
        <v>103</v>
      </c>
    </row>
    <row r="496" spans="1:13" x14ac:dyDescent="0.3">
      <c r="A496">
        <v>495</v>
      </c>
      <c r="B496" s="1">
        <v>40565</v>
      </c>
      <c r="C496">
        <v>16</v>
      </c>
      <c r="D496" t="b">
        <v>0</v>
      </c>
      <c r="E496" t="s">
        <v>29</v>
      </c>
      <c r="F496" t="s">
        <v>30</v>
      </c>
      <c r="G496">
        <v>0.12</v>
      </c>
      <c r="H496">
        <v>0.13639999999999999</v>
      </c>
      <c r="I496">
        <v>0.28000000000000003</v>
      </c>
      <c r="J496">
        <v>0.19400000000000001</v>
      </c>
      <c r="K496">
        <v>11</v>
      </c>
      <c r="L496">
        <v>72</v>
      </c>
      <c r="M496">
        <v>83</v>
      </c>
    </row>
    <row r="497" spans="1:13" x14ac:dyDescent="0.3">
      <c r="A497">
        <v>496</v>
      </c>
      <c r="B497" s="1">
        <v>40565</v>
      </c>
      <c r="C497">
        <v>17</v>
      </c>
      <c r="D497" t="b">
        <v>0</v>
      </c>
      <c r="E497" t="s">
        <v>29</v>
      </c>
      <c r="F497" t="s">
        <v>30</v>
      </c>
      <c r="G497">
        <v>0.12</v>
      </c>
      <c r="H497">
        <v>0.19700000000000001</v>
      </c>
      <c r="I497">
        <v>0.28000000000000003</v>
      </c>
      <c r="J497">
        <v>0</v>
      </c>
      <c r="K497">
        <v>8</v>
      </c>
      <c r="L497">
        <v>59</v>
      </c>
      <c r="M497">
        <v>67</v>
      </c>
    </row>
    <row r="498" spans="1:13" x14ac:dyDescent="0.3">
      <c r="A498">
        <v>497</v>
      </c>
      <c r="B498" s="1">
        <v>40565</v>
      </c>
      <c r="C498">
        <v>18</v>
      </c>
      <c r="D498" t="b">
        <v>0</v>
      </c>
      <c r="E498" t="s">
        <v>29</v>
      </c>
      <c r="F498" t="s">
        <v>30</v>
      </c>
      <c r="G498">
        <v>0.08</v>
      </c>
      <c r="H498">
        <v>9.0899999999999995E-2</v>
      </c>
      <c r="I498">
        <v>0.35</v>
      </c>
      <c r="J498">
        <v>0.19400000000000001</v>
      </c>
      <c r="K498">
        <v>0</v>
      </c>
      <c r="L498">
        <v>54</v>
      </c>
      <c r="M498">
        <v>54</v>
      </c>
    </row>
    <row r="499" spans="1:13" x14ac:dyDescent="0.3">
      <c r="A499">
        <v>498</v>
      </c>
      <c r="B499" s="1">
        <v>40565</v>
      </c>
      <c r="C499">
        <v>19</v>
      </c>
      <c r="D499" t="b">
        <v>0</v>
      </c>
      <c r="E499" t="s">
        <v>29</v>
      </c>
      <c r="F499" t="s">
        <v>30</v>
      </c>
      <c r="G499">
        <v>0.08</v>
      </c>
      <c r="H499">
        <v>0.1061</v>
      </c>
      <c r="I499">
        <v>0.35</v>
      </c>
      <c r="J499">
        <v>0.1343</v>
      </c>
      <c r="K499">
        <v>6</v>
      </c>
      <c r="L499">
        <v>53</v>
      </c>
      <c r="M499">
        <v>59</v>
      </c>
    </row>
    <row r="500" spans="1:13" x14ac:dyDescent="0.3">
      <c r="A500">
        <v>499</v>
      </c>
      <c r="B500" s="1">
        <v>40565</v>
      </c>
      <c r="C500">
        <v>20</v>
      </c>
      <c r="D500" t="b">
        <v>0</v>
      </c>
      <c r="E500" t="s">
        <v>29</v>
      </c>
      <c r="F500" t="s">
        <v>30</v>
      </c>
      <c r="G500">
        <v>0.06</v>
      </c>
      <c r="H500">
        <v>7.5800000000000006E-2</v>
      </c>
      <c r="I500">
        <v>0.45</v>
      </c>
      <c r="J500">
        <v>0.16420000000000001</v>
      </c>
      <c r="K500">
        <v>1</v>
      </c>
      <c r="L500">
        <v>44</v>
      </c>
      <c r="M500">
        <v>45</v>
      </c>
    </row>
    <row r="501" spans="1:13" x14ac:dyDescent="0.3">
      <c r="A501">
        <v>500</v>
      </c>
      <c r="B501" s="1">
        <v>40565</v>
      </c>
      <c r="C501">
        <v>21</v>
      </c>
      <c r="D501" t="b">
        <v>0</v>
      </c>
      <c r="E501" t="s">
        <v>29</v>
      </c>
      <c r="F501" t="s">
        <v>30</v>
      </c>
      <c r="G501">
        <v>0.06</v>
      </c>
      <c r="H501">
        <v>0.1061</v>
      </c>
      <c r="I501">
        <v>0.41</v>
      </c>
      <c r="J501">
        <v>8.9599999999999999E-2</v>
      </c>
      <c r="K501">
        <v>0</v>
      </c>
      <c r="L501">
        <v>39</v>
      </c>
      <c r="M501">
        <v>39</v>
      </c>
    </row>
    <row r="502" spans="1:13" x14ac:dyDescent="0.3">
      <c r="A502">
        <v>501</v>
      </c>
      <c r="B502" s="1">
        <v>40565</v>
      </c>
      <c r="C502">
        <v>22</v>
      </c>
      <c r="D502" t="b">
        <v>0</v>
      </c>
      <c r="E502" t="s">
        <v>29</v>
      </c>
      <c r="F502" t="s">
        <v>30</v>
      </c>
      <c r="G502">
        <v>0.06</v>
      </c>
      <c r="H502">
        <v>0.1515</v>
      </c>
      <c r="I502">
        <v>0.49</v>
      </c>
      <c r="J502">
        <v>0</v>
      </c>
      <c r="K502">
        <v>7</v>
      </c>
      <c r="L502">
        <v>23</v>
      </c>
      <c r="M502">
        <v>30</v>
      </c>
    </row>
    <row r="503" spans="1:13" x14ac:dyDescent="0.3">
      <c r="A503">
        <v>502</v>
      </c>
      <c r="B503" s="1">
        <v>40565</v>
      </c>
      <c r="C503">
        <v>23</v>
      </c>
      <c r="D503" t="b">
        <v>0</v>
      </c>
      <c r="E503" t="s">
        <v>29</v>
      </c>
      <c r="F503" t="s">
        <v>30</v>
      </c>
      <c r="G503">
        <v>0.04</v>
      </c>
      <c r="H503">
        <v>7.5800000000000006E-2</v>
      </c>
      <c r="I503">
        <v>0.56999999999999995</v>
      </c>
      <c r="J503">
        <v>0.1045</v>
      </c>
      <c r="K503">
        <v>2</v>
      </c>
      <c r="L503">
        <v>31</v>
      </c>
      <c r="M503">
        <v>33</v>
      </c>
    </row>
    <row r="504" spans="1:13" x14ac:dyDescent="0.3">
      <c r="A504">
        <v>503</v>
      </c>
      <c r="B504" s="1">
        <v>40566</v>
      </c>
      <c r="C504">
        <v>0</v>
      </c>
      <c r="D504" t="b">
        <v>0</v>
      </c>
      <c r="E504" t="s">
        <v>23</v>
      </c>
      <c r="F504" t="s">
        <v>30</v>
      </c>
      <c r="G504">
        <v>0.04</v>
      </c>
      <c r="H504">
        <v>7.5800000000000006E-2</v>
      </c>
      <c r="I504">
        <v>0.56999999999999995</v>
      </c>
      <c r="J504">
        <v>0.1045</v>
      </c>
      <c r="K504">
        <v>2</v>
      </c>
      <c r="L504">
        <v>20</v>
      </c>
      <c r="M504">
        <v>22</v>
      </c>
    </row>
    <row r="505" spans="1:13" x14ac:dyDescent="0.3">
      <c r="A505">
        <v>504</v>
      </c>
      <c r="B505" s="1">
        <v>40566</v>
      </c>
      <c r="C505">
        <v>1</v>
      </c>
      <c r="D505" t="b">
        <v>0</v>
      </c>
      <c r="E505" t="s">
        <v>23</v>
      </c>
      <c r="F505" t="s">
        <v>30</v>
      </c>
      <c r="G505">
        <v>0.04</v>
      </c>
      <c r="H505">
        <v>7.5800000000000006E-2</v>
      </c>
      <c r="I505">
        <v>0.56999999999999995</v>
      </c>
      <c r="J505">
        <v>0.1045</v>
      </c>
      <c r="K505">
        <v>1</v>
      </c>
      <c r="L505">
        <v>12</v>
      </c>
      <c r="M505">
        <v>13</v>
      </c>
    </row>
    <row r="506" spans="1:13" x14ac:dyDescent="0.3">
      <c r="A506">
        <v>505</v>
      </c>
      <c r="B506" s="1">
        <v>40566</v>
      </c>
      <c r="C506">
        <v>2</v>
      </c>
      <c r="D506" t="b">
        <v>0</v>
      </c>
      <c r="E506" t="s">
        <v>23</v>
      </c>
      <c r="F506" t="s">
        <v>30</v>
      </c>
      <c r="G506">
        <v>0.02</v>
      </c>
      <c r="H506">
        <v>6.0600000000000001E-2</v>
      </c>
      <c r="I506">
        <v>0.62</v>
      </c>
      <c r="J506">
        <v>0.1343</v>
      </c>
      <c r="K506">
        <v>3</v>
      </c>
      <c r="L506">
        <v>15</v>
      </c>
      <c r="M506">
        <v>18</v>
      </c>
    </row>
    <row r="507" spans="1:13" x14ac:dyDescent="0.3">
      <c r="A507">
        <v>506</v>
      </c>
      <c r="B507" s="1">
        <v>40566</v>
      </c>
      <c r="C507">
        <v>3</v>
      </c>
      <c r="D507" t="b">
        <v>0</v>
      </c>
      <c r="E507" t="s">
        <v>23</v>
      </c>
      <c r="F507" t="s">
        <v>30</v>
      </c>
      <c r="G507">
        <v>0.02</v>
      </c>
      <c r="H507">
        <v>6.0600000000000001E-2</v>
      </c>
      <c r="I507">
        <v>0.62</v>
      </c>
      <c r="J507">
        <v>0.1343</v>
      </c>
      <c r="K507">
        <v>1</v>
      </c>
      <c r="L507">
        <v>4</v>
      </c>
      <c r="M507">
        <v>5</v>
      </c>
    </row>
    <row r="508" spans="1:13" x14ac:dyDescent="0.3">
      <c r="A508">
        <v>507</v>
      </c>
      <c r="B508" s="1">
        <v>40566</v>
      </c>
      <c r="C508">
        <v>5</v>
      </c>
      <c r="D508" t="b">
        <v>0</v>
      </c>
      <c r="E508" t="s">
        <v>23</v>
      </c>
      <c r="F508" t="s">
        <v>31</v>
      </c>
      <c r="G508">
        <v>0.04</v>
      </c>
      <c r="H508">
        <v>7.5800000000000006E-2</v>
      </c>
      <c r="I508">
        <v>0.56999999999999995</v>
      </c>
      <c r="J508">
        <v>0.1045</v>
      </c>
      <c r="K508">
        <v>0</v>
      </c>
      <c r="L508">
        <v>3</v>
      </c>
      <c r="M508">
        <v>3</v>
      </c>
    </row>
    <row r="509" spans="1:13" x14ac:dyDescent="0.3">
      <c r="A509">
        <v>508</v>
      </c>
      <c r="B509" s="1">
        <v>40566</v>
      </c>
      <c r="C509">
        <v>6</v>
      </c>
      <c r="D509" t="b">
        <v>0</v>
      </c>
      <c r="E509" t="s">
        <v>23</v>
      </c>
      <c r="F509" t="s">
        <v>31</v>
      </c>
      <c r="G509">
        <v>0.04</v>
      </c>
      <c r="H509">
        <v>7.5800000000000006E-2</v>
      </c>
      <c r="I509">
        <v>0.56999999999999995</v>
      </c>
      <c r="J509">
        <v>0.1045</v>
      </c>
      <c r="K509">
        <v>0</v>
      </c>
      <c r="L509">
        <v>1</v>
      </c>
      <c r="M509">
        <v>1</v>
      </c>
    </row>
    <row r="510" spans="1:13" x14ac:dyDescent="0.3">
      <c r="A510">
        <v>509</v>
      </c>
      <c r="B510" s="1">
        <v>40566</v>
      </c>
      <c r="C510">
        <v>7</v>
      </c>
      <c r="D510" t="b">
        <v>0</v>
      </c>
      <c r="E510" t="s">
        <v>23</v>
      </c>
      <c r="F510" t="s">
        <v>30</v>
      </c>
      <c r="G510">
        <v>0.08</v>
      </c>
      <c r="H510">
        <v>0.1061</v>
      </c>
      <c r="I510">
        <v>0.57999999999999996</v>
      </c>
      <c r="J510">
        <v>0.16420000000000001</v>
      </c>
      <c r="K510">
        <v>1</v>
      </c>
      <c r="L510">
        <v>1</v>
      </c>
      <c r="M510">
        <v>2</v>
      </c>
    </row>
    <row r="511" spans="1:13" x14ac:dyDescent="0.3">
      <c r="A511">
        <v>510</v>
      </c>
      <c r="B511" s="1">
        <v>40566</v>
      </c>
      <c r="C511">
        <v>8</v>
      </c>
      <c r="D511" t="b">
        <v>0</v>
      </c>
      <c r="E511" t="s">
        <v>23</v>
      </c>
      <c r="F511" t="s">
        <v>30</v>
      </c>
      <c r="G511">
        <v>0.06</v>
      </c>
      <c r="H511">
        <v>7.5800000000000006E-2</v>
      </c>
      <c r="I511">
        <v>0.62</v>
      </c>
      <c r="J511">
        <v>0.16420000000000001</v>
      </c>
      <c r="K511">
        <v>2</v>
      </c>
      <c r="L511">
        <v>17</v>
      </c>
      <c r="M511">
        <v>19</v>
      </c>
    </row>
    <row r="512" spans="1:13" x14ac:dyDescent="0.3">
      <c r="A512">
        <v>511</v>
      </c>
      <c r="B512" s="1">
        <v>40566</v>
      </c>
      <c r="C512">
        <v>9</v>
      </c>
      <c r="D512" t="b">
        <v>0</v>
      </c>
      <c r="E512" t="s">
        <v>23</v>
      </c>
      <c r="F512" t="s">
        <v>30</v>
      </c>
      <c r="G512">
        <v>0.1</v>
      </c>
      <c r="H512">
        <v>7.5800000000000006E-2</v>
      </c>
      <c r="I512">
        <v>0.54</v>
      </c>
      <c r="J512">
        <v>0.35820000000000002</v>
      </c>
      <c r="K512">
        <v>3</v>
      </c>
      <c r="L512">
        <v>25</v>
      </c>
      <c r="M512">
        <v>28</v>
      </c>
    </row>
    <row r="513" spans="1:13" x14ac:dyDescent="0.3">
      <c r="A513">
        <v>512</v>
      </c>
      <c r="B513" s="1">
        <v>40566</v>
      </c>
      <c r="C513">
        <v>10</v>
      </c>
      <c r="D513" t="b">
        <v>0</v>
      </c>
      <c r="E513" t="s">
        <v>23</v>
      </c>
      <c r="F513" t="s">
        <v>30</v>
      </c>
      <c r="G513">
        <v>0.14000000000000001</v>
      </c>
      <c r="H513">
        <v>0.1061</v>
      </c>
      <c r="I513">
        <v>0.46</v>
      </c>
      <c r="J513">
        <v>0.3881</v>
      </c>
      <c r="K513">
        <v>7</v>
      </c>
      <c r="L513">
        <v>51</v>
      </c>
      <c r="M513">
        <v>58</v>
      </c>
    </row>
    <row r="514" spans="1:13" x14ac:dyDescent="0.3">
      <c r="A514">
        <v>513</v>
      </c>
      <c r="B514" s="1">
        <v>40566</v>
      </c>
      <c r="C514">
        <v>11</v>
      </c>
      <c r="D514" t="b">
        <v>0</v>
      </c>
      <c r="E514" t="s">
        <v>23</v>
      </c>
      <c r="F514" t="s">
        <v>30</v>
      </c>
      <c r="G514">
        <v>0.14000000000000001</v>
      </c>
      <c r="H514">
        <v>0.13639999999999999</v>
      </c>
      <c r="I514">
        <v>0.43</v>
      </c>
      <c r="J514">
        <v>0.22389999999999999</v>
      </c>
      <c r="K514">
        <v>22</v>
      </c>
      <c r="L514">
        <v>77</v>
      </c>
      <c r="M514">
        <v>99</v>
      </c>
    </row>
    <row r="515" spans="1:13" x14ac:dyDescent="0.3">
      <c r="A515">
        <v>514</v>
      </c>
      <c r="B515" s="1">
        <v>40566</v>
      </c>
      <c r="C515">
        <v>12</v>
      </c>
      <c r="D515" t="b">
        <v>0</v>
      </c>
      <c r="E515" t="s">
        <v>23</v>
      </c>
      <c r="F515" t="s">
        <v>30</v>
      </c>
      <c r="G515">
        <v>0.16</v>
      </c>
      <c r="H515">
        <v>0.1212</v>
      </c>
      <c r="I515">
        <v>0.37</v>
      </c>
      <c r="J515">
        <v>0.4627</v>
      </c>
      <c r="K515">
        <v>24</v>
      </c>
      <c r="L515">
        <v>92</v>
      </c>
      <c r="M515">
        <v>116</v>
      </c>
    </row>
    <row r="516" spans="1:13" x14ac:dyDescent="0.3">
      <c r="A516">
        <v>515</v>
      </c>
      <c r="B516" s="1">
        <v>40566</v>
      </c>
      <c r="C516">
        <v>13</v>
      </c>
      <c r="D516" t="b">
        <v>0</v>
      </c>
      <c r="E516" t="s">
        <v>23</v>
      </c>
      <c r="F516" t="s">
        <v>30</v>
      </c>
      <c r="G516">
        <v>0.14000000000000001</v>
      </c>
      <c r="H516">
        <v>0.1061</v>
      </c>
      <c r="I516">
        <v>0.33</v>
      </c>
      <c r="J516">
        <v>0.3881</v>
      </c>
      <c r="K516">
        <v>12</v>
      </c>
      <c r="L516">
        <v>75</v>
      </c>
      <c r="M516">
        <v>87</v>
      </c>
    </row>
    <row r="517" spans="1:13" x14ac:dyDescent="0.3">
      <c r="A517">
        <v>516</v>
      </c>
      <c r="B517" s="1">
        <v>40566</v>
      </c>
      <c r="C517">
        <v>14</v>
      </c>
      <c r="D517" t="b">
        <v>0</v>
      </c>
      <c r="E517" t="s">
        <v>23</v>
      </c>
      <c r="F517" t="s">
        <v>30</v>
      </c>
      <c r="G517">
        <v>0.16</v>
      </c>
      <c r="H517">
        <v>0.13639999999999999</v>
      </c>
      <c r="I517">
        <v>0.28000000000000003</v>
      </c>
      <c r="J517">
        <v>0.35820000000000002</v>
      </c>
      <c r="K517">
        <v>17</v>
      </c>
      <c r="L517">
        <v>93</v>
      </c>
      <c r="M517">
        <v>110</v>
      </c>
    </row>
    <row r="518" spans="1:13" x14ac:dyDescent="0.3">
      <c r="A518">
        <v>517</v>
      </c>
      <c r="B518" s="1">
        <v>40566</v>
      </c>
      <c r="C518">
        <v>15</v>
      </c>
      <c r="D518" t="b">
        <v>0</v>
      </c>
      <c r="E518" t="s">
        <v>23</v>
      </c>
      <c r="F518" t="s">
        <v>30</v>
      </c>
      <c r="G518">
        <v>0.16</v>
      </c>
      <c r="H518">
        <v>0.13639999999999999</v>
      </c>
      <c r="I518">
        <v>0.28000000000000003</v>
      </c>
      <c r="J518">
        <v>0.35820000000000002</v>
      </c>
      <c r="K518">
        <v>13</v>
      </c>
      <c r="L518">
        <v>64</v>
      </c>
      <c r="M518">
        <v>77</v>
      </c>
    </row>
    <row r="519" spans="1:13" x14ac:dyDescent="0.3">
      <c r="A519">
        <v>518</v>
      </c>
      <c r="B519" s="1">
        <v>40566</v>
      </c>
      <c r="C519">
        <v>16</v>
      </c>
      <c r="D519" t="b">
        <v>0</v>
      </c>
      <c r="E519" t="s">
        <v>23</v>
      </c>
      <c r="F519" t="s">
        <v>30</v>
      </c>
      <c r="G519">
        <v>0.16</v>
      </c>
      <c r="H519">
        <v>0.13639999999999999</v>
      </c>
      <c r="I519">
        <v>0.26</v>
      </c>
      <c r="J519">
        <v>0.32840000000000003</v>
      </c>
      <c r="K519">
        <v>9</v>
      </c>
      <c r="L519">
        <v>56</v>
      </c>
      <c r="M519">
        <v>65</v>
      </c>
    </row>
    <row r="520" spans="1:13" x14ac:dyDescent="0.3">
      <c r="A520">
        <v>519</v>
      </c>
      <c r="B520" s="1">
        <v>40566</v>
      </c>
      <c r="C520">
        <v>17</v>
      </c>
      <c r="D520" t="b">
        <v>0</v>
      </c>
      <c r="E520" t="s">
        <v>23</v>
      </c>
      <c r="F520" t="s">
        <v>30</v>
      </c>
      <c r="G520">
        <v>0.14000000000000001</v>
      </c>
      <c r="H520">
        <v>0.1061</v>
      </c>
      <c r="I520">
        <v>0.26</v>
      </c>
      <c r="J520">
        <v>0.3881</v>
      </c>
      <c r="K520">
        <v>5</v>
      </c>
      <c r="L520">
        <v>50</v>
      </c>
      <c r="M520">
        <v>55</v>
      </c>
    </row>
    <row r="521" spans="1:13" x14ac:dyDescent="0.3">
      <c r="A521">
        <v>520</v>
      </c>
      <c r="B521" s="1">
        <v>40566</v>
      </c>
      <c r="C521">
        <v>18</v>
      </c>
      <c r="D521" t="b">
        <v>0</v>
      </c>
      <c r="E521" t="s">
        <v>23</v>
      </c>
      <c r="F521" t="s">
        <v>30</v>
      </c>
      <c r="G521">
        <v>0.12</v>
      </c>
      <c r="H521">
        <v>0.1212</v>
      </c>
      <c r="I521">
        <v>0.3</v>
      </c>
      <c r="J521">
        <v>0.25369999999999998</v>
      </c>
      <c r="K521">
        <v>5</v>
      </c>
      <c r="L521">
        <v>44</v>
      </c>
      <c r="M521">
        <v>49</v>
      </c>
    </row>
    <row r="522" spans="1:13" x14ac:dyDescent="0.3">
      <c r="A522">
        <v>521</v>
      </c>
      <c r="B522" s="1">
        <v>40566</v>
      </c>
      <c r="C522">
        <v>19</v>
      </c>
      <c r="D522" t="b">
        <v>0</v>
      </c>
      <c r="E522" t="s">
        <v>23</v>
      </c>
      <c r="F522" t="s">
        <v>30</v>
      </c>
      <c r="G522">
        <v>0.12</v>
      </c>
      <c r="H522">
        <v>0.1212</v>
      </c>
      <c r="I522">
        <v>0.3</v>
      </c>
      <c r="J522">
        <v>0.28360000000000002</v>
      </c>
      <c r="K522">
        <v>5</v>
      </c>
      <c r="L522">
        <v>45</v>
      </c>
      <c r="M522">
        <v>50</v>
      </c>
    </row>
    <row r="523" spans="1:13" x14ac:dyDescent="0.3">
      <c r="A523">
        <v>522</v>
      </c>
      <c r="B523" s="1">
        <v>40566</v>
      </c>
      <c r="C523">
        <v>20</v>
      </c>
      <c r="D523" t="b">
        <v>0</v>
      </c>
      <c r="E523" t="s">
        <v>23</v>
      </c>
      <c r="F523" t="s">
        <v>30</v>
      </c>
      <c r="G523">
        <v>0.1</v>
      </c>
      <c r="H523">
        <v>0.1061</v>
      </c>
      <c r="I523">
        <v>0.36</v>
      </c>
      <c r="J523">
        <v>0.25369999999999998</v>
      </c>
      <c r="K523">
        <v>4</v>
      </c>
      <c r="L523">
        <v>31</v>
      </c>
      <c r="M523">
        <v>35</v>
      </c>
    </row>
    <row r="524" spans="1:13" x14ac:dyDescent="0.3">
      <c r="A524">
        <v>523</v>
      </c>
      <c r="B524" s="1">
        <v>40566</v>
      </c>
      <c r="C524">
        <v>21</v>
      </c>
      <c r="D524" t="b">
        <v>0</v>
      </c>
      <c r="E524" t="s">
        <v>23</v>
      </c>
      <c r="F524" t="s">
        <v>30</v>
      </c>
      <c r="G524">
        <v>0.1</v>
      </c>
      <c r="H524">
        <v>0.1061</v>
      </c>
      <c r="I524">
        <v>0.36</v>
      </c>
      <c r="J524">
        <v>0.19400000000000001</v>
      </c>
      <c r="K524">
        <v>5</v>
      </c>
      <c r="L524">
        <v>20</v>
      </c>
      <c r="M524">
        <v>25</v>
      </c>
    </row>
    <row r="525" spans="1:13" x14ac:dyDescent="0.3">
      <c r="A525">
        <v>524</v>
      </c>
      <c r="B525" s="1">
        <v>40566</v>
      </c>
      <c r="C525">
        <v>22</v>
      </c>
      <c r="D525" t="b">
        <v>0</v>
      </c>
      <c r="E525" t="s">
        <v>23</v>
      </c>
      <c r="F525" t="s">
        <v>30</v>
      </c>
      <c r="G525">
        <v>0.08</v>
      </c>
      <c r="H525">
        <v>9.0899999999999995E-2</v>
      </c>
      <c r="I525">
        <v>0.38</v>
      </c>
      <c r="J525">
        <v>0.19400000000000001</v>
      </c>
      <c r="K525">
        <v>5</v>
      </c>
      <c r="L525">
        <v>23</v>
      </c>
      <c r="M525">
        <v>28</v>
      </c>
    </row>
    <row r="526" spans="1:13" x14ac:dyDescent="0.3">
      <c r="A526">
        <v>525</v>
      </c>
      <c r="B526" s="1">
        <v>40566</v>
      </c>
      <c r="C526">
        <v>23</v>
      </c>
      <c r="D526" t="b">
        <v>0</v>
      </c>
      <c r="E526" t="s">
        <v>23</v>
      </c>
      <c r="F526" t="s">
        <v>30</v>
      </c>
      <c r="G526">
        <v>0.06</v>
      </c>
      <c r="H526">
        <v>6.0600000000000001E-2</v>
      </c>
      <c r="I526">
        <v>0.41</v>
      </c>
      <c r="J526">
        <v>0.22389999999999999</v>
      </c>
      <c r="K526">
        <v>4</v>
      </c>
      <c r="L526">
        <v>17</v>
      </c>
      <c r="M526">
        <v>21</v>
      </c>
    </row>
    <row r="527" spans="1:13" x14ac:dyDescent="0.3">
      <c r="A527">
        <v>526</v>
      </c>
      <c r="B527" s="1">
        <v>40567</v>
      </c>
      <c r="C527">
        <v>0</v>
      </c>
      <c r="D527" t="b">
        <v>0</v>
      </c>
      <c r="E527" t="s">
        <v>24</v>
      </c>
      <c r="F527" t="s">
        <v>30</v>
      </c>
      <c r="G527">
        <v>0.06</v>
      </c>
      <c r="H527">
        <v>6.0600000000000001E-2</v>
      </c>
      <c r="I527">
        <v>0.41</v>
      </c>
      <c r="J527">
        <v>0.19400000000000001</v>
      </c>
      <c r="K527">
        <v>0</v>
      </c>
      <c r="L527">
        <v>7</v>
      </c>
      <c r="M527">
        <v>7</v>
      </c>
    </row>
    <row r="528" spans="1:13" x14ac:dyDescent="0.3">
      <c r="A528">
        <v>527</v>
      </c>
      <c r="B528" s="1">
        <v>40567</v>
      </c>
      <c r="C528">
        <v>1</v>
      </c>
      <c r="D528" t="b">
        <v>0</v>
      </c>
      <c r="E528" t="s">
        <v>24</v>
      </c>
      <c r="F528" t="s">
        <v>30</v>
      </c>
      <c r="G528">
        <v>0.04</v>
      </c>
      <c r="H528">
        <v>4.5499999999999999E-2</v>
      </c>
      <c r="I528">
        <v>0.45</v>
      </c>
      <c r="J528">
        <v>0.19400000000000001</v>
      </c>
      <c r="K528">
        <v>0</v>
      </c>
      <c r="L528">
        <v>1</v>
      </c>
      <c r="M528">
        <v>1</v>
      </c>
    </row>
    <row r="529" spans="1:13" x14ac:dyDescent="0.3">
      <c r="A529">
        <v>528</v>
      </c>
      <c r="B529" s="1">
        <v>40567</v>
      </c>
      <c r="C529">
        <v>3</v>
      </c>
      <c r="D529" t="b">
        <v>0</v>
      </c>
      <c r="E529" t="s">
        <v>24</v>
      </c>
      <c r="F529" t="s">
        <v>30</v>
      </c>
      <c r="G529">
        <v>0.04</v>
      </c>
      <c r="H529">
        <v>3.0300000000000001E-2</v>
      </c>
      <c r="I529">
        <v>0.45</v>
      </c>
      <c r="J529">
        <v>0.25369999999999998</v>
      </c>
      <c r="K529">
        <v>0</v>
      </c>
      <c r="L529">
        <v>1</v>
      </c>
      <c r="M529">
        <v>1</v>
      </c>
    </row>
    <row r="530" spans="1:13" x14ac:dyDescent="0.3">
      <c r="A530">
        <v>529</v>
      </c>
      <c r="B530" s="1">
        <v>40567</v>
      </c>
      <c r="C530">
        <v>4</v>
      </c>
      <c r="D530" t="b">
        <v>0</v>
      </c>
      <c r="E530" t="s">
        <v>24</v>
      </c>
      <c r="F530" t="s">
        <v>30</v>
      </c>
      <c r="G530">
        <v>0.02</v>
      </c>
      <c r="H530">
        <v>6.0600000000000001E-2</v>
      </c>
      <c r="I530">
        <v>0.48</v>
      </c>
      <c r="J530">
        <v>0.1343</v>
      </c>
      <c r="K530">
        <v>0</v>
      </c>
      <c r="L530">
        <v>1</v>
      </c>
      <c r="M530">
        <v>1</v>
      </c>
    </row>
    <row r="531" spans="1:13" x14ac:dyDescent="0.3">
      <c r="A531">
        <v>530</v>
      </c>
      <c r="B531" s="1">
        <v>40567</v>
      </c>
      <c r="C531">
        <v>5</v>
      </c>
      <c r="D531" t="b">
        <v>0</v>
      </c>
      <c r="E531" t="s">
        <v>24</v>
      </c>
      <c r="F531" t="s">
        <v>30</v>
      </c>
      <c r="G531">
        <v>0.02</v>
      </c>
      <c r="H531">
        <v>6.0600000000000001E-2</v>
      </c>
      <c r="I531">
        <v>0.48</v>
      </c>
      <c r="J531">
        <v>0.1343</v>
      </c>
      <c r="K531">
        <v>0</v>
      </c>
      <c r="L531">
        <v>5</v>
      </c>
      <c r="M531">
        <v>5</v>
      </c>
    </row>
    <row r="532" spans="1:13" x14ac:dyDescent="0.3">
      <c r="A532">
        <v>531</v>
      </c>
      <c r="B532" s="1">
        <v>40567</v>
      </c>
      <c r="C532">
        <v>6</v>
      </c>
      <c r="D532" t="b">
        <v>0</v>
      </c>
      <c r="E532" t="s">
        <v>24</v>
      </c>
      <c r="F532" t="s">
        <v>30</v>
      </c>
      <c r="G532">
        <v>0.02</v>
      </c>
      <c r="H532">
        <v>7.5800000000000006E-2</v>
      </c>
      <c r="I532">
        <v>0.48</v>
      </c>
      <c r="J532">
        <v>8.9599999999999999E-2</v>
      </c>
      <c r="K532">
        <v>0</v>
      </c>
      <c r="L532">
        <v>15</v>
      </c>
      <c r="M532">
        <v>15</v>
      </c>
    </row>
    <row r="533" spans="1:13" x14ac:dyDescent="0.3">
      <c r="A533">
        <v>532</v>
      </c>
      <c r="B533" s="1">
        <v>40567</v>
      </c>
      <c r="C533">
        <v>7</v>
      </c>
      <c r="D533" t="b">
        <v>0</v>
      </c>
      <c r="E533" t="s">
        <v>24</v>
      </c>
      <c r="F533" t="s">
        <v>30</v>
      </c>
      <c r="G533">
        <v>0.02</v>
      </c>
      <c r="H533">
        <v>0.1212</v>
      </c>
      <c r="I533">
        <v>0.48</v>
      </c>
      <c r="J533">
        <v>0</v>
      </c>
      <c r="K533">
        <v>5</v>
      </c>
      <c r="L533">
        <v>79</v>
      </c>
      <c r="M533">
        <v>84</v>
      </c>
    </row>
    <row r="534" spans="1:13" x14ac:dyDescent="0.3">
      <c r="A534">
        <v>533</v>
      </c>
      <c r="B534" s="1">
        <v>40567</v>
      </c>
      <c r="C534">
        <v>8</v>
      </c>
      <c r="D534" t="b">
        <v>0</v>
      </c>
      <c r="E534" t="s">
        <v>24</v>
      </c>
      <c r="F534" t="s">
        <v>30</v>
      </c>
      <c r="G534">
        <v>0.04</v>
      </c>
      <c r="H534">
        <v>0.13639999999999999</v>
      </c>
      <c r="I534">
        <v>0.49</v>
      </c>
      <c r="J534">
        <v>0</v>
      </c>
      <c r="K534">
        <v>6</v>
      </c>
      <c r="L534">
        <v>171</v>
      </c>
      <c r="M534">
        <v>177</v>
      </c>
    </row>
    <row r="535" spans="1:13" x14ac:dyDescent="0.3">
      <c r="A535">
        <v>534</v>
      </c>
      <c r="B535" s="1">
        <v>40567</v>
      </c>
      <c r="C535">
        <v>9</v>
      </c>
      <c r="D535" t="b">
        <v>0</v>
      </c>
      <c r="E535" t="s">
        <v>24</v>
      </c>
      <c r="F535" t="s">
        <v>30</v>
      </c>
      <c r="G535">
        <v>0.06</v>
      </c>
      <c r="H535">
        <v>0.1515</v>
      </c>
      <c r="I535">
        <v>0.41</v>
      </c>
      <c r="J535">
        <v>0</v>
      </c>
      <c r="K535">
        <v>4</v>
      </c>
      <c r="L535">
        <v>98</v>
      </c>
      <c r="M535">
        <v>102</v>
      </c>
    </row>
    <row r="536" spans="1:13" x14ac:dyDescent="0.3">
      <c r="A536">
        <v>535</v>
      </c>
      <c r="B536" s="1">
        <v>40567</v>
      </c>
      <c r="C536">
        <v>10</v>
      </c>
      <c r="D536" t="b">
        <v>0</v>
      </c>
      <c r="E536" t="s">
        <v>24</v>
      </c>
      <c r="F536" t="s">
        <v>30</v>
      </c>
      <c r="G536">
        <v>0.1</v>
      </c>
      <c r="H536">
        <v>0.13639999999999999</v>
      </c>
      <c r="I536">
        <v>0.42</v>
      </c>
      <c r="J536">
        <v>0</v>
      </c>
      <c r="K536">
        <v>6</v>
      </c>
      <c r="L536">
        <v>34</v>
      </c>
      <c r="M536">
        <v>40</v>
      </c>
    </row>
    <row r="537" spans="1:13" x14ac:dyDescent="0.3">
      <c r="A537">
        <v>536</v>
      </c>
      <c r="B537" s="1">
        <v>40567</v>
      </c>
      <c r="C537">
        <v>11</v>
      </c>
      <c r="D537" t="b">
        <v>0</v>
      </c>
      <c r="E537" t="s">
        <v>24</v>
      </c>
      <c r="F537" t="s">
        <v>30</v>
      </c>
      <c r="G537">
        <v>0.1</v>
      </c>
      <c r="H537">
        <v>0.1212</v>
      </c>
      <c r="I537">
        <v>0.46</v>
      </c>
      <c r="J537">
        <v>0.1343</v>
      </c>
      <c r="K537">
        <v>3</v>
      </c>
      <c r="L537">
        <v>43</v>
      </c>
      <c r="M537">
        <v>46</v>
      </c>
    </row>
    <row r="538" spans="1:13" x14ac:dyDescent="0.3">
      <c r="A538">
        <v>537</v>
      </c>
      <c r="B538" s="1">
        <v>40567</v>
      </c>
      <c r="C538">
        <v>12</v>
      </c>
      <c r="D538" t="b">
        <v>0</v>
      </c>
      <c r="E538" t="s">
        <v>24</v>
      </c>
      <c r="F538" t="s">
        <v>31</v>
      </c>
      <c r="G538">
        <v>0.12</v>
      </c>
      <c r="H538">
        <v>0.13639999999999999</v>
      </c>
      <c r="I538">
        <v>0.42</v>
      </c>
      <c r="J538">
        <v>0.19400000000000001</v>
      </c>
      <c r="K538">
        <v>11</v>
      </c>
      <c r="L538">
        <v>52</v>
      </c>
      <c r="M538">
        <v>63</v>
      </c>
    </row>
    <row r="539" spans="1:13" x14ac:dyDescent="0.3">
      <c r="A539">
        <v>538</v>
      </c>
      <c r="B539" s="1">
        <v>40567</v>
      </c>
      <c r="C539">
        <v>13</v>
      </c>
      <c r="D539" t="b">
        <v>0</v>
      </c>
      <c r="E539" t="s">
        <v>24</v>
      </c>
      <c r="F539" t="s">
        <v>31</v>
      </c>
      <c r="G539">
        <v>0.14000000000000001</v>
      </c>
      <c r="H539">
        <v>0.13639999999999999</v>
      </c>
      <c r="I539">
        <v>0.43</v>
      </c>
      <c r="J539">
        <v>0.22389999999999999</v>
      </c>
      <c r="K539">
        <v>6</v>
      </c>
      <c r="L539">
        <v>54</v>
      </c>
      <c r="M539">
        <v>60</v>
      </c>
    </row>
    <row r="540" spans="1:13" x14ac:dyDescent="0.3">
      <c r="A540">
        <v>539</v>
      </c>
      <c r="B540" s="1">
        <v>40567</v>
      </c>
      <c r="C540">
        <v>14</v>
      </c>
      <c r="D540" t="b">
        <v>0</v>
      </c>
      <c r="E540" t="s">
        <v>24</v>
      </c>
      <c r="F540" t="s">
        <v>31</v>
      </c>
      <c r="G540">
        <v>0.14000000000000001</v>
      </c>
      <c r="H540">
        <v>0.13639999999999999</v>
      </c>
      <c r="I540">
        <v>0.46</v>
      </c>
      <c r="J540">
        <v>0.22389999999999999</v>
      </c>
      <c r="K540">
        <v>2</v>
      </c>
      <c r="L540">
        <v>43</v>
      </c>
      <c r="M540">
        <v>45</v>
      </c>
    </row>
    <row r="541" spans="1:13" x14ac:dyDescent="0.3">
      <c r="A541">
        <v>540</v>
      </c>
      <c r="B541" s="1">
        <v>40567</v>
      </c>
      <c r="C541">
        <v>15</v>
      </c>
      <c r="D541" t="b">
        <v>0</v>
      </c>
      <c r="E541" t="s">
        <v>24</v>
      </c>
      <c r="F541" t="s">
        <v>30</v>
      </c>
      <c r="G541">
        <v>0.16</v>
      </c>
      <c r="H541">
        <v>0.16669999999999999</v>
      </c>
      <c r="I541">
        <v>0.4</v>
      </c>
      <c r="J541">
        <v>0.16420000000000001</v>
      </c>
      <c r="K541">
        <v>7</v>
      </c>
      <c r="L541">
        <v>50</v>
      </c>
      <c r="M541">
        <v>57</v>
      </c>
    </row>
    <row r="542" spans="1:13" x14ac:dyDescent="0.3">
      <c r="A542">
        <v>541</v>
      </c>
      <c r="B542" s="1">
        <v>40567</v>
      </c>
      <c r="C542">
        <v>16</v>
      </c>
      <c r="D542" t="b">
        <v>0</v>
      </c>
      <c r="E542" t="s">
        <v>24</v>
      </c>
      <c r="F542" t="s">
        <v>30</v>
      </c>
      <c r="G542">
        <v>0.16</v>
      </c>
      <c r="H542">
        <v>0.1515</v>
      </c>
      <c r="I542">
        <v>0.47</v>
      </c>
      <c r="J542">
        <v>0.25369999999999998</v>
      </c>
      <c r="K542">
        <v>4</v>
      </c>
      <c r="L542">
        <v>66</v>
      </c>
      <c r="M542">
        <v>70</v>
      </c>
    </row>
    <row r="543" spans="1:13" x14ac:dyDescent="0.3">
      <c r="A543">
        <v>542</v>
      </c>
      <c r="B543" s="1">
        <v>40567</v>
      </c>
      <c r="C543">
        <v>17</v>
      </c>
      <c r="D543" t="b">
        <v>0</v>
      </c>
      <c r="E543" t="s">
        <v>24</v>
      </c>
      <c r="F543" t="s">
        <v>30</v>
      </c>
      <c r="G543">
        <v>0.14000000000000001</v>
      </c>
      <c r="H543">
        <v>0.1212</v>
      </c>
      <c r="I543">
        <v>0.5</v>
      </c>
      <c r="J543">
        <v>0.25369999999999998</v>
      </c>
      <c r="K543">
        <v>6</v>
      </c>
      <c r="L543">
        <v>178</v>
      </c>
      <c r="M543">
        <v>184</v>
      </c>
    </row>
    <row r="544" spans="1:13" x14ac:dyDescent="0.3">
      <c r="A544">
        <v>543</v>
      </c>
      <c r="B544" s="1">
        <v>40567</v>
      </c>
      <c r="C544">
        <v>18</v>
      </c>
      <c r="D544" t="b">
        <v>0</v>
      </c>
      <c r="E544" t="s">
        <v>24</v>
      </c>
      <c r="F544" t="s">
        <v>30</v>
      </c>
      <c r="G544">
        <v>0.14000000000000001</v>
      </c>
      <c r="H544">
        <v>0.13639999999999999</v>
      </c>
      <c r="I544">
        <v>0.59</v>
      </c>
      <c r="J544">
        <v>0.19400000000000001</v>
      </c>
      <c r="K544">
        <v>8</v>
      </c>
      <c r="L544">
        <v>145</v>
      </c>
      <c r="M544">
        <v>153</v>
      </c>
    </row>
    <row r="545" spans="1:13" x14ac:dyDescent="0.3">
      <c r="A545">
        <v>544</v>
      </c>
      <c r="B545" s="1">
        <v>40567</v>
      </c>
      <c r="C545">
        <v>19</v>
      </c>
      <c r="D545" t="b">
        <v>0</v>
      </c>
      <c r="E545" t="s">
        <v>24</v>
      </c>
      <c r="F545" t="s">
        <v>30</v>
      </c>
      <c r="G545">
        <v>0.14000000000000001</v>
      </c>
      <c r="H545">
        <v>0.1515</v>
      </c>
      <c r="I545">
        <v>0.54</v>
      </c>
      <c r="J545">
        <v>0.16420000000000001</v>
      </c>
      <c r="K545">
        <v>5</v>
      </c>
      <c r="L545">
        <v>101</v>
      </c>
      <c r="M545">
        <v>106</v>
      </c>
    </row>
    <row r="546" spans="1:13" x14ac:dyDescent="0.3">
      <c r="A546">
        <v>545</v>
      </c>
      <c r="B546" s="1">
        <v>40567</v>
      </c>
      <c r="C546">
        <v>20</v>
      </c>
      <c r="D546" t="b">
        <v>0</v>
      </c>
      <c r="E546" t="s">
        <v>24</v>
      </c>
      <c r="F546" t="s">
        <v>30</v>
      </c>
      <c r="G546">
        <v>0.14000000000000001</v>
      </c>
      <c r="H546">
        <v>0.13639999999999999</v>
      </c>
      <c r="I546">
        <v>0.59</v>
      </c>
      <c r="J546">
        <v>0.19400000000000001</v>
      </c>
      <c r="K546">
        <v>1</v>
      </c>
      <c r="L546">
        <v>80</v>
      </c>
      <c r="M546">
        <v>81</v>
      </c>
    </row>
    <row r="547" spans="1:13" x14ac:dyDescent="0.3">
      <c r="A547">
        <v>546</v>
      </c>
      <c r="B547" s="1">
        <v>40567</v>
      </c>
      <c r="C547">
        <v>21</v>
      </c>
      <c r="D547" t="b">
        <v>0</v>
      </c>
      <c r="E547" t="s">
        <v>24</v>
      </c>
      <c r="F547" t="s">
        <v>30</v>
      </c>
      <c r="G547">
        <v>0.14000000000000001</v>
      </c>
      <c r="H547">
        <v>0.1515</v>
      </c>
      <c r="I547">
        <v>0.63</v>
      </c>
      <c r="J547">
        <v>0.16420000000000001</v>
      </c>
      <c r="K547">
        <v>6</v>
      </c>
      <c r="L547">
        <v>53</v>
      </c>
      <c r="M547">
        <v>59</v>
      </c>
    </row>
    <row r="548" spans="1:13" x14ac:dyDescent="0.3">
      <c r="A548">
        <v>547</v>
      </c>
      <c r="B548" s="1">
        <v>40567</v>
      </c>
      <c r="C548">
        <v>22</v>
      </c>
      <c r="D548" t="b">
        <v>0</v>
      </c>
      <c r="E548" t="s">
        <v>24</v>
      </c>
      <c r="F548" t="s">
        <v>31</v>
      </c>
      <c r="G548">
        <v>0.14000000000000001</v>
      </c>
      <c r="H548">
        <v>0.13639999999999999</v>
      </c>
      <c r="I548">
        <v>0.63</v>
      </c>
      <c r="J548">
        <v>0.22389999999999999</v>
      </c>
      <c r="K548">
        <v>3</v>
      </c>
      <c r="L548">
        <v>32</v>
      </c>
      <c r="M548">
        <v>35</v>
      </c>
    </row>
    <row r="549" spans="1:13" x14ac:dyDescent="0.3">
      <c r="A549">
        <v>548</v>
      </c>
      <c r="B549" s="1">
        <v>40567</v>
      </c>
      <c r="C549">
        <v>23</v>
      </c>
      <c r="D549" t="b">
        <v>0</v>
      </c>
      <c r="E549" t="s">
        <v>24</v>
      </c>
      <c r="F549" t="s">
        <v>31</v>
      </c>
      <c r="G549">
        <v>0.16</v>
      </c>
      <c r="H549">
        <v>0.1515</v>
      </c>
      <c r="I549">
        <v>0.64</v>
      </c>
      <c r="J549">
        <v>0.25369999999999998</v>
      </c>
      <c r="K549">
        <v>3</v>
      </c>
      <c r="L549">
        <v>21</v>
      </c>
      <c r="M549">
        <v>24</v>
      </c>
    </row>
    <row r="550" spans="1:13" x14ac:dyDescent="0.3">
      <c r="A550">
        <v>549</v>
      </c>
      <c r="B550" s="1">
        <v>40568</v>
      </c>
      <c r="C550">
        <v>0</v>
      </c>
      <c r="D550" t="b">
        <v>0</v>
      </c>
      <c r="E550" t="s">
        <v>25</v>
      </c>
      <c r="F550" t="s">
        <v>31</v>
      </c>
      <c r="G550">
        <v>0.16</v>
      </c>
      <c r="H550">
        <v>0.13639999999999999</v>
      </c>
      <c r="I550">
        <v>0.69</v>
      </c>
      <c r="J550">
        <v>0.28360000000000002</v>
      </c>
      <c r="K550">
        <v>3</v>
      </c>
      <c r="L550">
        <v>6</v>
      </c>
      <c r="M550">
        <v>9</v>
      </c>
    </row>
    <row r="551" spans="1:13" x14ac:dyDescent="0.3">
      <c r="A551">
        <v>550</v>
      </c>
      <c r="B551" s="1">
        <v>40568</v>
      </c>
      <c r="C551">
        <v>1</v>
      </c>
      <c r="D551" t="b">
        <v>0</v>
      </c>
      <c r="E551" t="s">
        <v>25</v>
      </c>
      <c r="F551" t="s">
        <v>31</v>
      </c>
      <c r="G551">
        <v>0.16</v>
      </c>
      <c r="H551">
        <v>0.16669999999999999</v>
      </c>
      <c r="I551">
        <v>0.69</v>
      </c>
      <c r="J551">
        <v>0.16420000000000001</v>
      </c>
      <c r="K551">
        <v>0</v>
      </c>
      <c r="L551">
        <v>5</v>
      </c>
      <c r="M551">
        <v>5</v>
      </c>
    </row>
    <row r="552" spans="1:13" x14ac:dyDescent="0.3">
      <c r="A552">
        <v>551</v>
      </c>
      <c r="B552" s="1">
        <v>40568</v>
      </c>
      <c r="C552">
        <v>2</v>
      </c>
      <c r="D552" t="b">
        <v>0</v>
      </c>
      <c r="E552" t="s">
        <v>25</v>
      </c>
      <c r="F552" t="s">
        <v>30</v>
      </c>
      <c r="G552">
        <v>0.16</v>
      </c>
      <c r="H552">
        <v>0.1515</v>
      </c>
      <c r="I552">
        <v>0.69</v>
      </c>
      <c r="J552">
        <v>0.22389999999999999</v>
      </c>
      <c r="K552">
        <v>0</v>
      </c>
      <c r="L552">
        <v>2</v>
      </c>
      <c r="M552">
        <v>2</v>
      </c>
    </row>
    <row r="553" spans="1:13" x14ac:dyDescent="0.3">
      <c r="A553">
        <v>552</v>
      </c>
      <c r="B553" s="1">
        <v>40568</v>
      </c>
      <c r="C553">
        <v>4</v>
      </c>
      <c r="D553" t="b">
        <v>0</v>
      </c>
      <c r="E553" t="s">
        <v>25</v>
      </c>
      <c r="F553" t="s">
        <v>30</v>
      </c>
      <c r="G553">
        <v>0.14000000000000001</v>
      </c>
      <c r="H553">
        <v>0.16669999999999999</v>
      </c>
      <c r="I553">
        <v>0.74</v>
      </c>
      <c r="J553">
        <v>0.1045</v>
      </c>
      <c r="K553">
        <v>0</v>
      </c>
      <c r="L553">
        <v>1</v>
      </c>
      <c r="M553">
        <v>1</v>
      </c>
    </row>
    <row r="554" spans="1:13" x14ac:dyDescent="0.3">
      <c r="A554">
        <v>553</v>
      </c>
      <c r="B554" s="1">
        <v>40568</v>
      </c>
      <c r="C554">
        <v>5</v>
      </c>
      <c r="D554" t="b">
        <v>0</v>
      </c>
      <c r="E554" t="s">
        <v>25</v>
      </c>
      <c r="F554" t="s">
        <v>30</v>
      </c>
      <c r="G554">
        <v>0.14000000000000001</v>
      </c>
      <c r="H554">
        <v>0.13639999999999999</v>
      </c>
      <c r="I554">
        <v>0.74</v>
      </c>
      <c r="J554">
        <v>0.22389999999999999</v>
      </c>
      <c r="K554">
        <v>0</v>
      </c>
      <c r="L554">
        <v>9</v>
      </c>
      <c r="M554">
        <v>9</v>
      </c>
    </row>
    <row r="555" spans="1:13" x14ac:dyDescent="0.3">
      <c r="A555">
        <v>554</v>
      </c>
      <c r="B555" s="1">
        <v>40568</v>
      </c>
      <c r="C555">
        <v>6</v>
      </c>
      <c r="D555" t="b">
        <v>0</v>
      </c>
      <c r="E555" t="s">
        <v>25</v>
      </c>
      <c r="F555" t="s">
        <v>30</v>
      </c>
      <c r="G555">
        <v>0.16</v>
      </c>
      <c r="H555">
        <v>0.18179999999999999</v>
      </c>
      <c r="I555">
        <v>0.74</v>
      </c>
      <c r="J555">
        <v>0.1045</v>
      </c>
      <c r="K555">
        <v>1</v>
      </c>
      <c r="L555">
        <v>35</v>
      </c>
      <c r="M555">
        <v>36</v>
      </c>
    </row>
    <row r="556" spans="1:13" x14ac:dyDescent="0.3">
      <c r="A556">
        <v>555</v>
      </c>
      <c r="B556" s="1">
        <v>40568</v>
      </c>
      <c r="C556">
        <v>7</v>
      </c>
      <c r="D556" t="b">
        <v>0</v>
      </c>
      <c r="E556" t="s">
        <v>25</v>
      </c>
      <c r="F556" t="s">
        <v>30</v>
      </c>
      <c r="G556">
        <v>0.16</v>
      </c>
      <c r="H556">
        <v>0.1515</v>
      </c>
      <c r="I556">
        <v>0.74</v>
      </c>
      <c r="J556">
        <v>0.22389999999999999</v>
      </c>
      <c r="K556">
        <v>5</v>
      </c>
      <c r="L556">
        <v>103</v>
      </c>
      <c r="M556">
        <v>108</v>
      </c>
    </row>
    <row r="557" spans="1:13" x14ac:dyDescent="0.3">
      <c r="A557">
        <v>556</v>
      </c>
      <c r="B557" s="1">
        <v>40568</v>
      </c>
      <c r="C557">
        <v>8</v>
      </c>
      <c r="D557" t="b">
        <v>0</v>
      </c>
      <c r="E557" t="s">
        <v>25</v>
      </c>
      <c r="F557" t="s">
        <v>31</v>
      </c>
      <c r="G557">
        <v>0.16</v>
      </c>
      <c r="H557">
        <v>0.18179999999999999</v>
      </c>
      <c r="I557">
        <v>0.74</v>
      </c>
      <c r="J557">
        <v>0.1343</v>
      </c>
      <c r="K557">
        <v>5</v>
      </c>
      <c r="L557">
        <v>233</v>
      </c>
      <c r="M557">
        <v>238</v>
      </c>
    </row>
    <row r="558" spans="1:13" x14ac:dyDescent="0.3">
      <c r="A558">
        <v>557</v>
      </c>
      <c r="B558" s="1">
        <v>40568</v>
      </c>
      <c r="C558">
        <v>9</v>
      </c>
      <c r="D558" t="b">
        <v>0</v>
      </c>
      <c r="E558" t="s">
        <v>25</v>
      </c>
      <c r="F558" t="s">
        <v>31</v>
      </c>
      <c r="G558">
        <v>0.2</v>
      </c>
      <c r="H558">
        <v>0.2273</v>
      </c>
      <c r="I558">
        <v>0.64</v>
      </c>
      <c r="J558">
        <v>8.9599999999999999E-2</v>
      </c>
      <c r="K558">
        <v>10</v>
      </c>
      <c r="L558">
        <v>134</v>
      </c>
      <c r="M558">
        <v>144</v>
      </c>
    </row>
    <row r="559" spans="1:13" x14ac:dyDescent="0.3">
      <c r="A559">
        <v>558</v>
      </c>
      <c r="B559" s="1">
        <v>40568</v>
      </c>
      <c r="C559">
        <v>10</v>
      </c>
      <c r="D559" t="b">
        <v>0</v>
      </c>
      <c r="E559" t="s">
        <v>25</v>
      </c>
      <c r="F559" t="s">
        <v>31</v>
      </c>
      <c r="G559">
        <v>0.22</v>
      </c>
      <c r="H559">
        <v>0.2424</v>
      </c>
      <c r="I559">
        <v>0.6</v>
      </c>
      <c r="J559">
        <v>0.1045</v>
      </c>
      <c r="K559">
        <v>6</v>
      </c>
      <c r="L559">
        <v>49</v>
      </c>
      <c r="M559">
        <v>55</v>
      </c>
    </row>
    <row r="560" spans="1:13" x14ac:dyDescent="0.3">
      <c r="A560">
        <v>559</v>
      </c>
      <c r="B560" s="1">
        <v>40568</v>
      </c>
      <c r="C560">
        <v>11</v>
      </c>
      <c r="D560" t="b">
        <v>0</v>
      </c>
      <c r="E560" t="s">
        <v>25</v>
      </c>
      <c r="F560" t="s">
        <v>31</v>
      </c>
      <c r="G560">
        <v>0.24</v>
      </c>
      <c r="H560">
        <v>0.2424</v>
      </c>
      <c r="I560">
        <v>0.6</v>
      </c>
      <c r="J560">
        <v>0.1343</v>
      </c>
      <c r="K560">
        <v>6</v>
      </c>
      <c r="L560">
        <v>55</v>
      </c>
      <c r="M560">
        <v>61</v>
      </c>
    </row>
    <row r="561" spans="1:13" x14ac:dyDescent="0.3">
      <c r="A561">
        <v>560</v>
      </c>
      <c r="B561" s="1">
        <v>40568</v>
      </c>
      <c r="C561">
        <v>12</v>
      </c>
      <c r="D561" t="b">
        <v>0</v>
      </c>
      <c r="E561" t="s">
        <v>25</v>
      </c>
      <c r="F561" t="s">
        <v>31</v>
      </c>
      <c r="G561">
        <v>0.26</v>
      </c>
      <c r="H561">
        <v>0.28789999999999999</v>
      </c>
      <c r="I561">
        <v>0.56000000000000005</v>
      </c>
      <c r="J561">
        <v>8.9599999999999999E-2</v>
      </c>
      <c r="K561">
        <v>21</v>
      </c>
      <c r="L561">
        <v>85</v>
      </c>
      <c r="M561">
        <v>106</v>
      </c>
    </row>
    <row r="562" spans="1:13" x14ac:dyDescent="0.3">
      <c r="A562">
        <v>561</v>
      </c>
      <c r="B562" s="1">
        <v>40568</v>
      </c>
      <c r="C562">
        <v>13</v>
      </c>
      <c r="D562" t="b">
        <v>0</v>
      </c>
      <c r="E562" t="s">
        <v>25</v>
      </c>
      <c r="F562" t="s">
        <v>31</v>
      </c>
      <c r="G562">
        <v>0.26</v>
      </c>
      <c r="H562">
        <v>0.2727</v>
      </c>
      <c r="I562">
        <v>0.56000000000000005</v>
      </c>
      <c r="J562">
        <v>0.1343</v>
      </c>
      <c r="K562">
        <v>21</v>
      </c>
      <c r="L562">
        <v>72</v>
      </c>
      <c r="M562">
        <v>93</v>
      </c>
    </row>
    <row r="563" spans="1:13" x14ac:dyDescent="0.3">
      <c r="A563">
        <v>562</v>
      </c>
      <c r="B563" s="1">
        <v>40568</v>
      </c>
      <c r="C563">
        <v>14</v>
      </c>
      <c r="D563" t="b">
        <v>0</v>
      </c>
      <c r="E563" t="s">
        <v>25</v>
      </c>
      <c r="F563" t="s">
        <v>31</v>
      </c>
      <c r="G563">
        <v>0.3</v>
      </c>
      <c r="H563">
        <v>0.33329999999999999</v>
      </c>
      <c r="I563">
        <v>0.45</v>
      </c>
      <c r="J563">
        <v>0</v>
      </c>
      <c r="K563">
        <v>11</v>
      </c>
      <c r="L563">
        <v>57</v>
      </c>
      <c r="M563">
        <v>68</v>
      </c>
    </row>
    <row r="564" spans="1:13" x14ac:dyDescent="0.3">
      <c r="A564">
        <v>563</v>
      </c>
      <c r="B564" s="1">
        <v>40568</v>
      </c>
      <c r="C564">
        <v>15</v>
      </c>
      <c r="D564" t="b">
        <v>0</v>
      </c>
      <c r="E564" t="s">
        <v>25</v>
      </c>
      <c r="F564" t="s">
        <v>31</v>
      </c>
      <c r="G564">
        <v>0.32</v>
      </c>
      <c r="H564">
        <v>0.34849999999999998</v>
      </c>
      <c r="I564">
        <v>0.42</v>
      </c>
      <c r="J564">
        <v>0</v>
      </c>
      <c r="K564">
        <v>21</v>
      </c>
      <c r="L564">
        <v>63</v>
      </c>
      <c r="M564">
        <v>84</v>
      </c>
    </row>
    <row r="565" spans="1:13" x14ac:dyDescent="0.3">
      <c r="A565">
        <v>564</v>
      </c>
      <c r="B565" s="1">
        <v>40568</v>
      </c>
      <c r="C565">
        <v>16</v>
      </c>
      <c r="D565" t="b">
        <v>0</v>
      </c>
      <c r="E565" t="s">
        <v>25</v>
      </c>
      <c r="F565" t="s">
        <v>31</v>
      </c>
      <c r="G565">
        <v>0.32</v>
      </c>
      <c r="H565">
        <v>0.34849999999999998</v>
      </c>
      <c r="I565">
        <v>0.42</v>
      </c>
      <c r="J565">
        <v>0</v>
      </c>
      <c r="K565">
        <v>14</v>
      </c>
      <c r="L565">
        <v>102</v>
      </c>
      <c r="M565">
        <v>116</v>
      </c>
    </row>
    <row r="566" spans="1:13" x14ac:dyDescent="0.3">
      <c r="A566">
        <v>565</v>
      </c>
      <c r="B566" s="1">
        <v>40568</v>
      </c>
      <c r="C566">
        <v>17</v>
      </c>
      <c r="D566" t="b">
        <v>0</v>
      </c>
      <c r="E566" t="s">
        <v>25</v>
      </c>
      <c r="F566" t="s">
        <v>30</v>
      </c>
      <c r="G566">
        <v>0.3</v>
      </c>
      <c r="H566">
        <v>0.33329999999999999</v>
      </c>
      <c r="I566">
        <v>0.45</v>
      </c>
      <c r="J566">
        <v>0</v>
      </c>
      <c r="K566">
        <v>14</v>
      </c>
      <c r="L566">
        <v>208</v>
      </c>
      <c r="M566">
        <v>222</v>
      </c>
    </row>
    <row r="567" spans="1:13" x14ac:dyDescent="0.3">
      <c r="A567">
        <v>566</v>
      </c>
      <c r="B567" s="1">
        <v>40568</v>
      </c>
      <c r="C567">
        <v>18</v>
      </c>
      <c r="D567" t="b">
        <v>0</v>
      </c>
      <c r="E567" t="s">
        <v>25</v>
      </c>
      <c r="F567" t="s">
        <v>31</v>
      </c>
      <c r="G567">
        <v>0.3</v>
      </c>
      <c r="H567">
        <v>0.31819999999999998</v>
      </c>
      <c r="I567">
        <v>0.49</v>
      </c>
      <c r="J567">
        <v>8.9599999999999999E-2</v>
      </c>
      <c r="K567">
        <v>7</v>
      </c>
      <c r="L567">
        <v>218</v>
      </c>
      <c r="M567">
        <v>225</v>
      </c>
    </row>
    <row r="568" spans="1:13" x14ac:dyDescent="0.3">
      <c r="A568">
        <v>567</v>
      </c>
      <c r="B568" s="1">
        <v>40568</v>
      </c>
      <c r="C568">
        <v>19</v>
      </c>
      <c r="D568" t="b">
        <v>0</v>
      </c>
      <c r="E568" t="s">
        <v>25</v>
      </c>
      <c r="F568" t="s">
        <v>31</v>
      </c>
      <c r="G568">
        <v>0.26</v>
      </c>
      <c r="H568">
        <v>0.2576</v>
      </c>
      <c r="I568">
        <v>0.65</v>
      </c>
      <c r="J568">
        <v>0.16420000000000001</v>
      </c>
      <c r="K568">
        <v>13</v>
      </c>
      <c r="L568">
        <v>133</v>
      </c>
      <c r="M568">
        <v>146</v>
      </c>
    </row>
    <row r="569" spans="1:13" x14ac:dyDescent="0.3">
      <c r="A569">
        <v>568</v>
      </c>
      <c r="B569" s="1">
        <v>40568</v>
      </c>
      <c r="C569">
        <v>20</v>
      </c>
      <c r="D569" t="b">
        <v>0</v>
      </c>
      <c r="E569" t="s">
        <v>25</v>
      </c>
      <c r="F569" t="s">
        <v>30</v>
      </c>
      <c r="G569">
        <v>0.24</v>
      </c>
      <c r="H569">
        <v>0.2273</v>
      </c>
      <c r="I569">
        <v>0.65</v>
      </c>
      <c r="J569">
        <v>0.19400000000000001</v>
      </c>
      <c r="K569">
        <v>16</v>
      </c>
      <c r="L569">
        <v>103</v>
      </c>
      <c r="M569">
        <v>119</v>
      </c>
    </row>
    <row r="570" spans="1:13" x14ac:dyDescent="0.3">
      <c r="A570">
        <v>569</v>
      </c>
      <c r="B570" s="1">
        <v>40568</v>
      </c>
      <c r="C570">
        <v>21</v>
      </c>
      <c r="D570" t="b">
        <v>0</v>
      </c>
      <c r="E570" t="s">
        <v>25</v>
      </c>
      <c r="F570" t="s">
        <v>30</v>
      </c>
      <c r="G570">
        <v>0.24</v>
      </c>
      <c r="H570">
        <v>0.2273</v>
      </c>
      <c r="I570">
        <v>0.65</v>
      </c>
      <c r="J570">
        <v>0.19400000000000001</v>
      </c>
      <c r="K570">
        <v>5</v>
      </c>
      <c r="L570">
        <v>40</v>
      </c>
      <c r="M570">
        <v>45</v>
      </c>
    </row>
    <row r="571" spans="1:13" x14ac:dyDescent="0.3">
      <c r="A571">
        <v>570</v>
      </c>
      <c r="B571" s="1">
        <v>40568</v>
      </c>
      <c r="C571">
        <v>22</v>
      </c>
      <c r="D571" t="b">
        <v>0</v>
      </c>
      <c r="E571" t="s">
        <v>25</v>
      </c>
      <c r="F571" t="s">
        <v>30</v>
      </c>
      <c r="G571">
        <v>0.22</v>
      </c>
      <c r="H571">
        <v>0.2273</v>
      </c>
      <c r="I571">
        <v>0.64</v>
      </c>
      <c r="J571">
        <v>0.16420000000000001</v>
      </c>
      <c r="K571">
        <v>4</v>
      </c>
      <c r="L571">
        <v>49</v>
      </c>
      <c r="M571">
        <v>53</v>
      </c>
    </row>
    <row r="572" spans="1:13" x14ac:dyDescent="0.3">
      <c r="A572">
        <v>571</v>
      </c>
      <c r="B572" s="1">
        <v>40568</v>
      </c>
      <c r="C572">
        <v>23</v>
      </c>
      <c r="D572" t="b">
        <v>0</v>
      </c>
      <c r="E572" t="s">
        <v>25</v>
      </c>
      <c r="F572" t="s">
        <v>31</v>
      </c>
      <c r="G572">
        <v>0.22</v>
      </c>
      <c r="H572">
        <v>0.2273</v>
      </c>
      <c r="I572">
        <v>0.64</v>
      </c>
      <c r="J572">
        <v>0.16420000000000001</v>
      </c>
      <c r="K572">
        <v>3</v>
      </c>
      <c r="L572">
        <v>37</v>
      </c>
      <c r="M572">
        <v>40</v>
      </c>
    </row>
    <row r="573" spans="1:13" x14ac:dyDescent="0.3">
      <c r="A573">
        <v>572</v>
      </c>
      <c r="B573" s="1">
        <v>40569</v>
      </c>
      <c r="C573">
        <v>0</v>
      </c>
      <c r="D573" t="b">
        <v>0</v>
      </c>
      <c r="E573" t="s">
        <v>26</v>
      </c>
      <c r="F573" t="s">
        <v>31</v>
      </c>
      <c r="G573">
        <v>0.22</v>
      </c>
      <c r="H573">
        <v>0.2273</v>
      </c>
      <c r="I573">
        <v>0.69</v>
      </c>
      <c r="J573">
        <v>0.1343</v>
      </c>
      <c r="K573">
        <v>3</v>
      </c>
      <c r="L573">
        <v>14</v>
      </c>
      <c r="M573">
        <v>17</v>
      </c>
    </row>
    <row r="574" spans="1:13" x14ac:dyDescent="0.3">
      <c r="A574">
        <v>573</v>
      </c>
      <c r="B574" s="1">
        <v>40569</v>
      </c>
      <c r="C574">
        <v>1</v>
      </c>
      <c r="D574" t="b">
        <v>0</v>
      </c>
      <c r="E574" t="s">
        <v>26</v>
      </c>
      <c r="F574" t="s">
        <v>31</v>
      </c>
      <c r="G574">
        <v>0.24</v>
      </c>
      <c r="H574">
        <v>0.2424</v>
      </c>
      <c r="I574">
        <v>0.65</v>
      </c>
      <c r="J574">
        <v>0.1343</v>
      </c>
      <c r="K574">
        <v>0</v>
      </c>
      <c r="L574">
        <v>5</v>
      </c>
      <c r="M574">
        <v>5</v>
      </c>
    </row>
    <row r="575" spans="1:13" x14ac:dyDescent="0.3">
      <c r="A575">
        <v>574</v>
      </c>
      <c r="B575" s="1">
        <v>40569</v>
      </c>
      <c r="C575">
        <v>2</v>
      </c>
      <c r="D575" t="b">
        <v>0</v>
      </c>
      <c r="E575" t="s">
        <v>26</v>
      </c>
      <c r="F575" t="s">
        <v>32</v>
      </c>
      <c r="G575">
        <v>0.22</v>
      </c>
      <c r="H575">
        <v>0.2273</v>
      </c>
      <c r="I575">
        <v>0.69</v>
      </c>
      <c r="J575">
        <v>0.19400000000000001</v>
      </c>
      <c r="K575">
        <v>3</v>
      </c>
      <c r="L575">
        <v>7</v>
      </c>
      <c r="M575">
        <v>10</v>
      </c>
    </row>
    <row r="576" spans="1:13" x14ac:dyDescent="0.3">
      <c r="A576">
        <v>575</v>
      </c>
      <c r="B576" s="1">
        <v>40569</v>
      </c>
      <c r="C576">
        <v>5</v>
      </c>
      <c r="D576" t="b">
        <v>0</v>
      </c>
      <c r="E576" t="s">
        <v>26</v>
      </c>
      <c r="F576" t="s">
        <v>32</v>
      </c>
      <c r="G576">
        <v>0.2</v>
      </c>
      <c r="H576">
        <v>0.18179999999999999</v>
      </c>
      <c r="I576">
        <v>0.86</v>
      </c>
      <c r="J576">
        <v>0.28360000000000002</v>
      </c>
      <c r="K576">
        <v>0</v>
      </c>
      <c r="L576">
        <v>1</v>
      </c>
      <c r="M576">
        <v>1</v>
      </c>
    </row>
    <row r="577" spans="1:13" x14ac:dyDescent="0.3">
      <c r="A577">
        <v>576</v>
      </c>
      <c r="B577" s="1">
        <v>40569</v>
      </c>
      <c r="C577">
        <v>6</v>
      </c>
      <c r="D577" t="b">
        <v>0</v>
      </c>
      <c r="E577" t="s">
        <v>26</v>
      </c>
      <c r="F577" t="s">
        <v>32</v>
      </c>
      <c r="G577">
        <v>0.2</v>
      </c>
      <c r="H577">
        <v>0.18179999999999999</v>
      </c>
      <c r="I577">
        <v>0.86</v>
      </c>
      <c r="J577">
        <v>0.28360000000000002</v>
      </c>
      <c r="K577">
        <v>0</v>
      </c>
      <c r="L577">
        <v>8</v>
      </c>
      <c r="M577">
        <v>8</v>
      </c>
    </row>
    <row r="578" spans="1:13" x14ac:dyDescent="0.3">
      <c r="A578">
        <v>577</v>
      </c>
      <c r="B578" s="1">
        <v>40569</v>
      </c>
      <c r="C578">
        <v>7</v>
      </c>
      <c r="D578" t="b">
        <v>0</v>
      </c>
      <c r="E578" t="s">
        <v>26</v>
      </c>
      <c r="F578" t="s">
        <v>32</v>
      </c>
      <c r="G578">
        <v>0.22</v>
      </c>
      <c r="H578">
        <v>0.21210000000000001</v>
      </c>
      <c r="I578">
        <v>0.87</v>
      </c>
      <c r="J578">
        <v>0.29849999999999999</v>
      </c>
      <c r="K578">
        <v>1</v>
      </c>
      <c r="L578">
        <v>29</v>
      </c>
      <c r="M578">
        <v>30</v>
      </c>
    </row>
    <row r="579" spans="1:13" x14ac:dyDescent="0.3">
      <c r="A579">
        <v>578</v>
      </c>
      <c r="B579" s="1">
        <v>40569</v>
      </c>
      <c r="C579">
        <v>8</v>
      </c>
      <c r="D579" t="b">
        <v>0</v>
      </c>
      <c r="E579" t="s">
        <v>26</v>
      </c>
      <c r="F579" t="s">
        <v>32</v>
      </c>
      <c r="G579">
        <v>0.22</v>
      </c>
      <c r="H579">
        <v>0.21210000000000001</v>
      </c>
      <c r="I579">
        <v>0.87</v>
      </c>
      <c r="J579">
        <v>0.29849999999999999</v>
      </c>
      <c r="K579">
        <v>3</v>
      </c>
      <c r="L579">
        <v>69</v>
      </c>
      <c r="M579">
        <v>72</v>
      </c>
    </row>
    <row r="580" spans="1:13" x14ac:dyDescent="0.3">
      <c r="A580">
        <v>579</v>
      </c>
      <c r="B580" s="1">
        <v>40569</v>
      </c>
      <c r="C580">
        <v>9</v>
      </c>
      <c r="D580" t="b">
        <v>0</v>
      </c>
      <c r="E580" t="s">
        <v>26</v>
      </c>
      <c r="F580" t="s">
        <v>32</v>
      </c>
      <c r="G580">
        <v>0.22</v>
      </c>
      <c r="H580">
        <v>0.21210000000000001</v>
      </c>
      <c r="I580">
        <v>0.87</v>
      </c>
      <c r="J580">
        <v>0.29849999999999999</v>
      </c>
      <c r="K580">
        <v>3</v>
      </c>
      <c r="L580">
        <v>55</v>
      </c>
      <c r="M580">
        <v>58</v>
      </c>
    </row>
    <row r="581" spans="1:13" x14ac:dyDescent="0.3">
      <c r="A581">
        <v>580</v>
      </c>
      <c r="B581" s="1">
        <v>40569</v>
      </c>
      <c r="C581">
        <v>10</v>
      </c>
      <c r="D581" t="b">
        <v>0</v>
      </c>
      <c r="E581" t="s">
        <v>26</v>
      </c>
      <c r="F581" t="s">
        <v>32</v>
      </c>
      <c r="G581">
        <v>0.22</v>
      </c>
      <c r="H581">
        <v>0.21210000000000001</v>
      </c>
      <c r="I581">
        <v>0.93</v>
      </c>
      <c r="J581">
        <v>0.28360000000000002</v>
      </c>
      <c r="K581">
        <v>2</v>
      </c>
      <c r="L581">
        <v>26</v>
      </c>
      <c r="M581">
        <v>28</v>
      </c>
    </row>
    <row r="582" spans="1:13" x14ac:dyDescent="0.3">
      <c r="A582">
        <v>581</v>
      </c>
      <c r="B582" s="1">
        <v>40569</v>
      </c>
      <c r="C582">
        <v>11</v>
      </c>
      <c r="D582" t="b">
        <v>0</v>
      </c>
      <c r="E582" t="s">
        <v>26</v>
      </c>
      <c r="F582" t="s">
        <v>32</v>
      </c>
      <c r="G582">
        <v>0.22</v>
      </c>
      <c r="H582">
        <v>0.19700000000000001</v>
      </c>
      <c r="I582">
        <v>0.93</v>
      </c>
      <c r="J582">
        <v>0.32840000000000003</v>
      </c>
      <c r="K582">
        <v>6</v>
      </c>
      <c r="L582">
        <v>35</v>
      </c>
      <c r="M582">
        <v>41</v>
      </c>
    </row>
    <row r="583" spans="1:13" x14ac:dyDescent="0.3">
      <c r="A583">
        <v>582</v>
      </c>
      <c r="B583" s="1">
        <v>40569</v>
      </c>
      <c r="C583">
        <v>12</v>
      </c>
      <c r="D583" t="b">
        <v>0</v>
      </c>
      <c r="E583" t="s">
        <v>26</v>
      </c>
      <c r="F583" t="s">
        <v>32</v>
      </c>
      <c r="G583">
        <v>0.22</v>
      </c>
      <c r="H583">
        <v>0.19700000000000001</v>
      </c>
      <c r="I583">
        <v>0.93</v>
      </c>
      <c r="J583">
        <v>0.32840000000000003</v>
      </c>
      <c r="K583">
        <v>7</v>
      </c>
      <c r="L583">
        <v>41</v>
      </c>
      <c r="M583">
        <v>48</v>
      </c>
    </row>
    <row r="584" spans="1:13" x14ac:dyDescent="0.3">
      <c r="A584">
        <v>583</v>
      </c>
      <c r="B584" s="1">
        <v>40569</v>
      </c>
      <c r="C584">
        <v>13</v>
      </c>
      <c r="D584" t="b">
        <v>0</v>
      </c>
      <c r="E584" t="s">
        <v>26</v>
      </c>
      <c r="F584" t="s">
        <v>32</v>
      </c>
      <c r="G584">
        <v>0.22</v>
      </c>
      <c r="H584">
        <v>0.19700000000000001</v>
      </c>
      <c r="I584">
        <v>0.93</v>
      </c>
      <c r="J584">
        <v>0.32840000000000003</v>
      </c>
      <c r="K584">
        <v>4</v>
      </c>
      <c r="L584">
        <v>43</v>
      </c>
      <c r="M584">
        <v>47</v>
      </c>
    </row>
    <row r="585" spans="1:13" x14ac:dyDescent="0.3">
      <c r="A585">
        <v>584</v>
      </c>
      <c r="B585" s="1">
        <v>40569</v>
      </c>
      <c r="C585">
        <v>14</v>
      </c>
      <c r="D585" t="b">
        <v>0</v>
      </c>
      <c r="E585" t="s">
        <v>26</v>
      </c>
      <c r="F585" t="s">
        <v>32</v>
      </c>
      <c r="G585">
        <v>0.22</v>
      </c>
      <c r="H585">
        <v>0.19700000000000001</v>
      </c>
      <c r="I585">
        <v>0.93</v>
      </c>
      <c r="J585">
        <v>0.35820000000000002</v>
      </c>
      <c r="K585">
        <v>0</v>
      </c>
      <c r="L585">
        <v>36</v>
      </c>
      <c r="M585">
        <v>36</v>
      </c>
    </row>
    <row r="586" spans="1:13" x14ac:dyDescent="0.3">
      <c r="A586">
        <v>585</v>
      </c>
      <c r="B586" s="1">
        <v>40569</v>
      </c>
      <c r="C586">
        <v>15</v>
      </c>
      <c r="D586" t="b">
        <v>0</v>
      </c>
      <c r="E586" t="s">
        <v>26</v>
      </c>
      <c r="F586" t="s">
        <v>32</v>
      </c>
      <c r="G586">
        <v>0.22</v>
      </c>
      <c r="H586">
        <v>0.18179999999999999</v>
      </c>
      <c r="I586">
        <v>0.93</v>
      </c>
      <c r="J586">
        <v>0.4627</v>
      </c>
      <c r="K586">
        <v>1</v>
      </c>
      <c r="L586">
        <v>42</v>
      </c>
      <c r="M586">
        <v>43</v>
      </c>
    </row>
    <row r="587" spans="1:13" x14ac:dyDescent="0.3">
      <c r="A587">
        <v>586</v>
      </c>
      <c r="B587" s="1">
        <v>40569</v>
      </c>
      <c r="C587">
        <v>16</v>
      </c>
      <c r="D587" t="b">
        <v>0</v>
      </c>
      <c r="E587" t="s">
        <v>26</v>
      </c>
      <c r="F587" t="s">
        <v>33</v>
      </c>
      <c r="G587">
        <v>0.22</v>
      </c>
      <c r="H587">
        <v>0.19700000000000001</v>
      </c>
      <c r="I587">
        <v>0.93</v>
      </c>
      <c r="J587">
        <v>0.32840000000000003</v>
      </c>
      <c r="K587">
        <v>1</v>
      </c>
      <c r="L587">
        <v>35</v>
      </c>
      <c r="M587">
        <v>36</v>
      </c>
    </row>
    <row r="588" spans="1:13" x14ac:dyDescent="0.3">
      <c r="A588">
        <v>587</v>
      </c>
      <c r="B588" s="1">
        <v>40569</v>
      </c>
      <c r="C588">
        <v>17</v>
      </c>
      <c r="D588" t="b">
        <v>0</v>
      </c>
      <c r="E588" t="s">
        <v>26</v>
      </c>
      <c r="F588" t="s">
        <v>32</v>
      </c>
      <c r="G588">
        <v>0.2</v>
      </c>
      <c r="H588">
        <v>0.18179999999999999</v>
      </c>
      <c r="I588">
        <v>0.93</v>
      </c>
      <c r="J588">
        <v>0.35820000000000002</v>
      </c>
      <c r="K588">
        <v>0</v>
      </c>
      <c r="L588">
        <v>26</v>
      </c>
      <c r="M588">
        <v>26</v>
      </c>
    </row>
    <row r="589" spans="1:13" x14ac:dyDescent="0.3">
      <c r="A589">
        <v>588</v>
      </c>
      <c r="B589" s="1">
        <v>40570</v>
      </c>
      <c r="C589">
        <v>16</v>
      </c>
      <c r="D589" t="b">
        <v>0</v>
      </c>
      <c r="E589" t="s">
        <v>27</v>
      </c>
      <c r="F589" t="s">
        <v>30</v>
      </c>
      <c r="G589">
        <v>0.22</v>
      </c>
      <c r="H589">
        <v>0.2273</v>
      </c>
      <c r="I589">
        <v>0.55000000000000004</v>
      </c>
      <c r="J589">
        <v>0.19400000000000001</v>
      </c>
      <c r="K589">
        <v>1</v>
      </c>
      <c r="L589">
        <v>23</v>
      </c>
      <c r="M589">
        <v>24</v>
      </c>
    </row>
    <row r="590" spans="1:13" x14ac:dyDescent="0.3">
      <c r="A590">
        <v>589</v>
      </c>
      <c r="B590" s="1">
        <v>40570</v>
      </c>
      <c r="C590">
        <v>17</v>
      </c>
      <c r="D590" t="b">
        <v>0</v>
      </c>
      <c r="E590" t="s">
        <v>27</v>
      </c>
      <c r="F590" t="s">
        <v>30</v>
      </c>
      <c r="G590">
        <v>0.22</v>
      </c>
      <c r="H590">
        <v>0.2424</v>
      </c>
      <c r="I590">
        <v>0.55000000000000004</v>
      </c>
      <c r="J590">
        <v>0.1045</v>
      </c>
      <c r="K590">
        <v>2</v>
      </c>
      <c r="L590">
        <v>82</v>
      </c>
      <c r="M590">
        <v>84</v>
      </c>
    </row>
    <row r="591" spans="1:13" x14ac:dyDescent="0.3">
      <c r="A591">
        <v>590</v>
      </c>
      <c r="B591" s="1">
        <v>40570</v>
      </c>
      <c r="C591">
        <v>18</v>
      </c>
      <c r="D591" t="b">
        <v>0</v>
      </c>
      <c r="E591" t="s">
        <v>27</v>
      </c>
      <c r="F591" t="s">
        <v>30</v>
      </c>
      <c r="G591">
        <v>0.2</v>
      </c>
      <c r="H591">
        <v>0.2273</v>
      </c>
      <c r="I591">
        <v>0.69</v>
      </c>
      <c r="J591">
        <v>8.9599999999999999E-2</v>
      </c>
      <c r="K591">
        <v>3</v>
      </c>
      <c r="L591">
        <v>101</v>
      </c>
      <c r="M591">
        <v>104</v>
      </c>
    </row>
    <row r="592" spans="1:13" x14ac:dyDescent="0.3">
      <c r="A592">
        <v>591</v>
      </c>
      <c r="B592" s="1">
        <v>40570</v>
      </c>
      <c r="C592">
        <v>19</v>
      </c>
      <c r="D592" t="b">
        <v>0</v>
      </c>
      <c r="E592" t="s">
        <v>27</v>
      </c>
      <c r="F592" t="s">
        <v>30</v>
      </c>
      <c r="G592">
        <v>0.2</v>
      </c>
      <c r="H592">
        <v>0.2273</v>
      </c>
      <c r="I592">
        <v>0.69</v>
      </c>
      <c r="J592">
        <v>8.9599999999999999E-2</v>
      </c>
      <c r="K592">
        <v>3</v>
      </c>
      <c r="L592">
        <v>76</v>
      </c>
      <c r="M592">
        <v>79</v>
      </c>
    </row>
    <row r="593" spans="1:13" x14ac:dyDescent="0.3">
      <c r="A593">
        <v>592</v>
      </c>
      <c r="B593" s="1">
        <v>40570</v>
      </c>
      <c r="C593">
        <v>20</v>
      </c>
      <c r="D593" t="b">
        <v>0</v>
      </c>
      <c r="E593" t="s">
        <v>27</v>
      </c>
      <c r="F593" t="s">
        <v>30</v>
      </c>
      <c r="G593">
        <v>0.18</v>
      </c>
      <c r="H593">
        <v>0.21210000000000001</v>
      </c>
      <c r="I593">
        <v>0.74</v>
      </c>
      <c r="J593">
        <v>8.9599999999999999E-2</v>
      </c>
      <c r="K593">
        <v>4</v>
      </c>
      <c r="L593">
        <v>55</v>
      </c>
      <c r="M593">
        <v>59</v>
      </c>
    </row>
    <row r="594" spans="1:13" x14ac:dyDescent="0.3">
      <c r="A594">
        <v>593</v>
      </c>
      <c r="B594" s="1">
        <v>40570</v>
      </c>
      <c r="C594">
        <v>21</v>
      </c>
      <c r="D594" t="b">
        <v>0</v>
      </c>
      <c r="E594" t="s">
        <v>27</v>
      </c>
      <c r="F594" t="s">
        <v>30</v>
      </c>
      <c r="G594">
        <v>0.18</v>
      </c>
      <c r="H594">
        <v>0.21210000000000001</v>
      </c>
      <c r="I594">
        <v>0.74</v>
      </c>
      <c r="J594">
        <v>8.9599999999999999E-2</v>
      </c>
      <c r="K594">
        <v>2</v>
      </c>
      <c r="L594">
        <v>36</v>
      </c>
      <c r="M594">
        <v>38</v>
      </c>
    </row>
    <row r="595" spans="1:13" x14ac:dyDescent="0.3">
      <c r="A595">
        <v>594</v>
      </c>
      <c r="B595" s="1">
        <v>40570</v>
      </c>
      <c r="C595">
        <v>22</v>
      </c>
      <c r="D595" t="b">
        <v>0</v>
      </c>
      <c r="E595" t="s">
        <v>27</v>
      </c>
      <c r="F595" t="s">
        <v>30</v>
      </c>
      <c r="G595">
        <v>0.18</v>
      </c>
      <c r="H595">
        <v>0.21210000000000001</v>
      </c>
      <c r="I595">
        <v>0.74</v>
      </c>
      <c r="J595">
        <v>8.9599999999999999E-2</v>
      </c>
      <c r="K595">
        <v>0</v>
      </c>
      <c r="L595">
        <v>27</v>
      </c>
      <c r="M595">
        <v>27</v>
      </c>
    </row>
    <row r="596" spans="1:13" x14ac:dyDescent="0.3">
      <c r="A596">
        <v>595</v>
      </c>
      <c r="B596" s="1">
        <v>40570</v>
      </c>
      <c r="C596">
        <v>23</v>
      </c>
      <c r="D596" t="b">
        <v>0</v>
      </c>
      <c r="E596" t="s">
        <v>27</v>
      </c>
      <c r="F596" t="s">
        <v>30</v>
      </c>
      <c r="G596">
        <v>0.18</v>
      </c>
      <c r="H596">
        <v>0.19700000000000001</v>
      </c>
      <c r="I596">
        <v>0.8</v>
      </c>
      <c r="J596">
        <v>0.16420000000000001</v>
      </c>
      <c r="K596">
        <v>0</v>
      </c>
      <c r="L596">
        <v>16</v>
      </c>
      <c r="M596">
        <v>16</v>
      </c>
    </row>
    <row r="597" spans="1:13" x14ac:dyDescent="0.3">
      <c r="A597">
        <v>596</v>
      </c>
      <c r="B597" s="1">
        <v>40571</v>
      </c>
      <c r="C597">
        <v>0</v>
      </c>
      <c r="D597" t="b">
        <v>0</v>
      </c>
      <c r="E597" t="s">
        <v>28</v>
      </c>
      <c r="F597" t="s">
        <v>31</v>
      </c>
      <c r="G597">
        <v>0.2</v>
      </c>
      <c r="H597">
        <v>0.21210000000000001</v>
      </c>
      <c r="I597">
        <v>0.75</v>
      </c>
      <c r="J597">
        <v>0.1343</v>
      </c>
      <c r="K597">
        <v>0</v>
      </c>
      <c r="L597">
        <v>9</v>
      </c>
      <c r="M597">
        <v>9</v>
      </c>
    </row>
    <row r="598" spans="1:13" x14ac:dyDescent="0.3">
      <c r="A598">
        <v>597</v>
      </c>
      <c r="B598" s="1">
        <v>40571</v>
      </c>
      <c r="C598">
        <v>1</v>
      </c>
      <c r="D598" t="b">
        <v>0</v>
      </c>
      <c r="E598" t="s">
        <v>28</v>
      </c>
      <c r="F598" t="s">
        <v>31</v>
      </c>
      <c r="G598">
        <v>0.2</v>
      </c>
      <c r="H598">
        <v>0.21210000000000001</v>
      </c>
      <c r="I598">
        <v>0.75</v>
      </c>
      <c r="J598">
        <v>0.1343</v>
      </c>
      <c r="K598">
        <v>1</v>
      </c>
      <c r="L598">
        <v>2</v>
      </c>
      <c r="M598">
        <v>3</v>
      </c>
    </row>
    <row r="599" spans="1:13" x14ac:dyDescent="0.3">
      <c r="A599">
        <v>598</v>
      </c>
      <c r="B599" s="1">
        <v>40571</v>
      </c>
      <c r="C599">
        <v>2</v>
      </c>
      <c r="D599" t="b">
        <v>0</v>
      </c>
      <c r="E599" t="s">
        <v>28</v>
      </c>
      <c r="F599" t="s">
        <v>31</v>
      </c>
      <c r="G599">
        <v>0.2</v>
      </c>
      <c r="H599">
        <v>0.21210000000000001</v>
      </c>
      <c r="I599">
        <v>0.75</v>
      </c>
      <c r="J599">
        <v>0.16420000000000001</v>
      </c>
      <c r="K599">
        <v>0</v>
      </c>
      <c r="L599">
        <v>2</v>
      </c>
      <c r="M599">
        <v>2</v>
      </c>
    </row>
    <row r="600" spans="1:13" x14ac:dyDescent="0.3">
      <c r="A600">
        <v>599</v>
      </c>
      <c r="B600" s="1">
        <v>40571</v>
      </c>
      <c r="C600">
        <v>3</v>
      </c>
      <c r="D600" t="b">
        <v>0</v>
      </c>
      <c r="E600" t="s">
        <v>28</v>
      </c>
      <c r="F600" t="s">
        <v>31</v>
      </c>
      <c r="G600">
        <v>0.2</v>
      </c>
      <c r="H600">
        <v>0.2273</v>
      </c>
      <c r="I600">
        <v>0.75</v>
      </c>
      <c r="J600">
        <v>0.1045</v>
      </c>
      <c r="K600">
        <v>1</v>
      </c>
      <c r="L600">
        <v>0</v>
      </c>
      <c r="M600">
        <v>1</v>
      </c>
    </row>
    <row r="601" spans="1:13" x14ac:dyDescent="0.3">
      <c r="A601">
        <v>600</v>
      </c>
      <c r="B601" s="1">
        <v>40571</v>
      </c>
      <c r="C601">
        <v>5</v>
      </c>
      <c r="D601" t="b">
        <v>0</v>
      </c>
      <c r="E601" t="s">
        <v>28</v>
      </c>
      <c r="F601" t="s">
        <v>31</v>
      </c>
      <c r="G601">
        <v>0.18</v>
      </c>
      <c r="H601">
        <v>0.21210000000000001</v>
      </c>
      <c r="I601">
        <v>0.8</v>
      </c>
      <c r="J601">
        <v>0.1045</v>
      </c>
      <c r="K601">
        <v>0</v>
      </c>
      <c r="L601">
        <v>4</v>
      </c>
      <c r="M601">
        <v>4</v>
      </c>
    </row>
    <row r="602" spans="1:13" x14ac:dyDescent="0.3">
      <c r="A602">
        <v>601</v>
      </c>
      <c r="B602" s="1">
        <v>40571</v>
      </c>
      <c r="C602">
        <v>6</v>
      </c>
      <c r="D602" t="b">
        <v>0</v>
      </c>
      <c r="E602" t="s">
        <v>28</v>
      </c>
      <c r="F602" t="s">
        <v>31</v>
      </c>
      <c r="G602">
        <v>0.18</v>
      </c>
      <c r="H602">
        <v>0.19700000000000001</v>
      </c>
      <c r="I602">
        <v>0.8</v>
      </c>
      <c r="J602">
        <v>0.1343</v>
      </c>
      <c r="K602">
        <v>0</v>
      </c>
      <c r="L602">
        <v>16</v>
      </c>
      <c r="M602">
        <v>16</v>
      </c>
    </row>
    <row r="603" spans="1:13" x14ac:dyDescent="0.3">
      <c r="A603">
        <v>602</v>
      </c>
      <c r="B603" s="1">
        <v>40571</v>
      </c>
      <c r="C603">
        <v>7</v>
      </c>
      <c r="D603" t="b">
        <v>0</v>
      </c>
      <c r="E603" t="s">
        <v>28</v>
      </c>
      <c r="F603" t="s">
        <v>31</v>
      </c>
      <c r="G603">
        <v>0.16</v>
      </c>
      <c r="H603">
        <v>0.19700000000000001</v>
      </c>
      <c r="I603">
        <v>0.86</v>
      </c>
      <c r="J603">
        <v>8.9599999999999999E-2</v>
      </c>
      <c r="K603">
        <v>2</v>
      </c>
      <c r="L603">
        <v>58</v>
      </c>
      <c r="M603">
        <v>60</v>
      </c>
    </row>
    <row r="604" spans="1:13" x14ac:dyDescent="0.3">
      <c r="A604">
        <v>603</v>
      </c>
      <c r="B604" s="1">
        <v>40571</v>
      </c>
      <c r="C604">
        <v>8</v>
      </c>
      <c r="D604" t="b">
        <v>0</v>
      </c>
      <c r="E604" t="s">
        <v>28</v>
      </c>
      <c r="F604" t="s">
        <v>31</v>
      </c>
      <c r="G604">
        <v>0.16</v>
      </c>
      <c r="H604">
        <v>0.19700000000000001</v>
      </c>
      <c r="I604">
        <v>0.86</v>
      </c>
      <c r="J604">
        <v>8.9599999999999999E-2</v>
      </c>
      <c r="K604">
        <v>2</v>
      </c>
      <c r="L604">
        <v>155</v>
      </c>
      <c r="M604">
        <v>157</v>
      </c>
    </row>
    <row r="605" spans="1:13" x14ac:dyDescent="0.3">
      <c r="A605">
        <v>604</v>
      </c>
      <c r="B605" s="1">
        <v>40571</v>
      </c>
      <c r="C605">
        <v>9</v>
      </c>
      <c r="D605" t="b">
        <v>0</v>
      </c>
      <c r="E605" t="s">
        <v>28</v>
      </c>
      <c r="F605" t="s">
        <v>32</v>
      </c>
      <c r="G605">
        <v>0.18</v>
      </c>
      <c r="H605">
        <v>0.21210000000000001</v>
      </c>
      <c r="I605">
        <v>0.86</v>
      </c>
      <c r="J605">
        <v>8.9599999999999999E-2</v>
      </c>
      <c r="K605">
        <v>6</v>
      </c>
      <c r="L605">
        <v>95</v>
      </c>
      <c r="M605">
        <v>101</v>
      </c>
    </row>
    <row r="606" spans="1:13" x14ac:dyDescent="0.3">
      <c r="A606">
        <v>605</v>
      </c>
      <c r="B606" s="1">
        <v>40571</v>
      </c>
      <c r="C606">
        <v>10</v>
      </c>
      <c r="D606" t="b">
        <v>0</v>
      </c>
      <c r="E606" t="s">
        <v>28</v>
      </c>
      <c r="F606" t="s">
        <v>32</v>
      </c>
      <c r="G606">
        <v>0.18</v>
      </c>
      <c r="H606">
        <v>0.21210000000000001</v>
      </c>
      <c r="I606">
        <v>0.86</v>
      </c>
      <c r="J606">
        <v>0.1045</v>
      </c>
      <c r="K606">
        <v>0</v>
      </c>
      <c r="L606">
        <v>49</v>
      </c>
      <c r="M606">
        <v>49</v>
      </c>
    </row>
    <row r="607" spans="1:13" x14ac:dyDescent="0.3">
      <c r="A607">
        <v>606</v>
      </c>
      <c r="B607" s="1">
        <v>40571</v>
      </c>
      <c r="C607">
        <v>11</v>
      </c>
      <c r="D607" t="b">
        <v>0</v>
      </c>
      <c r="E607" t="s">
        <v>28</v>
      </c>
      <c r="F607" t="s">
        <v>32</v>
      </c>
      <c r="G607">
        <v>0.18</v>
      </c>
      <c r="H607">
        <v>0.21210000000000001</v>
      </c>
      <c r="I607">
        <v>0.93</v>
      </c>
      <c r="J607">
        <v>0.1045</v>
      </c>
      <c r="K607">
        <v>0</v>
      </c>
      <c r="L607">
        <v>30</v>
      </c>
      <c r="M607">
        <v>30</v>
      </c>
    </row>
    <row r="608" spans="1:13" x14ac:dyDescent="0.3">
      <c r="A608">
        <v>607</v>
      </c>
      <c r="B608" s="1">
        <v>40571</v>
      </c>
      <c r="C608">
        <v>12</v>
      </c>
      <c r="D608" t="b">
        <v>0</v>
      </c>
      <c r="E608" t="s">
        <v>28</v>
      </c>
      <c r="F608" t="s">
        <v>32</v>
      </c>
      <c r="G608">
        <v>0.18</v>
      </c>
      <c r="H608">
        <v>0.21210000000000001</v>
      </c>
      <c r="I608">
        <v>0.93</v>
      </c>
      <c r="J608">
        <v>0.1045</v>
      </c>
      <c r="K608">
        <v>1</v>
      </c>
      <c r="L608">
        <v>28</v>
      </c>
      <c r="M608">
        <v>29</v>
      </c>
    </row>
    <row r="609" spans="1:13" x14ac:dyDescent="0.3">
      <c r="A609">
        <v>608</v>
      </c>
      <c r="B609" s="1">
        <v>40571</v>
      </c>
      <c r="C609">
        <v>13</v>
      </c>
      <c r="D609" t="b">
        <v>0</v>
      </c>
      <c r="E609" t="s">
        <v>28</v>
      </c>
      <c r="F609" t="s">
        <v>32</v>
      </c>
      <c r="G609">
        <v>0.18</v>
      </c>
      <c r="H609">
        <v>0.21210000000000001</v>
      </c>
      <c r="I609">
        <v>0.93</v>
      </c>
      <c r="J609">
        <v>0.1045</v>
      </c>
      <c r="K609">
        <v>0</v>
      </c>
      <c r="L609">
        <v>31</v>
      </c>
      <c r="M609">
        <v>31</v>
      </c>
    </row>
    <row r="610" spans="1:13" x14ac:dyDescent="0.3">
      <c r="A610">
        <v>609</v>
      </c>
      <c r="B610" s="1">
        <v>40571</v>
      </c>
      <c r="C610">
        <v>14</v>
      </c>
      <c r="D610" t="b">
        <v>0</v>
      </c>
      <c r="E610" t="s">
        <v>28</v>
      </c>
      <c r="F610" t="s">
        <v>32</v>
      </c>
      <c r="G610">
        <v>0.22</v>
      </c>
      <c r="H610">
        <v>0.2727</v>
      </c>
      <c r="I610">
        <v>0.8</v>
      </c>
      <c r="J610">
        <v>0</v>
      </c>
      <c r="K610">
        <v>2</v>
      </c>
      <c r="L610">
        <v>36</v>
      </c>
      <c r="M610">
        <v>38</v>
      </c>
    </row>
    <row r="611" spans="1:13" x14ac:dyDescent="0.3">
      <c r="A611">
        <v>610</v>
      </c>
      <c r="B611" s="1">
        <v>40571</v>
      </c>
      <c r="C611">
        <v>15</v>
      </c>
      <c r="D611" t="b">
        <v>0</v>
      </c>
      <c r="E611" t="s">
        <v>28</v>
      </c>
      <c r="F611" t="s">
        <v>31</v>
      </c>
      <c r="G611">
        <v>0.2</v>
      </c>
      <c r="H611">
        <v>0.2576</v>
      </c>
      <c r="I611">
        <v>0.86</v>
      </c>
      <c r="J611">
        <v>0</v>
      </c>
      <c r="K611">
        <v>1</v>
      </c>
      <c r="L611">
        <v>40</v>
      </c>
      <c r="M611">
        <v>41</v>
      </c>
    </row>
  </sheetData>
  <conditionalFormatting sqref="F1:F1048576">
    <cfRule type="containsText" dxfId="18" priority="1" operator="containsText" text="Red Alert">
      <formula>NOT(ISERROR(SEARCH("Red Alert",F1)))</formula>
    </cfRule>
    <cfRule type="containsText" dxfId="17" priority="2" operator="containsText" text="Orange Alert">
      <formula>NOT(ISERROR(SEARCH("Orange Alert",F1)))</formula>
    </cfRule>
    <cfRule type="containsText" dxfId="16" priority="3" operator="containsText" text="Yellow Alert">
      <formula>NOT(ISERROR(SEARCH("Yellow Alert",F1)))</formula>
    </cfRule>
    <cfRule type="containsText" dxfId="15" priority="4" operator="containsText" text="Normal">
      <formula>NOT(ISERROR(SEARCH("Normal",F1)))</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8240E-EF88-4B6A-9C0E-B88D0F994C81}">
  <sheetPr codeName="Sheet8"/>
  <dimension ref="A1:T1001"/>
  <sheetViews>
    <sheetView topLeftCell="H1" workbookViewId="0">
      <selection activeCell="U23" sqref="U23"/>
    </sheetView>
  </sheetViews>
  <sheetFormatPr defaultRowHeight="14.4" x14ac:dyDescent="0.3"/>
  <cols>
    <col min="1" max="1" width="9" bestFit="1" customWidth="1"/>
    <col min="2" max="2" width="10.33203125" bestFit="1" customWidth="1"/>
    <col min="3" max="3" width="7.21875" bestFit="1" customWidth="1"/>
    <col min="4" max="4" width="9.6640625" bestFit="1" customWidth="1"/>
    <col min="5" max="5" width="10.88671875" bestFit="1" customWidth="1"/>
    <col min="6" max="6" width="12.33203125" bestFit="1" customWidth="1"/>
    <col min="7" max="7" width="7.88671875" bestFit="1" customWidth="1"/>
    <col min="8" max="8" width="16.44140625" bestFit="1" customWidth="1"/>
    <col min="9" max="9" width="11" bestFit="1" customWidth="1"/>
    <col min="10" max="10" width="12.6640625" bestFit="1" customWidth="1"/>
    <col min="11" max="11" width="18.77734375" bestFit="1" customWidth="1"/>
    <col min="12" max="12" width="22.109375" bestFit="1" customWidth="1"/>
    <col min="13" max="13" width="13" bestFit="1" customWidth="1"/>
    <col min="14" max="14" width="10.77734375" bestFit="1" customWidth="1"/>
    <col min="15" max="15" width="15.33203125" bestFit="1" customWidth="1"/>
    <col min="16" max="16" width="15.6640625" bestFit="1" customWidth="1"/>
    <col min="18" max="18" width="20.109375" bestFit="1" customWidth="1"/>
    <col min="19" max="19" width="23.21875" bestFit="1" customWidth="1"/>
    <col min="20" max="20" width="10" bestFit="1" customWidth="1"/>
  </cols>
  <sheetData>
    <row r="1" spans="1:20" x14ac:dyDescent="0.3">
      <c r="A1" t="s">
        <v>0</v>
      </c>
      <c r="B1" t="s">
        <v>16</v>
      </c>
      <c r="C1" t="s">
        <v>41</v>
      </c>
      <c r="D1" t="s">
        <v>17</v>
      </c>
      <c r="E1" t="s">
        <v>18</v>
      </c>
      <c r="F1" t="s">
        <v>19</v>
      </c>
      <c r="G1" t="s">
        <v>20</v>
      </c>
      <c r="H1" t="s">
        <v>34</v>
      </c>
      <c r="I1" t="s">
        <v>21</v>
      </c>
      <c r="J1" t="s">
        <v>22</v>
      </c>
      <c r="K1" t="s">
        <v>36</v>
      </c>
      <c r="L1" t="s">
        <v>35</v>
      </c>
      <c r="M1" t="s">
        <v>42</v>
      </c>
      <c r="N1" t="s">
        <v>82</v>
      </c>
      <c r="O1" t="s">
        <v>83</v>
      </c>
      <c r="P1" t="s">
        <v>89</v>
      </c>
    </row>
    <row r="2" spans="1:20" x14ac:dyDescent="0.3">
      <c r="A2">
        <v>1</v>
      </c>
      <c r="B2" s="1">
        <v>40544</v>
      </c>
      <c r="C2">
        <v>0</v>
      </c>
      <c r="D2" t="b">
        <v>0</v>
      </c>
      <c r="E2" t="s">
        <v>29</v>
      </c>
      <c r="F2" t="s">
        <v>30</v>
      </c>
      <c r="G2">
        <v>0.24</v>
      </c>
      <c r="H2">
        <v>0.28789999999999999</v>
      </c>
      <c r="I2">
        <v>0.81</v>
      </c>
      <c r="J2">
        <v>0</v>
      </c>
      <c r="K2">
        <v>3</v>
      </c>
      <c r="L2">
        <v>13</v>
      </c>
      <c r="M2">
        <v>16</v>
      </c>
      <c r="N2" t="s">
        <v>84</v>
      </c>
      <c r="O2" t="s">
        <v>85</v>
      </c>
      <c r="P2" t="s">
        <v>90</v>
      </c>
      <c r="R2" s="36" t="s">
        <v>58</v>
      </c>
      <c r="S2" s="36"/>
      <c r="T2" s="36"/>
    </row>
    <row r="3" spans="1:20" x14ac:dyDescent="0.3">
      <c r="A3">
        <v>2</v>
      </c>
      <c r="B3" s="1">
        <v>40544</v>
      </c>
      <c r="C3">
        <v>1</v>
      </c>
      <c r="D3" t="b">
        <v>0</v>
      </c>
      <c r="E3" t="s">
        <v>29</v>
      </c>
      <c r="F3" t="s">
        <v>30</v>
      </c>
      <c r="G3">
        <v>0.22</v>
      </c>
      <c r="H3">
        <v>0.2727</v>
      </c>
      <c r="I3">
        <v>0.8</v>
      </c>
      <c r="J3">
        <v>0</v>
      </c>
      <c r="K3">
        <v>8</v>
      </c>
      <c r="L3">
        <v>32</v>
      </c>
      <c r="M3">
        <v>40</v>
      </c>
      <c r="N3" t="s">
        <v>84</v>
      </c>
      <c r="O3" t="s">
        <v>85</v>
      </c>
      <c r="P3" t="s">
        <v>90</v>
      </c>
      <c r="R3" s="36"/>
      <c r="S3" s="36"/>
      <c r="T3" s="36"/>
    </row>
    <row r="4" spans="1:20" x14ac:dyDescent="0.3">
      <c r="A4">
        <v>3</v>
      </c>
      <c r="B4" s="1">
        <v>40544</v>
      </c>
      <c r="C4">
        <v>2</v>
      </c>
      <c r="D4" t="b">
        <v>0</v>
      </c>
      <c r="E4" t="s">
        <v>29</v>
      </c>
      <c r="F4" t="s">
        <v>30</v>
      </c>
      <c r="G4">
        <v>0.22</v>
      </c>
      <c r="H4">
        <v>0.2727</v>
      </c>
      <c r="I4">
        <v>0.8</v>
      </c>
      <c r="J4">
        <v>0</v>
      </c>
      <c r="K4">
        <v>5</v>
      </c>
      <c r="L4">
        <v>27</v>
      </c>
      <c r="M4">
        <v>32</v>
      </c>
      <c r="N4" t="s">
        <v>84</v>
      </c>
      <c r="O4" t="s">
        <v>85</v>
      </c>
      <c r="P4" t="s">
        <v>90</v>
      </c>
    </row>
    <row r="5" spans="1:20" x14ac:dyDescent="0.3">
      <c r="A5">
        <v>4</v>
      </c>
      <c r="B5" s="1">
        <v>40544</v>
      </c>
      <c r="C5">
        <v>3</v>
      </c>
      <c r="D5" t="b">
        <v>0</v>
      </c>
      <c r="E5" t="s">
        <v>29</v>
      </c>
      <c r="F5" t="s">
        <v>30</v>
      </c>
      <c r="G5">
        <v>0.24</v>
      </c>
      <c r="H5">
        <v>0.28789999999999999</v>
      </c>
      <c r="I5">
        <v>0.75</v>
      </c>
      <c r="J5">
        <v>0</v>
      </c>
      <c r="K5">
        <v>3</v>
      </c>
      <c r="L5">
        <v>10</v>
      </c>
      <c r="M5">
        <v>13</v>
      </c>
      <c r="N5" t="s">
        <v>84</v>
      </c>
      <c r="O5" t="s">
        <v>85</v>
      </c>
      <c r="P5" t="s">
        <v>90</v>
      </c>
      <c r="R5" s="34" t="s">
        <v>37</v>
      </c>
      <c r="S5" s="34" t="s">
        <v>38</v>
      </c>
      <c r="T5" s="34" t="s">
        <v>43</v>
      </c>
    </row>
    <row r="6" spans="1:20" x14ac:dyDescent="0.3">
      <c r="A6">
        <v>5</v>
      </c>
      <c r="B6" s="1">
        <v>40544</v>
      </c>
      <c r="C6">
        <v>4</v>
      </c>
      <c r="D6" t="b">
        <v>0</v>
      </c>
      <c r="E6" t="s">
        <v>29</v>
      </c>
      <c r="F6" t="s">
        <v>30</v>
      </c>
      <c r="G6">
        <v>0.24</v>
      </c>
      <c r="H6">
        <v>0.28789999999999999</v>
      </c>
      <c r="I6">
        <v>0.75</v>
      </c>
      <c r="J6">
        <v>0</v>
      </c>
      <c r="K6">
        <v>0</v>
      </c>
      <c r="L6">
        <v>1</v>
      </c>
      <c r="M6">
        <v>1</v>
      </c>
      <c r="N6" t="s">
        <v>84</v>
      </c>
      <c r="O6" t="s">
        <v>85</v>
      </c>
      <c r="P6" t="s">
        <v>90</v>
      </c>
      <c r="R6" s="35">
        <f>SUM(K2:K1001)</f>
        <v>4921</v>
      </c>
      <c r="S6" s="35">
        <f>SUM(L2:L1001)</f>
        <v>53383</v>
      </c>
      <c r="T6" s="35">
        <f>SUM(M2:M1001)</f>
        <v>58304</v>
      </c>
    </row>
    <row r="7" spans="1:20" x14ac:dyDescent="0.3">
      <c r="A7">
        <v>6</v>
      </c>
      <c r="B7" s="1">
        <v>40544</v>
      </c>
      <c r="C7">
        <v>5</v>
      </c>
      <c r="D7" t="b">
        <v>0</v>
      </c>
      <c r="E7" t="s">
        <v>29</v>
      </c>
      <c r="F7" t="s">
        <v>31</v>
      </c>
      <c r="G7">
        <v>0.24</v>
      </c>
      <c r="H7">
        <v>0.2576</v>
      </c>
      <c r="I7">
        <v>0.75</v>
      </c>
      <c r="J7">
        <v>8.9599999999999999E-2</v>
      </c>
      <c r="K7">
        <v>0</v>
      </c>
      <c r="L7">
        <v>1</v>
      </c>
      <c r="M7">
        <v>1</v>
      </c>
      <c r="N7" t="s">
        <v>84</v>
      </c>
      <c r="O7" t="s">
        <v>85</v>
      </c>
      <c r="P7" t="s">
        <v>91</v>
      </c>
      <c r="R7" s="2"/>
      <c r="S7" s="2"/>
      <c r="T7" s="2"/>
    </row>
    <row r="8" spans="1:20" x14ac:dyDescent="0.3">
      <c r="A8">
        <v>7</v>
      </c>
      <c r="B8" s="1">
        <v>40544</v>
      </c>
      <c r="C8">
        <v>6</v>
      </c>
      <c r="D8" t="b">
        <v>0</v>
      </c>
      <c r="E8" t="s">
        <v>29</v>
      </c>
      <c r="F8" t="s">
        <v>30</v>
      </c>
      <c r="G8">
        <v>0.22</v>
      </c>
      <c r="H8">
        <v>0.2727</v>
      </c>
      <c r="I8">
        <v>0.8</v>
      </c>
      <c r="J8">
        <v>0</v>
      </c>
      <c r="K8">
        <v>2</v>
      </c>
      <c r="L8">
        <v>0</v>
      </c>
      <c r="M8">
        <v>2</v>
      </c>
      <c r="N8" t="s">
        <v>84</v>
      </c>
      <c r="O8" t="s">
        <v>85</v>
      </c>
      <c r="P8" t="s">
        <v>90</v>
      </c>
      <c r="R8" s="34" t="s">
        <v>39</v>
      </c>
      <c r="S8" s="34" t="s">
        <v>40</v>
      </c>
      <c r="T8" s="34" t="s">
        <v>44</v>
      </c>
    </row>
    <row r="9" spans="1:20" x14ac:dyDescent="0.3">
      <c r="A9">
        <v>8</v>
      </c>
      <c r="B9" s="1">
        <v>40544</v>
      </c>
      <c r="C9">
        <v>7</v>
      </c>
      <c r="D9" t="b">
        <v>0</v>
      </c>
      <c r="E9" t="s">
        <v>29</v>
      </c>
      <c r="F9" t="s">
        <v>30</v>
      </c>
      <c r="G9">
        <v>0.2</v>
      </c>
      <c r="H9">
        <v>0.2576</v>
      </c>
      <c r="I9">
        <v>0.86</v>
      </c>
      <c r="J9">
        <v>0</v>
      </c>
      <c r="K9">
        <v>1</v>
      </c>
      <c r="L9">
        <v>2</v>
      </c>
      <c r="M9">
        <v>3</v>
      </c>
      <c r="N9" t="s">
        <v>84</v>
      </c>
      <c r="O9" t="s">
        <v>86</v>
      </c>
      <c r="P9" t="s">
        <v>90</v>
      </c>
      <c r="R9" s="35">
        <f>AVERAGE(K2:K1001)</f>
        <v>4.9210000000000003</v>
      </c>
      <c r="S9" s="35">
        <f>AVERAGE(L2:L1001)</f>
        <v>53.383000000000003</v>
      </c>
      <c r="T9" s="35">
        <f>AVERAGE(M2:M1001)</f>
        <v>58.304000000000002</v>
      </c>
    </row>
    <row r="10" spans="1:20" x14ac:dyDescent="0.3">
      <c r="A10">
        <v>9</v>
      </c>
      <c r="B10" s="1">
        <v>40544</v>
      </c>
      <c r="C10">
        <v>8</v>
      </c>
      <c r="D10" t="b">
        <v>0</v>
      </c>
      <c r="E10" t="s">
        <v>29</v>
      </c>
      <c r="F10" t="s">
        <v>30</v>
      </c>
      <c r="G10">
        <v>0.24</v>
      </c>
      <c r="H10">
        <v>0</v>
      </c>
      <c r="I10">
        <v>0.75</v>
      </c>
      <c r="J10">
        <v>0</v>
      </c>
      <c r="K10">
        <v>1</v>
      </c>
      <c r="L10">
        <v>7</v>
      </c>
      <c r="M10">
        <v>8</v>
      </c>
      <c r="N10" t="s">
        <v>84</v>
      </c>
      <c r="O10" t="s">
        <v>86</v>
      </c>
      <c r="P10" t="s">
        <v>90</v>
      </c>
      <c r="R10" s="2"/>
      <c r="S10" s="2"/>
      <c r="T10" s="2"/>
    </row>
    <row r="11" spans="1:20" x14ac:dyDescent="0.3">
      <c r="A11">
        <v>10</v>
      </c>
      <c r="B11" s="1">
        <v>40544</v>
      </c>
      <c r="C11">
        <v>9</v>
      </c>
      <c r="D11" t="b">
        <v>0</v>
      </c>
      <c r="E11" t="s">
        <v>29</v>
      </c>
      <c r="F11" t="s">
        <v>30</v>
      </c>
      <c r="G11">
        <v>0.32</v>
      </c>
      <c r="H11">
        <v>0.34849999999999998</v>
      </c>
      <c r="I11">
        <v>0.76</v>
      </c>
      <c r="J11">
        <v>0</v>
      </c>
      <c r="K11">
        <v>8</v>
      </c>
      <c r="L11">
        <v>6</v>
      </c>
      <c r="M11">
        <v>14</v>
      </c>
      <c r="N11" t="s">
        <v>84</v>
      </c>
      <c r="O11" t="s">
        <v>86</v>
      </c>
      <c r="P11" t="s">
        <v>90</v>
      </c>
      <c r="R11" s="34" t="s">
        <v>45</v>
      </c>
      <c r="S11" s="34" t="s">
        <v>46</v>
      </c>
      <c r="T11" s="34" t="s">
        <v>47</v>
      </c>
    </row>
    <row r="12" spans="1:20" x14ac:dyDescent="0.3">
      <c r="A12">
        <v>11</v>
      </c>
      <c r="B12" s="1">
        <v>40544</v>
      </c>
      <c r="C12">
        <v>10</v>
      </c>
      <c r="D12" t="b">
        <v>0</v>
      </c>
      <c r="E12" t="s">
        <v>29</v>
      </c>
      <c r="F12" t="s">
        <v>30</v>
      </c>
      <c r="G12">
        <v>0.38</v>
      </c>
      <c r="H12">
        <v>0.39389999999999997</v>
      </c>
      <c r="I12">
        <v>0.76</v>
      </c>
      <c r="J12">
        <v>0.25369999999999998</v>
      </c>
      <c r="K12">
        <v>12</v>
      </c>
      <c r="L12">
        <v>24</v>
      </c>
      <c r="M12">
        <v>36</v>
      </c>
      <c r="N12" t="s">
        <v>84</v>
      </c>
      <c r="O12" t="s">
        <v>85</v>
      </c>
      <c r="P12" t="s">
        <v>90</v>
      </c>
      <c r="R12" s="35">
        <f>MIN(K2:K1001)</f>
        <v>0</v>
      </c>
      <c r="S12" s="35">
        <f>MIN(L2:L1001)</f>
        <v>0</v>
      </c>
      <c r="T12" s="35">
        <f>MIN(M2:M1001)</f>
        <v>1</v>
      </c>
    </row>
    <row r="13" spans="1:20" x14ac:dyDescent="0.3">
      <c r="A13">
        <v>12</v>
      </c>
      <c r="B13" s="1">
        <v>40544</v>
      </c>
      <c r="C13">
        <v>11</v>
      </c>
      <c r="D13" t="b">
        <v>0</v>
      </c>
      <c r="E13" t="s">
        <v>29</v>
      </c>
      <c r="F13" t="s">
        <v>30</v>
      </c>
      <c r="G13">
        <v>0.36</v>
      </c>
      <c r="H13">
        <v>0.33329999999999999</v>
      </c>
      <c r="I13">
        <v>0.81</v>
      </c>
      <c r="J13">
        <v>0.28360000000000002</v>
      </c>
      <c r="K13">
        <v>26</v>
      </c>
      <c r="L13">
        <v>30</v>
      </c>
      <c r="M13">
        <v>56</v>
      </c>
      <c r="N13" t="s">
        <v>84</v>
      </c>
      <c r="O13" t="s">
        <v>85</v>
      </c>
      <c r="P13" t="s">
        <v>90</v>
      </c>
      <c r="R13" s="2"/>
      <c r="S13" s="2"/>
      <c r="T13" s="2"/>
    </row>
    <row r="14" spans="1:20" x14ac:dyDescent="0.3">
      <c r="A14">
        <v>13</v>
      </c>
      <c r="B14" s="1">
        <v>40544</v>
      </c>
      <c r="C14">
        <v>12</v>
      </c>
      <c r="D14" t="b">
        <v>0</v>
      </c>
      <c r="E14" t="s">
        <v>29</v>
      </c>
      <c r="F14" t="s">
        <v>30</v>
      </c>
      <c r="G14">
        <v>0.42</v>
      </c>
      <c r="H14">
        <v>0.42420000000000002</v>
      </c>
      <c r="I14">
        <v>0.77</v>
      </c>
      <c r="J14">
        <v>0.28360000000000002</v>
      </c>
      <c r="K14">
        <v>29</v>
      </c>
      <c r="L14">
        <v>55</v>
      </c>
      <c r="M14">
        <v>84</v>
      </c>
      <c r="N14" t="s">
        <v>84</v>
      </c>
      <c r="O14" t="s">
        <v>85</v>
      </c>
      <c r="P14" t="s">
        <v>90</v>
      </c>
      <c r="R14" s="34" t="s">
        <v>48</v>
      </c>
      <c r="S14" s="34" t="s">
        <v>49</v>
      </c>
      <c r="T14" s="34" t="s">
        <v>50</v>
      </c>
    </row>
    <row r="15" spans="1:20" x14ac:dyDescent="0.3">
      <c r="A15">
        <v>14</v>
      </c>
      <c r="B15" s="1">
        <v>40544</v>
      </c>
      <c r="C15">
        <v>13</v>
      </c>
      <c r="D15" t="b">
        <v>0</v>
      </c>
      <c r="E15" t="s">
        <v>29</v>
      </c>
      <c r="F15" t="s">
        <v>31</v>
      </c>
      <c r="G15">
        <v>0.46</v>
      </c>
      <c r="H15">
        <v>0.45450000000000002</v>
      </c>
      <c r="I15">
        <v>0.72</v>
      </c>
      <c r="J15">
        <v>0.29849999999999999</v>
      </c>
      <c r="K15">
        <v>47</v>
      </c>
      <c r="L15">
        <v>47</v>
      </c>
      <c r="M15">
        <v>94</v>
      </c>
      <c r="N15" t="s">
        <v>84</v>
      </c>
      <c r="O15" t="s">
        <v>85</v>
      </c>
      <c r="P15" t="s">
        <v>91</v>
      </c>
      <c r="R15" s="35">
        <f>MAX(K2:K1001)</f>
        <v>62</v>
      </c>
      <c r="S15" s="35">
        <f>MAX(L2:L1001)</f>
        <v>247</v>
      </c>
      <c r="T15" s="35">
        <f>MAX(M2:M1001)</f>
        <v>249</v>
      </c>
    </row>
    <row r="16" spans="1:20" x14ac:dyDescent="0.3">
      <c r="A16">
        <v>15</v>
      </c>
      <c r="B16" s="1">
        <v>40544</v>
      </c>
      <c r="C16">
        <v>14</v>
      </c>
      <c r="D16" t="b">
        <v>0</v>
      </c>
      <c r="E16" t="s">
        <v>29</v>
      </c>
      <c r="F16" t="s">
        <v>31</v>
      </c>
      <c r="G16">
        <v>0.46</v>
      </c>
      <c r="H16">
        <v>0.45450000000000002</v>
      </c>
      <c r="I16">
        <v>0.72</v>
      </c>
      <c r="J16">
        <v>0.28360000000000002</v>
      </c>
      <c r="K16">
        <v>35</v>
      </c>
      <c r="L16">
        <v>71</v>
      </c>
      <c r="M16">
        <v>106</v>
      </c>
      <c r="N16" t="s">
        <v>84</v>
      </c>
      <c r="O16" t="s">
        <v>85</v>
      </c>
      <c r="P16" t="s">
        <v>91</v>
      </c>
    </row>
    <row r="17" spans="1:19" x14ac:dyDescent="0.3">
      <c r="A17">
        <v>16</v>
      </c>
      <c r="B17" s="1">
        <v>40544</v>
      </c>
      <c r="C17">
        <v>15</v>
      </c>
      <c r="D17" t="b">
        <v>0</v>
      </c>
      <c r="E17" t="s">
        <v>29</v>
      </c>
      <c r="F17" t="s">
        <v>31</v>
      </c>
      <c r="G17">
        <v>0.44</v>
      </c>
      <c r="H17">
        <v>0.43940000000000001</v>
      </c>
      <c r="I17">
        <v>0.77</v>
      </c>
      <c r="J17">
        <v>0.29849999999999999</v>
      </c>
      <c r="K17">
        <v>40</v>
      </c>
      <c r="L17">
        <v>70</v>
      </c>
      <c r="M17">
        <v>110</v>
      </c>
      <c r="N17" t="s">
        <v>84</v>
      </c>
      <c r="O17" t="s">
        <v>85</v>
      </c>
      <c r="P17" t="s">
        <v>91</v>
      </c>
    </row>
    <row r="18" spans="1:19" x14ac:dyDescent="0.3">
      <c r="A18">
        <v>17</v>
      </c>
      <c r="B18" s="1">
        <v>40544</v>
      </c>
      <c r="C18">
        <v>16</v>
      </c>
      <c r="D18" t="b">
        <v>0</v>
      </c>
      <c r="E18" t="s">
        <v>29</v>
      </c>
      <c r="F18" t="s">
        <v>31</v>
      </c>
      <c r="G18">
        <v>0.42</v>
      </c>
      <c r="H18">
        <v>0.42420000000000002</v>
      </c>
      <c r="I18">
        <v>0.82</v>
      </c>
      <c r="J18">
        <v>0.29849999999999999</v>
      </c>
      <c r="K18">
        <v>41</v>
      </c>
      <c r="L18">
        <v>52</v>
      </c>
      <c r="M18">
        <v>93</v>
      </c>
      <c r="N18" t="s">
        <v>84</v>
      </c>
      <c r="O18" t="s">
        <v>85</v>
      </c>
      <c r="P18" t="s">
        <v>91</v>
      </c>
      <c r="R18" s="34" t="s">
        <v>51</v>
      </c>
      <c r="S18" s="34" t="s">
        <v>52</v>
      </c>
    </row>
    <row r="19" spans="1:19" x14ac:dyDescent="0.3">
      <c r="A19">
        <v>18</v>
      </c>
      <c r="B19" s="1">
        <v>40544</v>
      </c>
      <c r="C19">
        <v>17</v>
      </c>
      <c r="D19" t="b">
        <v>0</v>
      </c>
      <c r="E19" t="s">
        <v>29</v>
      </c>
      <c r="F19" t="s">
        <v>31</v>
      </c>
      <c r="G19">
        <v>0.44</v>
      </c>
      <c r="H19">
        <v>0</v>
      </c>
      <c r="I19">
        <v>0.82</v>
      </c>
      <c r="J19">
        <v>0.28360000000000002</v>
      </c>
      <c r="K19">
        <v>15</v>
      </c>
      <c r="L19">
        <v>52</v>
      </c>
      <c r="M19">
        <v>67</v>
      </c>
      <c r="N19" t="s">
        <v>84</v>
      </c>
      <c r="O19" t="s">
        <v>87</v>
      </c>
      <c r="P19" t="s">
        <v>91</v>
      </c>
      <c r="R19" s="35">
        <f>SUM(C2:C1001)</f>
        <v>11753</v>
      </c>
      <c r="S19" s="35">
        <f>COUNT(C2:C1001)</f>
        <v>1000</v>
      </c>
    </row>
    <row r="20" spans="1:19" x14ac:dyDescent="0.3">
      <c r="A20">
        <v>19</v>
      </c>
      <c r="B20" s="1">
        <v>40544</v>
      </c>
      <c r="C20">
        <v>18</v>
      </c>
      <c r="D20" t="b">
        <v>0</v>
      </c>
      <c r="E20" t="s">
        <v>29</v>
      </c>
      <c r="F20" t="s">
        <v>32</v>
      </c>
      <c r="G20">
        <v>0.42</v>
      </c>
      <c r="H20">
        <v>0.42420000000000002</v>
      </c>
      <c r="I20">
        <v>0.88</v>
      </c>
      <c r="J20">
        <v>0.25369999999999998</v>
      </c>
      <c r="K20">
        <v>9</v>
      </c>
      <c r="L20">
        <v>26</v>
      </c>
      <c r="M20">
        <v>35</v>
      </c>
      <c r="N20" t="s">
        <v>84</v>
      </c>
      <c r="O20" t="s">
        <v>87</v>
      </c>
      <c r="P20" t="s">
        <v>92</v>
      </c>
      <c r="R20" s="2"/>
      <c r="S20" s="2"/>
    </row>
    <row r="21" spans="1:19" x14ac:dyDescent="0.3">
      <c r="A21">
        <v>20</v>
      </c>
      <c r="B21" s="1">
        <v>40544</v>
      </c>
      <c r="C21">
        <v>19</v>
      </c>
      <c r="D21" t="b">
        <v>0</v>
      </c>
      <c r="E21" t="s">
        <v>29</v>
      </c>
      <c r="F21" t="s">
        <v>32</v>
      </c>
      <c r="G21">
        <v>0.42</v>
      </c>
      <c r="H21">
        <v>0.42420000000000002</v>
      </c>
      <c r="I21">
        <v>0.88</v>
      </c>
      <c r="J21">
        <v>0.25369999999999998</v>
      </c>
      <c r="K21">
        <v>6</v>
      </c>
      <c r="L21">
        <v>31</v>
      </c>
      <c r="M21">
        <v>37</v>
      </c>
      <c r="N21" t="s">
        <v>84</v>
      </c>
      <c r="O21" t="s">
        <v>87</v>
      </c>
      <c r="P21" t="s">
        <v>92</v>
      </c>
      <c r="R21" s="34" t="s">
        <v>53</v>
      </c>
      <c r="S21" s="34" t="s">
        <v>54</v>
      </c>
    </row>
    <row r="22" spans="1:19" x14ac:dyDescent="0.3">
      <c r="A22">
        <v>21</v>
      </c>
      <c r="B22" s="1">
        <v>40544</v>
      </c>
      <c r="C22">
        <v>20</v>
      </c>
      <c r="D22" t="b">
        <v>0</v>
      </c>
      <c r="E22" t="s">
        <v>29</v>
      </c>
      <c r="F22" t="s">
        <v>31</v>
      </c>
      <c r="G22">
        <v>0.4</v>
      </c>
      <c r="H22">
        <v>0.40910000000000002</v>
      </c>
      <c r="I22">
        <v>0.87</v>
      </c>
      <c r="J22">
        <v>0.25369999999999998</v>
      </c>
      <c r="K22">
        <v>11</v>
      </c>
      <c r="L22">
        <v>25</v>
      </c>
      <c r="M22">
        <v>36</v>
      </c>
      <c r="N22" t="s">
        <v>84</v>
      </c>
      <c r="O22" t="s">
        <v>85</v>
      </c>
      <c r="P22" t="s">
        <v>91</v>
      </c>
      <c r="R22" s="35">
        <f>AVERAGE(C2:C1001)</f>
        <v>11.753</v>
      </c>
      <c r="S22" s="35">
        <f>VLOOKUP(219, A2:M1001, 3, FALSE)</f>
        <v>9</v>
      </c>
    </row>
    <row r="23" spans="1:19" x14ac:dyDescent="0.3">
      <c r="A23">
        <v>22</v>
      </c>
      <c r="B23" s="1">
        <v>40544</v>
      </c>
      <c r="C23">
        <v>21</v>
      </c>
      <c r="D23" t="b">
        <v>0</v>
      </c>
      <c r="E23" t="s">
        <v>29</v>
      </c>
      <c r="F23" t="s">
        <v>31</v>
      </c>
      <c r="G23">
        <v>0.4</v>
      </c>
      <c r="H23">
        <v>0.40910000000000002</v>
      </c>
      <c r="I23">
        <v>0.87</v>
      </c>
      <c r="J23">
        <v>0.19400000000000001</v>
      </c>
      <c r="K23">
        <v>3</v>
      </c>
      <c r="L23">
        <v>31</v>
      </c>
      <c r="M23">
        <v>34</v>
      </c>
      <c r="N23" t="s">
        <v>84</v>
      </c>
      <c r="O23" t="s">
        <v>85</v>
      </c>
      <c r="P23" t="s">
        <v>91</v>
      </c>
      <c r="R23" s="2"/>
      <c r="S23" s="2"/>
    </row>
    <row r="24" spans="1:19" x14ac:dyDescent="0.3">
      <c r="A24">
        <v>23</v>
      </c>
      <c r="B24" s="1">
        <v>40544</v>
      </c>
      <c r="C24">
        <v>22</v>
      </c>
      <c r="D24" t="b">
        <v>0</v>
      </c>
      <c r="E24" t="s">
        <v>29</v>
      </c>
      <c r="F24" t="s">
        <v>31</v>
      </c>
      <c r="G24">
        <v>0.4</v>
      </c>
      <c r="H24">
        <v>0.40910000000000002</v>
      </c>
      <c r="I24">
        <v>0.94</v>
      </c>
      <c r="J24">
        <v>0.22389999999999999</v>
      </c>
      <c r="K24">
        <v>11</v>
      </c>
      <c r="L24">
        <v>17</v>
      </c>
      <c r="M24">
        <v>28</v>
      </c>
      <c r="N24" t="s">
        <v>84</v>
      </c>
      <c r="O24" t="s">
        <v>85</v>
      </c>
      <c r="P24" t="s">
        <v>91</v>
      </c>
      <c r="R24" s="34" t="s">
        <v>55</v>
      </c>
      <c r="S24" s="34" t="s">
        <v>56</v>
      </c>
    </row>
    <row r="25" spans="1:19" x14ac:dyDescent="0.3">
      <c r="A25">
        <v>24</v>
      </c>
      <c r="B25" s="1">
        <v>40544</v>
      </c>
      <c r="C25">
        <v>23</v>
      </c>
      <c r="D25" t="b">
        <v>0</v>
      </c>
      <c r="E25" t="s">
        <v>29</v>
      </c>
      <c r="F25" t="s">
        <v>31</v>
      </c>
      <c r="G25">
        <v>0.46</v>
      </c>
      <c r="H25">
        <v>0</v>
      </c>
      <c r="I25">
        <v>0.88</v>
      </c>
      <c r="J25">
        <v>0.29849999999999999</v>
      </c>
      <c r="K25">
        <v>15</v>
      </c>
      <c r="L25">
        <v>24</v>
      </c>
      <c r="M25">
        <v>39</v>
      </c>
      <c r="N25" t="s">
        <v>84</v>
      </c>
      <c r="O25" t="s">
        <v>85</v>
      </c>
      <c r="P25" t="s">
        <v>91</v>
      </c>
      <c r="R25" s="35">
        <f>MIN(C2:C1001)</f>
        <v>0</v>
      </c>
      <c r="S25" s="35" t="str">
        <f>HLOOKUP("Weekday", A1:M1001, 612, FALSE)</f>
        <v>Friday</v>
      </c>
    </row>
    <row r="26" spans="1:19" x14ac:dyDescent="0.3">
      <c r="A26">
        <v>25</v>
      </c>
      <c r="B26" s="1">
        <v>40545</v>
      </c>
      <c r="C26">
        <v>0</v>
      </c>
      <c r="D26" t="b">
        <v>0</v>
      </c>
      <c r="E26" t="s">
        <v>23</v>
      </c>
      <c r="F26" t="s">
        <v>31</v>
      </c>
      <c r="G26">
        <v>0.46</v>
      </c>
      <c r="H26">
        <v>0.45450000000000002</v>
      </c>
      <c r="I26">
        <v>0.88</v>
      </c>
      <c r="J26">
        <v>0.29849999999999999</v>
      </c>
      <c r="K26">
        <v>4</v>
      </c>
      <c r="L26">
        <v>13</v>
      </c>
      <c r="M26">
        <v>17</v>
      </c>
      <c r="N26" t="s">
        <v>84</v>
      </c>
      <c r="O26" t="s">
        <v>85</v>
      </c>
      <c r="P26" t="s">
        <v>91</v>
      </c>
      <c r="R26" s="2"/>
      <c r="S26" s="2"/>
    </row>
    <row r="27" spans="1:19" x14ac:dyDescent="0.3">
      <c r="A27">
        <v>26</v>
      </c>
      <c r="B27" s="1">
        <v>40545</v>
      </c>
      <c r="C27">
        <v>1</v>
      </c>
      <c r="D27" t="b">
        <v>0</v>
      </c>
      <c r="E27" t="s">
        <v>23</v>
      </c>
      <c r="F27" t="s">
        <v>31</v>
      </c>
      <c r="G27">
        <v>0.44</v>
      </c>
      <c r="H27">
        <v>0.43940000000000001</v>
      </c>
      <c r="I27">
        <v>0.94</v>
      </c>
      <c r="J27">
        <v>0.25369999999999998</v>
      </c>
      <c r="K27">
        <v>1</v>
      </c>
      <c r="L27">
        <v>16</v>
      </c>
      <c r="M27">
        <v>17</v>
      </c>
      <c r="N27" t="s">
        <v>84</v>
      </c>
      <c r="O27" t="s">
        <v>85</v>
      </c>
      <c r="P27" t="s">
        <v>91</v>
      </c>
      <c r="R27" s="34" t="s">
        <v>57</v>
      </c>
      <c r="S27" s="2"/>
    </row>
    <row r="28" spans="1:19" x14ac:dyDescent="0.3">
      <c r="A28">
        <v>27</v>
      </c>
      <c r="B28" s="1">
        <v>40545</v>
      </c>
      <c r="C28">
        <v>2</v>
      </c>
      <c r="D28" t="b">
        <v>0</v>
      </c>
      <c r="E28" t="s">
        <v>23</v>
      </c>
      <c r="F28" t="s">
        <v>31</v>
      </c>
      <c r="G28">
        <v>0.42</v>
      </c>
      <c r="H28">
        <v>0.42420000000000002</v>
      </c>
      <c r="I28">
        <v>1</v>
      </c>
      <c r="J28">
        <v>0.28360000000000002</v>
      </c>
      <c r="K28">
        <v>1</v>
      </c>
      <c r="L28">
        <v>8</v>
      </c>
      <c r="M28">
        <v>9</v>
      </c>
      <c r="N28" t="s">
        <v>84</v>
      </c>
      <c r="O28" t="s">
        <v>85</v>
      </c>
      <c r="P28" t="s">
        <v>91</v>
      </c>
      <c r="R28" s="35">
        <f>MAX(C2:C1001)</f>
        <v>23</v>
      </c>
      <c r="S28" s="2"/>
    </row>
    <row r="29" spans="1:19" x14ac:dyDescent="0.3">
      <c r="A29">
        <v>28</v>
      </c>
      <c r="B29" s="1">
        <v>40545</v>
      </c>
      <c r="C29">
        <v>3</v>
      </c>
      <c r="D29" t="b">
        <v>0</v>
      </c>
      <c r="E29" t="s">
        <v>23</v>
      </c>
      <c r="F29" t="s">
        <v>31</v>
      </c>
      <c r="G29">
        <v>0.46</v>
      </c>
      <c r="H29">
        <v>0.45450000000000002</v>
      </c>
      <c r="I29">
        <v>0.94</v>
      </c>
      <c r="J29">
        <v>0.19400000000000001</v>
      </c>
      <c r="K29">
        <v>2</v>
      </c>
      <c r="L29">
        <v>4</v>
      </c>
      <c r="M29">
        <v>6</v>
      </c>
      <c r="N29" t="s">
        <v>84</v>
      </c>
      <c r="O29" t="s">
        <v>85</v>
      </c>
      <c r="P29" t="s">
        <v>91</v>
      </c>
    </row>
    <row r="30" spans="1:19" x14ac:dyDescent="0.3">
      <c r="A30">
        <v>29</v>
      </c>
      <c r="B30" s="1">
        <v>40545</v>
      </c>
      <c r="C30">
        <v>4</v>
      </c>
      <c r="D30" t="b">
        <v>0</v>
      </c>
      <c r="E30" t="s">
        <v>23</v>
      </c>
      <c r="F30" t="s">
        <v>31</v>
      </c>
      <c r="G30">
        <v>0.46</v>
      </c>
      <c r="H30">
        <v>0</v>
      </c>
      <c r="I30">
        <v>0.94</v>
      </c>
      <c r="J30">
        <v>0.19400000000000001</v>
      </c>
      <c r="K30">
        <v>2</v>
      </c>
      <c r="L30">
        <v>1</v>
      </c>
      <c r="M30">
        <v>3</v>
      </c>
      <c r="N30" t="s">
        <v>84</v>
      </c>
      <c r="O30" t="s">
        <v>85</v>
      </c>
      <c r="P30" t="s">
        <v>91</v>
      </c>
    </row>
    <row r="31" spans="1:19" x14ac:dyDescent="0.3">
      <c r="A31">
        <v>30</v>
      </c>
      <c r="B31" s="1">
        <v>40545</v>
      </c>
      <c r="C31">
        <v>6</v>
      </c>
      <c r="D31" t="b">
        <v>0</v>
      </c>
      <c r="E31" t="s">
        <v>23</v>
      </c>
      <c r="F31" t="s">
        <v>32</v>
      </c>
      <c r="G31">
        <v>0.42</v>
      </c>
      <c r="H31">
        <v>0.42420000000000002</v>
      </c>
      <c r="I31">
        <v>0.77</v>
      </c>
      <c r="J31">
        <v>0.29849999999999999</v>
      </c>
      <c r="K31">
        <v>0</v>
      </c>
      <c r="L31">
        <v>2</v>
      </c>
      <c r="M31">
        <v>2</v>
      </c>
      <c r="N31" t="s">
        <v>84</v>
      </c>
      <c r="O31" t="s">
        <v>85</v>
      </c>
      <c r="P31" t="s">
        <v>92</v>
      </c>
      <c r="R31" s="31" t="s">
        <v>167</v>
      </c>
      <c r="S31" s="32" t="str">
        <f>LEFT(O18,8)</f>
        <v>Off-Peak</v>
      </c>
    </row>
    <row r="32" spans="1:19" x14ac:dyDescent="0.3">
      <c r="A32">
        <v>31</v>
      </c>
      <c r="B32" s="1">
        <v>40545</v>
      </c>
      <c r="C32">
        <v>7</v>
      </c>
      <c r="D32" t="b">
        <v>0</v>
      </c>
      <c r="E32" t="s">
        <v>23</v>
      </c>
      <c r="F32" t="s">
        <v>31</v>
      </c>
      <c r="G32">
        <v>0.4</v>
      </c>
      <c r="H32">
        <v>0.40910000000000002</v>
      </c>
      <c r="I32">
        <v>0.76</v>
      </c>
      <c r="J32">
        <v>0.19400000000000001</v>
      </c>
      <c r="K32">
        <v>0</v>
      </c>
      <c r="L32">
        <v>1</v>
      </c>
      <c r="M32">
        <v>1</v>
      </c>
      <c r="N32" t="s">
        <v>84</v>
      </c>
      <c r="O32" t="s">
        <v>86</v>
      </c>
      <c r="P32" t="s">
        <v>91</v>
      </c>
      <c r="R32" s="31" t="s">
        <v>168</v>
      </c>
      <c r="S32" s="32" t="str">
        <f>RIGHT(P14,10)</f>
        <v>Few Clouds</v>
      </c>
    </row>
    <row r="33" spans="1:19" x14ac:dyDescent="0.3">
      <c r="A33">
        <v>32</v>
      </c>
      <c r="B33" s="1">
        <v>40545</v>
      </c>
      <c r="C33">
        <v>8</v>
      </c>
      <c r="D33" t="b">
        <v>0</v>
      </c>
      <c r="E33" t="s">
        <v>23</v>
      </c>
      <c r="F33" t="s">
        <v>32</v>
      </c>
      <c r="G33">
        <v>0.4</v>
      </c>
      <c r="H33">
        <v>0.40910000000000002</v>
      </c>
      <c r="I33">
        <v>0.71</v>
      </c>
      <c r="J33">
        <v>0.22389999999999999</v>
      </c>
      <c r="K33">
        <v>0</v>
      </c>
      <c r="L33">
        <v>8</v>
      </c>
      <c r="M33">
        <v>8</v>
      </c>
      <c r="N33" t="s">
        <v>84</v>
      </c>
      <c r="O33" t="s">
        <v>86</v>
      </c>
      <c r="P33" t="s">
        <v>92</v>
      </c>
      <c r="R33" s="31" t="s">
        <v>169</v>
      </c>
      <c r="S33" s="32">
        <f>LEN(P21)</f>
        <v>15</v>
      </c>
    </row>
    <row r="34" spans="1:19" x14ac:dyDescent="0.3">
      <c r="A34">
        <v>33</v>
      </c>
      <c r="B34" s="1">
        <v>40545</v>
      </c>
      <c r="C34">
        <v>9</v>
      </c>
      <c r="D34" t="b">
        <v>0</v>
      </c>
      <c r="E34" t="s">
        <v>23</v>
      </c>
      <c r="F34" t="s">
        <v>31</v>
      </c>
      <c r="G34">
        <v>0.38</v>
      </c>
      <c r="H34">
        <v>0</v>
      </c>
      <c r="I34">
        <v>0.76</v>
      </c>
      <c r="J34">
        <v>0.22389999999999999</v>
      </c>
      <c r="K34">
        <v>1</v>
      </c>
      <c r="L34">
        <v>19</v>
      </c>
      <c r="M34">
        <v>20</v>
      </c>
      <c r="N34" t="s">
        <v>84</v>
      </c>
      <c r="O34" t="s">
        <v>86</v>
      </c>
      <c r="P34" t="s">
        <v>91</v>
      </c>
      <c r="R34" s="31" t="s">
        <v>170</v>
      </c>
      <c r="S34" s="33" t="str">
        <f>IF(WEEKDAY(B2, 2)&gt;5, "Weekend", "Weekday")</f>
        <v>Weekend</v>
      </c>
    </row>
    <row r="35" spans="1:19" x14ac:dyDescent="0.3">
      <c r="A35">
        <v>34</v>
      </c>
      <c r="B35" s="1">
        <v>40545</v>
      </c>
      <c r="C35">
        <v>10</v>
      </c>
      <c r="D35" t="b">
        <v>0</v>
      </c>
      <c r="E35" t="s">
        <v>23</v>
      </c>
      <c r="F35" t="s">
        <v>31</v>
      </c>
      <c r="G35">
        <v>0.36</v>
      </c>
      <c r="H35">
        <v>0.34849999999999998</v>
      </c>
      <c r="I35">
        <v>0.81</v>
      </c>
      <c r="J35">
        <v>0.22389999999999999</v>
      </c>
      <c r="K35">
        <v>7</v>
      </c>
      <c r="L35">
        <v>46</v>
      </c>
      <c r="M35">
        <v>53</v>
      </c>
      <c r="N35" t="s">
        <v>84</v>
      </c>
      <c r="O35" t="s">
        <v>85</v>
      </c>
      <c r="P35" t="s">
        <v>91</v>
      </c>
    </row>
    <row r="36" spans="1:19" x14ac:dyDescent="0.3">
      <c r="A36">
        <v>35</v>
      </c>
      <c r="B36" s="1">
        <v>40545</v>
      </c>
      <c r="C36">
        <v>11</v>
      </c>
      <c r="D36" t="b">
        <v>0</v>
      </c>
      <c r="E36" t="s">
        <v>23</v>
      </c>
      <c r="F36" t="s">
        <v>31</v>
      </c>
      <c r="G36">
        <v>0.36</v>
      </c>
      <c r="H36">
        <v>0.33329999999999999</v>
      </c>
      <c r="I36">
        <v>0.71</v>
      </c>
      <c r="J36">
        <v>0.25369999999999998</v>
      </c>
      <c r="K36">
        <v>16</v>
      </c>
      <c r="L36">
        <v>54</v>
      </c>
      <c r="M36">
        <v>70</v>
      </c>
      <c r="N36" t="s">
        <v>84</v>
      </c>
      <c r="O36" t="s">
        <v>85</v>
      </c>
      <c r="P36" t="s">
        <v>91</v>
      </c>
    </row>
    <row r="37" spans="1:19" x14ac:dyDescent="0.3">
      <c r="A37">
        <v>36</v>
      </c>
      <c r="B37" s="1">
        <v>40545</v>
      </c>
      <c r="C37">
        <v>12</v>
      </c>
      <c r="D37" t="b">
        <v>0</v>
      </c>
      <c r="E37" t="s">
        <v>23</v>
      </c>
      <c r="F37" t="s">
        <v>31</v>
      </c>
      <c r="G37">
        <v>0.36</v>
      </c>
      <c r="H37">
        <v>0.33329999999999999</v>
      </c>
      <c r="I37">
        <v>0.66</v>
      </c>
      <c r="J37">
        <v>0.29849999999999999</v>
      </c>
      <c r="K37">
        <v>20</v>
      </c>
      <c r="L37">
        <v>73</v>
      </c>
      <c r="M37">
        <v>93</v>
      </c>
      <c r="N37" t="s">
        <v>84</v>
      </c>
      <c r="O37" t="s">
        <v>85</v>
      </c>
      <c r="P37" t="s">
        <v>91</v>
      </c>
    </row>
    <row r="38" spans="1:19" x14ac:dyDescent="0.3">
      <c r="A38">
        <v>37</v>
      </c>
      <c r="B38" s="1">
        <v>40545</v>
      </c>
      <c r="C38">
        <v>13</v>
      </c>
      <c r="D38" t="b">
        <v>0</v>
      </c>
      <c r="E38" t="s">
        <v>23</v>
      </c>
      <c r="F38" t="s">
        <v>31</v>
      </c>
      <c r="G38">
        <v>0.36</v>
      </c>
      <c r="H38">
        <v>0.34849999999999998</v>
      </c>
      <c r="I38">
        <v>0.66</v>
      </c>
      <c r="J38">
        <v>0.1343</v>
      </c>
      <c r="K38">
        <v>11</v>
      </c>
      <c r="L38">
        <v>64</v>
      </c>
      <c r="M38">
        <v>75</v>
      </c>
      <c r="N38" t="s">
        <v>84</v>
      </c>
      <c r="O38" t="s">
        <v>85</v>
      </c>
      <c r="P38" t="s">
        <v>91</v>
      </c>
    </row>
    <row r="39" spans="1:19" x14ac:dyDescent="0.3">
      <c r="A39">
        <v>38</v>
      </c>
      <c r="B39" s="1">
        <v>40545</v>
      </c>
      <c r="C39">
        <v>14</v>
      </c>
      <c r="D39" t="b">
        <v>0</v>
      </c>
      <c r="E39" t="s">
        <v>23</v>
      </c>
      <c r="F39" t="s">
        <v>32</v>
      </c>
      <c r="G39">
        <v>0.36</v>
      </c>
      <c r="H39">
        <v>0</v>
      </c>
      <c r="I39">
        <v>0.76</v>
      </c>
      <c r="J39">
        <v>0.19400000000000001</v>
      </c>
      <c r="K39">
        <v>4</v>
      </c>
      <c r="L39">
        <v>55</v>
      </c>
      <c r="M39">
        <v>59</v>
      </c>
      <c r="N39" t="s">
        <v>84</v>
      </c>
      <c r="O39" t="s">
        <v>85</v>
      </c>
      <c r="P39" t="s">
        <v>92</v>
      </c>
    </row>
    <row r="40" spans="1:19" x14ac:dyDescent="0.3">
      <c r="A40">
        <v>39</v>
      </c>
      <c r="B40" s="1">
        <v>40545</v>
      </c>
      <c r="C40">
        <v>15</v>
      </c>
      <c r="D40" t="b">
        <v>0</v>
      </c>
      <c r="E40" t="s">
        <v>23</v>
      </c>
      <c r="F40" t="s">
        <v>32</v>
      </c>
      <c r="G40">
        <v>0.34</v>
      </c>
      <c r="H40">
        <v>0.33329999999999999</v>
      </c>
      <c r="I40">
        <v>0.81</v>
      </c>
      <c r="J40">
        <v>0.16420000000000001</v>
      </c>
      <c r="K40">
        <v>19</v>
      </c>
      <c r="L40">
        <v>55</v>
      </c>
      <c r="M40">
        <v>74</v>
      </c>
      <c r="N40" t="s">
        <v>84</v>
      </c>
      <c r="O40" t="s">
        <v>85</v>
      </c>
      <c r="P40" t="s">
        <v>92</v>
      </c>
    </row>
    <row r="41" spans="1:19" x14ac:dyDescent="0.3">
      <c r="A41">
        <v>40</v>
      </c>
      <c r="B41" s="1">
        <v>40545</v>
      </c>
      <c r="C41">
        <v>16</v>
      </c>
      <c r="D41" t="b">
        <v>0</v>
      </c>
      <c r="E41" t="s">
        <v>23</v>
      </c>
      <c r="F41" t="s">
        <v>32</v>
      </c>
      <c r="G41">
        <v>0.34</v>
      </c>
      <c r="H41">
        <v>0.33329999999999999</v>
      </c>
      <c r="I41">
        <v>0.71</v>
      </c>
      <c r="J41">
        <v>0.16420000000000001</v>
      </c>
      <c r="K41">
        <v>9</v>
      </c>
      <c r="L41">
        <v>67</v>
      </c>
      <c r="M41">
        <v>76</v>
      </c>
      <c r="N41" t="s">
        <v>84</v>
      </c>
      <c r="O41" t="s">
        <v>85</v>
      </c>
      <c r="P41" t="s">
        <v>92</v>
      </c>
    </row>
    <row r="42" spans="1:19" x14ac:dyDescent="0.3">
      <c r="A42">
        <v>41</v>
      </c>
      <c r="B42" s="1">
        <v>40545</v>
      </c>
      <c r="C42">
        <v>17</v>
      </c>
      <c r="D42" t="b">
        <v>0</v>
      </c>
      <c r="E42" t="s">
        <v>23</v>
      </c>
      <c r="F42" t="s">
        <v>30</v>
      </c>
      <c r="G42">
        <v>0.34</v>
      </c>
      <c r="H42">
        <v>0.33329999999999999</v>
      </c>
      <c r="I42">
        <v>0.56999999999999995</v>
      </c>
      <c r="J42">
        <v>0.19400000000000001</v>
      </c>
      <c r="K42">
        <v>7</v>
      </c>
      <c r="L42">
        <v>58</v>
      </c>
      <c r="M42">
        <v>65</v>
      </c>
      <c r="N42" t="s">
        <v>84</v>
      </c>
      <c r="O42" t="s">
        <v>87</v>
      </c>
      <c r="P42" t="s">
        <v>90</v>
      </c>
    </row>
    <row r="43" spans="1:19" x14ac:dyDescent="0.3">
      <c r="A43">
        <v>42</v>
      </c>
      <c r="B43" s="1">
        <v>40545</v>
      </c>
      <c r="C43">
        <v>18</v>
      </c>
      <c r="D43" t="b">
        <v>0</v>
      </c>
      <c r="E43" t="s">
        <v>23</v>
      </c>
      <c r="F43" t="s">
        <v>31</v>
      </c>
      <c r="G43">
        <v>0.36</v>
      </c>
      <c r="H43">
        <v>0.33329999999999999</v>
      </c>
      <c r="I43">
        <v>0.46</v>
      </c>
      <c r="J43">
        <v>0.32840000000000003</v>
      </c>
      <c r="K43">
        <v>10</v>
      </c>
      <c r="L43">
        <v>43</v>
      </c>
      <c r="M43">
        <v>53</v>
      </c>
      <c r="N43" t="s">
        <v>84</v>
      </c>
      <c r="O43" t="s">
        <v>87</v>
      </c>
      <c r="P43" t="s">
        <v>91</v>
      </c>
    </row>
    <row r="44" spans="1:19" x14ac:dyDescent="0.3">
      <c r="A44">
        <v>43</v>
      </c>
      <c r="B44" s="1">
        <v>40545</v>
      </c>
      <c r="C44">
        <v>19</v>
      </c>
      <c r="D44" t="b">
        <v>0</v>
      </c>
      <c r="E44" t="s">
        <v>23</v>
      </c>
      <c r="F44" t="s">
        <v>30</v>
      </c>
      <c r="G44">
        <v>0.32</v>
      </c>
      <c r="H44">
        <v>0.28789999999999999</v>
      </c>
      <c r="I44">
        <v>0.42</v>
      </c>
      <c r="J44">
        <v>0.44779999999999998</v>
      </c>
      <c r="K44">
        <v>1</v>
      </c>
      <c r="L44">
        <v>29</v>
      </c>
      <c r="M44">
        <v>30</v>
      </c>
      <c r="N44" t="s">
        <v>84</v>
      </c>
      <c r="O44" t="s">
        <v>87</v>
      </c>
      <c r="P44" t="s">
        <v>90</v>
      </c>
    </row>
    <row r="45" spans="1:19" x14ac:dyDescent="0.3">
      <c r="A45">
        <v>44</v>
      </c>
      <c r="B45" s="1">
        <v>40545</v>
      </c>
      <c r="C45">
        <v>20</v>
      </c>
      <c r="D45" t="b">
        <v>0</v>
      </c>
      <c r="E45" t="s">
        <v>23</v>
      </c>
      <c r="F45" t="s">
        <v>30</v>
      </c>
      <c r="G45">
        <v>0.3</v>
      </c>
      <c r="H45">
        <v>0</v>
      </c>
      <c r="I45">
        <v>0.39</v>
      </c>
      <c r="J45">
        <v>0.35820000000000002</v>
      </c>
      <c r="K45">
        <v>5</v>
      </c>
      <c r="L45">
        <v>17</v>
      </c>
      <c r="M45">
        <v>22</v>
      </c>
      <c r="N45" t="s">
        <v>84</v>
      </c>
      <c r="O45" t="s">
        <v>85</v>
      </c>
      <c r="P45" t="s">
        <v>90</v>
      </c>
    </row>
    <row r="46" spans="1:19" x14ac:dyDescent="0.3">
      <c r="A46">
        <v>45</v>
      </c>
      <c r="B46" s="1">
        <v>40545</v>
      </c>
      <c r="C46">
        <v>21</v>
      </c>
      <c r="D46" t="b">
        <v>0</v>
      </c>
      <c r="E46" t="s">
        <v>23</v>
      </c>
      <c r="F46" t="s">
        <v>30</v>
      </c>
      <c r="G46">
        <v>0.26</v>
      </c>
      <c r="H46">
        <v>0.2273</v>
      </c>
      <c r="I46">
        <v>0.44</v>
      </c>
      <c r="J46">
        <v>0.32840000000000003</v>
      </c>
      <c r="K46">
        <v>11</v>
      </c>
      <c r="L46">
        <v>20</v>
      </c>
      <c r="M46">
        <v>31</v>
      </c>
      <c r="N46" t="s">
        <v>84</v>
      </c>
      <c r="O46" t="s">
        <v>85</v>
      </c>
      <c r="P46" t="s">
        <v>90</v>
      </c>
    </row>
    <row r="47" spans="1:19" x14ac:dyDescent="0.3">
      <c r="A47">
        <v>46</v>
      </c>
      <c r="B47" s="1">
        <v>40545</v>
      </c>
      <c r="C47">
        <v>22</v>
      </c>
      <c r="D47" t="b">
        <v>0</v>
      </c>
      <c r="E47" t="s">
        <v>23</v>
      </c>
      <c r="F47" t="s">
        <v>30</v>
      </c>
      <c r="G47">
        <v>0.24</v>
      </c>
      <c r="H47">
        <v>0.21210000000000001</v>
      </c>
      <c r="I47">
        <v>0.44</v>
      </c>
      <c r="J47">
        <v>0.29849999999999999</v>
      </c>
      <c r="K47">
        <v>0</v>
      </c>
      <c r="L47">
        <v>9</v>
      </c>
      <c r="M47">
        <v>9</v>
      </c>
      <c r="N47" t="s">
        <v>84</v>
      </c>
      <c r="O47" t="s">
        <v>85</v>
      </c>
      <c r="P47" t="s">
        <v>90</v>
      </c>
    </row>
    <row r="48" spans="1:19" x14ac:dyDescent="0.3">
      <c r="A48">
        <v>47</v>
      </c>
      <c r="B48" s="1">
        <v>40545</v>
      </c>
      <c r="C48">
        <v>23</v>
      </c>
      <c r="D48" t="b">
        <v>0</v>
      </c>
      <c r="E48" t="s">
        <v>23</v>
      </c>
      <c r="F48" t="s">
        <v>30</v>
      </c>
      <c r="G48">
        <v>0.22</v>
      </c>
      <c r="H48">
        <v>0.2273</v>
      </c>
      <c r="I48">
        <v>0.47</v>
      </c>
      <c r="J48">
        <v>0.16420000000000001</v>
      </c>
      <c r="K48">
        <v>0</v>
      </c>
      <c r="L48">
        <v>8</v>
      </c>
      <c r="M48">
        <v>8</v>
      </c>
      <c r="N48" t="s">
        <v>84</v>
      </c>
      <c r="O48" t="s">
        <v>85</v>
      </c>
      <c r="P48" t="s">
        <v>90</v>
      </c>
    </row>
    <row r="49" spans="1:16" x14ac:dyDescent="0.3">
      <c r="A49">
        <v>48</v>
      </c>
      <c r="B49" s="1">
        <v>40546</v>
      </c>
      <c r="C49">
        <v>0</v>
      </c>
      <c r="D49" t="b">
        <v>0</v>
      </c>
      <c r="E49" t="s">
        <v>24</v>
      </c>
      <c r="F49" t="s">
        <v>30</v>
      </c>
      <c r="G49">
        <v>0.22</v>
      </c>
      <c r="H49">
        <v>0.19700000000000001</v>
      </c>
      <c r="I49">
        <v>0.44</v>
      </c>
      <c r="J49">
        <v>0.35820000000000002</v>
      </c>
      <c r="K49">
        <v>0</v>
      </c>
      <c r="L49">
        <v>5</v>
      </c>
      <c r="M49">
        <v>5</v>
      </c>
      <c r="N49" t="s">
        <v>18</v>
      </c>
      <c r="O49" t="s">
        <v>85</v>
      </c>
      <c r="P49" t="s">
        <v>90</v>
      </c>
    </row>
    <row r="50" spans="1:16" x14ac:dyDescent="0.3">
      <c r="A50">
        <v>49</v>
      </c>
      <c r="B50" s="1">
        <v>40546</v>
      </c>
      <c r="C50">
        <v>1</v>
      </c>
      <c r="D50" t="b">
        <v>0</v>
      </c>
      <c r="E50" t="s">
        <v>24</v>
      </c>
      <c r="F50" t="s">
        <v>30</v>
      </c>
      <c r="G50">
        <v>0.2</v>
      </c>
      <c r="H50">
        <v>0</v>
      </c>
      <c r="I50">
        <v>0.44</v>
      </c>
      <c r="J50">
        <v>0.41789999999999999</v>
      </c>
      <c r="K50">
        <v>0</v>
      </c>
      <c r="L50">
        <v>2</v>
      </c>
      <c r="M50">
        <v>2</v>
      </c>
      <c r="N50" t="s">
        <v>18</v>
      </c>
      <c r="O50" t="s">
        <v>85</v>
      </c>
      <c r="P50" t="s">
        <v>90</v>
      </c>
    </row>
    <row r="51" spans="1:16" x14ac:dyDescent="0.3">
      <c r="A51">
        <v>50</v>
      </c>
      <c r="B51" s="1">
        <v>40546</v>
      </c>
      <c r="C51">
        <v>4</v>
      </c>
      <c r="D51" t="b">
        <v>0</v>
      </c>
      <c r="E51" t="s">
        <v>24</v>
      </c>
      <c r="F51" t="s">
        <v>30</v>
      </c>
      <c r="G51">
        <v>0.16</v>
      </c>
      <c r="H51">
        <v>0.13639999999999999</v>
      </c>
      <c r="I51">
        <v>0.47</v>
      </c>
      <c r="J51">
        <v>0.3881</v>
      </c>
      <c r="K51">
        <v>0</v>
      </c>
      <c r="L51">
        <v>1</v>
      </c>
      <c r="M51">
        <v>1</v>
      </c>
      <c r="N51" t="s">
        <v>18</v>
      </c>
      <c r="O51" t="s">
        <v>85</v>
      </c>
      <c r="P51" t="s">
        <v>90</v>
      </c>
    </row>
    <row r="52" spans="1:16" x14ac:dyDescent="0.3">
      <c r="A52">
        <v>51</v>
      </c>
      <c r="B52" s="1">
        <v>40546</v>
      </c>
      <c r="C52">
        <v>5</v>
      </c>
      <c r="D52" t="b">
        <v>0</v>
      </c>
      <c r="E52" t="s">
        <v>24</v>
      </c>
      <c r="F52" t="s">
        <v>30</v>
      </c>
      <c r="G52">
        <v>0.16</v>
      </c>
      <c r="H52">
        <v>0.13639999999999999</v>
      </c>
      <c r="I52">
        <v>0.47</v>
      </c>
      <c r="J52">
        <v>0.28360000000000002</v>
      </c>
      <c r="K52">
        <v>0</v>
      </c>
      <c r="L52">
        <v>3</v>
      </c>
      <c r="M52">
        <v>3</v>
      </c>
      <c r="N52" t="s">
        <v>18</v>
      </c>
      <c r="O52" t="s">
        <v>85</v>
      </c>
      <c r="P52" t="s">
        <v>90</v>
      </c>
    </row>
    <row r="53" spans="1:16" x14ac:dyDescent="0.3">
      <c r="A53">
        <v>52</v>
      </c>
      <c r="B53" s="1">
        <v>40546</v>
      </c>
      <c r="C53">
        <v>6</v>
      </c>
      <c r="D53" t="b">
        <v>0</v>
      </c>
      <c r="E53" t="s">
        <v>24</v>
      </c>
      <c r="F53" t="s">
        <v>30</v>
      </c>
      <c r="G53">
        <v>0.14000000000000001</v>
      </c>
      <c r="H53">
        <v>0.1061</v>
      </c>
      <c r="I53">
        <v>0.5</v>
      </c>
      <c r="J53">
        <v>0.3881</v>
      </c>
      <c r="K53">
        <v>0</v>
      </c>
      <c r="L53">
        <v>30</v>
      </c>
      <c r="M53">
        <v>30</v>
      </c>
      <c r="N53" t="s">
        <v>18</v>
      </c>
      <c r="O53" t="s">
        <v>85</v>
      </c>
      <c r="P53" t="s">
        <v>90</v>
      </c>
    </row>
    <row r="54" spans="1:16" x14ac:dyDescent="0.3">
      <c r="A54">
        <v>53</v>
      </c>
      <c r="B54" s="1">
        <v>40546</v>
      </c>
      <c r="C54">
        <v>7</v>
      </c>
      <c r="D54" t="b">
        <v>0</v>
      </c>
      <c r="E54" t="s">
        <v>24</v>
      </c>
      <c r="F54" t="s">
        <v>30</v>
      </c>
      <c r="G54">
        <v>0.14000000000000001</v>
      </c>
      <c r="H54">
        <v>0.13639999999999999</v>
      </c>
      <c r="I54">
        <v>0.5</v>
      </c>
      <c r="J54">
        <v>0.19400000000000001</v>
      </c>
      <c r="K54">
        <v>1</v>
      </c>
      <c r="L54">
        <v>63</v>
      </c>
      <c r="M54">
        <v>64</v>
      </c>
      <c r="N54" t="s">
        <v>18</v>
      </c>
      <c r="O54" t="s">
        <v>86</v>
      </c>
      <c r="P54" t="s">
        <v>90</v>
      </c>
    </row>
    <row r="55" spans="1:16" x14ac:dyDescent="0.3">
      <c r="A55">
        <v>54</v>
      </c>
      <c r="B55" s="1">
        <v>40546</v>
      </c>
      <c r="C55">
        <v>8</v>
      </c>
      <c r="D55" t="b">
        <v>0</v>
      </c>
      <c r="E55" t="s">
        <v>24</v>
      </c>
      <c r="F55" t="s">
        <v>30</v>
      </c>
      <c r="G55">
        <v>0.14000000000000001</v>
      </c>
      <c r="H55">
        <v>0.1212</v>
      </c>
      <c r="I55">
        <v>0.5</v>
      </c>
      <c r="J55">
        <v>0.28360000000000002</v>
      </c>
      <c r="K55">
        <v>1</v>
      </c>
      <c r="L55">
        <v>153</v>
      </c>
      <c r="M55">
        <v>154</v>
      </c>
      <c r="N55" t="s">
        <v>18</v>
      </c>
      <c r="O55" t="s">
        <v>86</v>
      </c>
      <c r="P55" t="s">
        <v>90</v>
      </c>
    </row>
    <row r="56" spans="1:16" x14ac:dyDescent="0.3">
      <c r="A56">
        <v>55</v>
      </c>
      <c r="B56" s="1">
        <v>40546</v>
      </c>
      <c r="C56">
        <v>9</v>
      </c>
      <c r="D56" t="b">
        <v>0</v>
      </c>
      <c r="E56" t="s">
        <v>24</v>
      </c>
      <c r="F56" t="s">
        <v>30</v>
      </c>
      <c r="G56">
        <v>0.16</v>
      </c>
      <c r="H56">
        <v>0.13639999999999999</v>
      </c>
      <c r="I56">
        <v>0.43</v>
      </c>
      <c r="J56">
        <v>0.3881</v>
      </c>
      <c r="K56">
        <v>7</v>
      </c>
      <c r="L56">
        <v>81</v>
      </c>
      <c r="M56">
        <v>88</v>
      </c>
      <c r="N56" t="s">
        <v>18</v>
      </c>
      <c r="O56" t="s">
        <v>86</v>
      </c>
      <c r="P56" t="s">
        <v>90</v>
      </c>
    </row>
    <row r="57" spans="1:16" x14ac:dyDescent="0.3">
      <c r="A57">
        <v>56</v>
      </c>
      <c r="B57" s="1">
        <v>40546</v>
      </c>
      <c r="C57">
        <v>10</v>
      </c>
      <c r="D57" t="b">
        <v>0</v>
      </c>
      <c r="E57" t="s">
        <v>24</v>
      </c>
      <c r="F57" t="s">
        <v>30</v>
      </c>
      <c r="G57">
        <v>0.18</v>
      </c>
      <c r="H57">
        <v>0.16669999999999999</v>
      </c>
      <c r="I57">
        <v>0.43</v>
      </c>
      <c r="J57">
        <v>0.25369999999999998</v>
      </c>
      <c r="K57">
        <v>11</v>
      </c>
      <c r="L57">
        <v>33</v>
      </c>
      <c r="M57">
        <v>44</v>
      </c>
      <c r="N57" t="s">
        <v>18</v>
      </c>
      <c r="O57" t="s">
        <v>85</v>
      </c>
      <c r="P57" t="s">
        <v>90</v>
      </c>
    </row>
    <row r="58" spans="1:16" x14ac:dyDescent="0.3">
      <c r="A58">
        <v>57</v>
      </c>
      <c r="B58" s="1">
        <v>40546</v>
      </c>
      <c r="C58">
        <v>11</v>
      </c>
      <c r="D58" t="b">
        <v>0</v>
      </c>
      <c r="E58" t="s">
        <v>24</v>
      </c>
      <c r="F58" t="s">
        <v>30</v>
      </c>
      <c r="G58">
        <v>0.2</v>
      </c>
      <c r="H58">
        <v>0.18179999999999999</v>
      </c>
      <c r="I58">
        <v>0.4</v>
      </c>
      <c r="J58">
        <v>0.32840000000000003</v>
      </c>
      <c r="K58">
        <v>10</v>
      </c>
      <c r="L58">
        <v>41</v>
      </c>
      <c r="M58">
        <v>51</v>
      </c>
      <c r="N58" t="s">
        <v>18</v>
      </c>
      <c r="O58" t="s">
        <v>85</v>
      </c>
      <c r="P58" t="s">
        <v>90</v>
      </c>
    </row>
    <row r="59" spans="1:16" x14ac:dyDescent="0.3">
      <c r="A59">
        <v>58</v>
      </c>
      <c r="B59" s="1">
        <v>40546</v>
      </c>
      <c r="C59">
        <v>12</v>
      </c>
      <c r="D59" t="b">
        <v>0</v>
      </c>
      <c r="E59" t="s">
        <v>24</v>
      </c>
      <c r="F59" t="s">
        <v>30</v>
      </c>
      <c r="G59">
        <v>0.22</v>
      </c>
      <c r="H59">
        <v>0.21210000000000001</v>
      </c>
      <c r="I59">
        <v>0.35</v>
      </c>
      <c r="J59">
        <v>0.29849999999999999</v>
      </c>
      <c r="K59">
        <v>13</v>
      </c>
      <c r="L59">
        <v>48</v>
      </c>
      <c r="M59">
        <v>61</v>
      </c>
      <c r="N59" t="s">
        <v>18</v>
      </c>
      <c r="O59" t="s">
        <v>85</v>
      </c>
      <c r="P59" t="s">
        <v>90</v>
      </c>
    </row>
    <row r="60" spans="1:16" x14ac:dyDescent="0.3">
      <c r="A60">
        <v>59</v>
      </c>
      <c r="B60" s="1">
        <v>40546</v>
      </c>
      <c r="C60">
        <v>13</v>
      </c>
      <c r="D60" t="b">
        <v>0</v>
      </c>
      <c r="E60" t="s">
        <v>24</v>
      </c>
      <c r="F60" t="s">
        <v>30</v>
      </c>
      <c r="G60">
        <v>0.24</v>
      </c>
      <c r="H60">
        <v>0</v>
      </c>
      <c r="I60">
        <v>0.35</v>
      </c>
      <c r="J60">
        <v>0.28360000000000002</v>
      </c>
      <c r="K60">
        <v>8</v>
      </c>
      <c r="L60">
        <v>53</v>
      </c>
      <c r="M60">
        <v>61</v>
      </c>
      <c r="N60" t="s">
        <v>18</v>
      </c>
      <c r="O60" t="s">
        <v>85</v>
      </c>
      <c r="P60" t="s">
        <v>90</v>
      </c>
    </row>
    <row r="61" spans="1:16" x14ac:dyDescent="0.3">
      <c r="A61">
        <v>60</v>
      </c>
      <c r="B61" s="1">
        <v>40546</v>
      </c>
      <c r="C61">
        <v>14</v>
      </c>
      <c r="D61" t="b">
        <v>0</v>
      </c>
      <c r="E61" t="s">
        <v>24</v>
      </c>
      <c r="F61" t="s">
        <v>30</v>
      </c>
      <c r="G61">
        <v>0.26</v>
      </c>
      <c r="H61">
        <v>0.2424</v>
      </c>
      <c r="I61">
        <v>0.3</v>
      </c>
      <c r="J61">
        <v>0.28360000000000002</v>
      </c>
      <c r="K61">
        <v>11</v>
      </c>
      <c r="L61">
        <v>66</v>
      </c>
      <c r="M61">
        <v>77</v>
      </c>
      <c r="N61" t="s">
        <v>18</v>
      </c>
      <c r="O61" t="s">
        <v>85</v>
      </c>
      <c r="P61" t="s">
        <v>90</v>
      </c>
    </row>
    <row r="62" spans="1:16" x14ac:dyDescent="0.3">
      <c r="A62">
        <v>61</v>
      </c>
      <c r="B62" s="1">
        <v>40546</v>
      </c>
      <c r="C62">
        <v>15</v>
      </c>
      <c r="D62" t="b">
        <v>0</v>
      </c>
      <c r="E62" t="s">
        <v>24</v>
      </c>
      <c r="F62" t="s">
        <v>30</v>
      </c>
      <c r="G62">
        <v>0.26</v>
      </c>
      <c r="H62">
        <v>0.2424</v>
      </c>
      <c r="I62">
        <v>0.3</v>
      </c>
      <c r="J62">
        <v>0.25369999999999998</v>
      </c>
      <c r="K62">
        <v>14</v>
      </c>
      <c r="L62">
        <v>58</v>
      </c>
      <c r="M62">
        <v>72</v>
      </c>
      <c r="N62" t="s">
        <v>18</v>
      </c>
      <c r="O62" t="s">
        <v>85</v>
      </c>
      <c r="P62" t="s">
        <v>90</v>
      </c>
    </row>
    <row r="63" spans="1:16" x14ac:dyDescent="0.3">
      <c r="A63">
        <v>62</v>
      </c>
      <c r="B63" s="1">
        <v>40546</v>
      </c>
      <c r="C63">
        <v>16</v>
      </c>
      <c r="D63" t="b">
        <v>0</v>
      </c>
      <c r="E63" t="s">
        <v>24</v>
      </c>
      <c r="F63" t="s">
        <v>30</v>
      </c>
      <c r="G63">
        <v>0.26</v>
      </c>
      <c r="H63">
        <v>0.2424</v>
      </c>
      <c r="I63">
        <v>0.3</v>
      </c>
      <c r="J63">
        <v>0.25369999999999998</v>
      </c>
      <c r="K63">
        <v>9</v>
      </c>
      <c r="L63">
        <v>67</v>
      </c>
      <c r="M63">
        <v>76</v>
      </c>
      <c r="N63" t="s">
        <v>18</v>
      </c>
      <c r="O63" t="s">
        <v>85</v>
      </c>
      <c r="P63" t="s">
        <v>90</v>
      </c>
    </row>
    <row r="64" spans="1:16" x14ac:dyDescent="0.3">
      <c r="A64">
        <v>63</v>
      </c>
      <c r="B64" s="1">
        <v>40546</v>
      </c>
      <c r="C64">
        <v>17</v>
      </c>
      <c r="D64" t="b">
        <v>0</v>
      </c>
      <c r="E64" t="s">
        <v>24</v>
      </c>
      <c r="F64" t="s">
        <v>30</v>
      </c>
      <c r="G64">
        <v>0.24</v>
      </c>
      <c r="H64">
        <v>0.2273</v>
      </c>
      <c r="I64">
        <v>0.3</v>
      </c>
      <c r="J64">
        <v>0.22389999999999999</v>
      </c>
      <c r="K64">
        <v>11</v>
      </c>
      <c r="L64">
        <v>146</v>
      </c>
      <c r="M64">
        <v>157</v>
      </c>
      <c r="N64" t="s">
        <v>18</v>
      </c>
      <c r="O64" t="s">
        <v>87</v>
      </c>
      <c r="P64" t="s">
        <v>90</v>
      </c>
    </row>
    <row r="65" spans="1:16" x14ac:dyDescent="0.3">
      <c r="A65">
        <v>64</v>
      </c>
      <c r="B65" s="1">
        <v>40546</v>
      </c>
      <c r="C65">
        <v>18</v>
      </c>
      <c r="D65" t="b">
        <v>0</v>
      </c>
      <c r="E65" t="s">
        <v>24</v>
      </c>
      <c r="F65" t="s">
        <v>30</v>
      </c>
      <c r="G65">
        <v>0.24</v>
      </c>
      <c r="H65">
        <v>0.2576</v>
      </c>
      <c r="I65">
        <v>0.32</v>
      </c>
      <c r="J65">
        <v>0.1045</v>
      </c>
      <c r="K65">
        <v>9</v>
      </c>
      <c r="L65">
        <v>148</v>
      </c>
      <c r="M65">
        <v>157</v>
      </c>
      <c r="N65" t="s">
        <v>18</v>
      </c>
      <c r="O65" t="s">
        <v>87</v>
      </c>
      <c r="P65" t="s">
        <v>90</v>
      </c>
    </row>
    <row r="66" spans="1:16" x14ac:dyDescent="0.3">
      <c r="A66">
        <v>65</v>
      </c>
      <c r="B66" s="1">
        <v>40546</v>
      </c>
      <c r="C66">
        <v>19</v>
      </c>
      <c r="D66" t="b">
        <v>0</v>
      </c>
      <c r="E66" t="s">
        <v>24</v>
      </c>
      <c r="F66" t="s">
        <v>30</v>
      </c>
      <c r="G66">
        <v>0.2</v>
      </c>
      <c r="H66">
        <v>0.2576</v>
      </c>
      <c r="I66">
        <v>0.47</v>
      </c>
      <c r="J66">
        <v>0</v>
      </c>
      <c r="K66">
        <v>8</v>
      </c>
      <c r="L66">
        <v>102</v>
      </c>
      <c r="M66">
        <v>110</v>
      </c>
      <c r="N66" t="s">
        <v>18</v>
      </c>
      <c r="O66" t="s">
        <v>87</v>
      </c>
      <c r="P66" t="s">
        <v>90</v>
      </c>
    </row>
    <row r="67" spans="1:16" x14ac:dyDescent="0.3">
      <c r="A67">
        <v>66</v>
      </c>
      <c r="B67" s="1">
        <v>40546</v>
      </c>
      <c r="C67">
        <v>20</v>
      </c>
      <c r="D67" t="b">
        <v>0</v>
      </c>
      <c r="E67" t="s">
        <v>24</v>
      </c>
      <c r="F67" t="s">
        <v>30</v>
      </c>
      <c r="G67">
        <v>0.2</v>
      </c>
      <c r="H67">
        <v>0</v>
      </c>
      <c r="I67">
        <v>0.47</v>
      </c>
      <c r="J67">
        <v>0.1045</v>
      </c>
      <c r="K67">
        <v>3</v>
      </c>
      <c r="L67">
        <v>49</v>
      </c>
      <c r="M67">
        <v>52</v>
      </c>
      <c r="N67" t="s">
        <v>18</v>
      </c>
      <c r="O67" t="s">
        <v>85</v>
      </c>
      <c r="P67" t="s">
        <v>90</v>
      </c>
    </row>
    <row r="68" spans="1:16" x14ac:dyDescent="0.3">
      <c r="A68">
        <v>67</v>
      </c>
      <c r="B68" s="1">
        <v>40546</v>
      </c>
      <c r="C68">
        <v>21</v>
      </c>
      <c r="D68" t="b">
        <v>0</v>
      </c>
      <c r="E68" t="s">
        <v>24</v>
      </c>
      <c r="F68" t="s">
        <v>30</v>
      </c>
      <c r="G68">
        <v>0.18</v>
      </c>
      <c r="H68">
        <v>0.19700000000000001</v>
      </c>
      <c r="I68">
        <v>0.64</v>
      </c>
      <c r="J68">
        <v>0.1343</v>
      </c>
      <c r="K68">
        <v>3</v>
      </c>
      <c r="L68">
        <v>49</v>
      </c>
      <c r="M68">
        <v>52</v>
      </c>
      <c r="N68" t="s">
        <v>18</v>
      </c>
      <c r="O68" t="s">
        <v>85</v>
      </c>
      <c r="P68" t="s">
        <v>90</v>
      </c>
    </row>
    <row r="69" spans="1:16" x14ac:dyDescent="0.3">
      <c r="A69">
        <v>68</v>
      </c>
      <c r="B69" s="1">
        <v>40546</v>
      </c>
      <c r="C69">
        <v>22</v>
      </c>
      <c r="D69" t="b">
        <v>0</v>
      </c>
      <c r="E69" t="s">
        <v>24</v>
      </c>
      <c r="F69" t="s">
        <v>30</v>
      </c>
      <c r="G69">
        <v>0.14000000000000001</v>
      </c>
      <c r="H69">
        <v>0.1515</v>
      </c>
      <c r="I69">
        <v>0.69</v>
      </c>
      <c r="J69">
        <v>0.1343</v>
      </c>
      <c r="K69">
        <v>0</v>
      </c>
      <c r="L69">
        <v>20</v>
      </c>
      <c r="M69">
        <v>20</v>
      </c>
      <c r="N69" t="s">
        <v>18</v>
      </c>
      <c r="O69" t="s">
        <v>85</v>
      </c>
      <c r="P69" t="s">
        <v>90</v>
      </c>
    </row>
    <row r="70" spans="1:16" x14ac:dyDescent="0.3">
      <c r="A70">
        <v>69</v>
      </c>
      <c r="B70" s="1">
        <v>40546</v>
      </c>
      <c r="C70">
        <v>23</v>
      </c>
      <c r="D70" t="b">
        <v>0</v>
      </c>
      <c r="E70" t="s">
        <v>24</v>
      </c>
      <c r="F70" t="s">
        <v>30</v>
      </c>
      <c r="G70">
        <v>0.18</v>
      </c>
      <c r="H70">
        <v>0.21210000000000001</v>
      </c>
      <c r="I70">
        <v>0.55000000000000004</v>
      </c>
      <c r="J70">
        <v>0.1045</v>
      </c>
      <c r="K70">
        <v>1</v>
      </c>
      <c r="L70">
        <v>11</v>
      </c>
      <c r="M70">
        <v>12</v>
      </c>
      <c r="N70" t="s">
        <v>18</v>
      </c>
      <c r="O70" t="s">
        <v>85</v>
      </c>
      <c r="P70" t="s">
        <v>90</v>
      </c>
    </row>
    <row r="71" spans="1:16" x14ac:dyDescent="0.3">
      <c r="A71">
        <v>70</v>
      </c>
      <c r="B71" s="1">
        <v>40547</v>
      </c>
      <c r="C71">
        <v>0</v>
      </c>
      <c r="D71" t="b">
        <v>0</v>
      </c>
      <c r="E71" t="s">
        <v>25</v>
      </c>
      <c r="F71" t="s">
        <v>30</v>
      </c>
      <c r="G71">
        <v>0.16</v>
      </c>
      <c r="H71">
        <v>0</v>
      </c>
      <c r="I71">
        <v>0.55000000000000004</v>
      </c>
      <c r="J71">
        <v>0.1045</v>
      </c>
      <c r="K71">
        <v>0</v>
      </c>
      <c r="L71">
        <v>5</v>
      </c>
      <c r="M71">
        <v>5</v>
      </c>
      <c r="N71" t="s">
        <v>18</v>
      </c>
      <c r="O71" t="s">
        <v>85</v>
      </c>
      <c r="P71" t="s">
        <v>90</v>
      </c>
    </row>
    <row r="72" spans="1:16" x14ac:dyDescent="0.3">
      <c r="A72">
        <v>71</v>
      </c>
      <c r="B72" s="1">
        <v>40547</v>
      </c>
      <c r="C72">
        <v>1</v>
      </c>
      <c r="D72" t="b">
        <v>0</v>
      </c>
      <c r="E72" t="s">
        <v>25</v>
      </c>
      <c r="F72" t="s">
        <v>30</v>
      </c>
      <c r="G72">
        <v>0.16</v>
      </c>
      <c r="H72">
        <v>0.18179999999999999</v>
      </c>
      <c r="I72">
        <v>0.59</v>
      </c>
      <c r="J72">
        <v>0.1045</v>
      </c>
      <c r="K72">
        <v>0</v>
      </c>
      <c r="L72">
        <v>2</v>
      </c>
      <c r="M72">
        <v>2</v>
      </c>
      <c r="N72" t="s">
        <v>18</v>
      </c>
      <c r="O72" t="s">
        <v>85</v>
      </c>
      <c r="P72" t="s">
        <v>90</v>
      </c>
    </row>
    <row r="73" spans="1:16" x14ac:dyDescent="0.3">
      <c r="A73">
        <v>72</v>
      </c>
      <c r="B73" s="1">
        <v>40547</v>
      </c>
      <c r="C73">
        <v>2</v>
      </c>
      <c r="D73" t="b">
        <v>0</v>
      </c>
      <c r="E73" t="s">
        <v>25</v>
      </c>
      <c r="F73" t="s">
        <v>30</v>
      </c>
      <c r="G73">
        <v>0.14000000000000001</v>
      </c>
      <c r="H73">
        <v>0.1515</v>
      </c>
      <c r="I73">
        <v>0.63</v>
      </c>
      <c r="J73">
        <v>0.1343</v>
      </c>
      <c r="K73">
        <v>0</v>
      </c>
      <c r="L73">
        <v>1</v>
      </c>
      <c r="M73">
        <v>1</v>
      </c>
      <c r="N73" t="s">
        <v>18</v>
      </c>
      <c r="O73" t="s">
        <v>85</v>
      </c>
      <c r="P73" t="s">
        <v>90</v>
      </c>
    </row>
    <row r="74" spans="1:16" x14ac:dyDescent="0.3">
      <c r="A74">
        <v>73</v>
      </c>
      <c r="B74" s="1">
        <v>40547</v>
      </c>
      <c r="C74">
        <v>4</v>
      </c>
      <c r="D74" t="b">
        <v>0</v>
      </c>
      <c r="E74" t="s">
        <v>25</v>
      </c>
      <c r="F74" t="s">
        <v>30</v>
      </c>
      <c r="G74">
        <v>0.14000000000000001</v>
      </c>
      <c r="H74">
        <v>0.18179999999999999</v>
      </c>
      <c r="I74">
        <v>0.63</v>
      </c>
      <c r="J74">
        <v>8.9599999999999999E-2</v>
      </c>
      <c r="K74">
        <v>0</v>
      </c>
      <c r="L74">
        <v>2</v>
      </c>
      <c r="M74">
        <v>2</v>
      </c>
      <c r="N74" t="s">
        <v>18</v>
      </c>
      <c r="O74" t="s">
        <v>85</v>
      </c>
      <c r="P74" t="s">
        <v>90</v>
      </c>
    </row>
    <row r="75" spans="1:16" x14ac:dyDescent="0.3">
      <c r="A75">
        <v>74</v>
      </c>
      <c r="B75" s="1">
        <v>40547</v>
      </c>
      <c r="C75">
        <v>5</v>
      </c>
      <c r="D75" t="b">
        <v>0</v>
      </c>
      <c r="E75" t="s">
        <v>25</v>
      </c>
      <c r="F75" t="s">
        <v>30</v>
      </c>
      <c r="G75">
        <v>0.12</v>
      </c>
      <c r="H75">
        <v>0.1515</v>
      </c>
      <c r="I75">
        <v>0.68</v>
      </c>
      <c r="J75">
        <v>0.1045</v>
      </c>
      <c r="K75">
        <v>0</v>
      </c>
      <c r="L75">
        <v>4</v>
      </c>
      <c r="M75">
        <v>4</v>
      </c>
      <c r="N75" t="s">
        <v>18</v>
      </c>
      <c r="O75" t="s">
        <v>85</v>
      </c>
      <c r="P75" t="s">
        <v>90</v>
      </c>
    </row>
    <row r="76" spans="1:16" x14ac:dyDescent="0.3">
      <c r="A76">
        <v>75</v>
      </c>
      <c r="B76" s="1">
        <v>40547</v>
      </c>
      <c r="C76">
        <v>6</v>
      </c>
      <c r="D76" t="b">
        <v>0</v>
      </c>
      <c r="E76" t="s">
        <v>25</v>
      </c>
      <c r="F76" t="s">
        <v>30</v>
      </c>
      <c r="G76">
        <v>0.12</v>
      </c>
      <c r="H76">
        <v>0.1515</v>
      </c>
      <c r="I76">
        <v>0.74</v>
      </c>
      <c r="J76">
        <v>0.1045</v>
      </c>
      <c r="K76">
        <v>0</v>
      </c>
      <c r="L76">
        <v>36</v>
      </c>
      <c r="M76">
        <v>36</v>
      </c>
      <c r="N76" t="s">
        <v>18</v>
      </c>
      <c r="O76" t="s">
        <v>85</v>
      </c>
      <c r="P76" t="s">
        <v>90</v>
      </c>
    </row>
    <row r="77" spans="1:16" x14ac:dyDescent="0.3">
      <c r="A77">
        <v>76</v>
      </c>
      <c r="B77" s="1">
        <v>40547</v>
      </c>
      <c r="C77">
        <v>7</v>
      </c>
      <c r="D77" t="b">
        <v>0</v>
      </c>
      <c r="E77" t="s">
        <v>25</v>
      </c>
      <c r="F77" t="s">
        <v>30</v>
      </c>
      <c r="G77">
        <v>0.12</v>
      </c>
      <c r="H77">
        <v>0.1515</v>
      </c>
      <c r="I77">
        <v>0.74</v>
      </c>
      <c r="J77">
        <v>0.1343</v>
      </c>
      <c r="K77">
        <v>2</v>
      </c>
      <c r="L77">
        <v>92</v>
      </c>
      <c r="M77">
        <v>94</v>
      </c>
      <c r="N77" t="s">
        <v>18</v>
      </c>
      <c r="O77" t="s">
        <v>86</v>
      </c>
      <c r="P77" t="s">
        <v>90</v>
      </c>
    </row>
    <row r="78" spans="1:16" x14ac:dyDescent="0.3">
      <c r="A78">
        <v>77</v>
      </c>
      <c r="B78" s="1">
        <v>40547</v>
      </c>
      <c r="C78">
        <v>8</v>
      </c>
      <c r="D78" t="b">
        <v>0</v>
      </c>
      <c r="E78" t="s">
        <v>25</v>
      </c>
      <c r="F78" t="s">
        <v>30</v>
      </c>
      <c r="G78">
        <v>0.14000000000000001</v>
      </c>
      <c r="H78">
        <v>0.1515</v>
      </c>
      <c r="I78">
        <v>0.69</v>
      </c>
      <c r="J78">
        <v>0.16420000000000001</v>
      </c>
      <c r="K78">
        <v>2</v>
      </c>
      <c r="L78">
        <v>177</v>
      </c>
      <c r="M78">
        <v>179</v>
      </c>
      <c r="N78" t="s">
        <v>18</v>
      </c>
      <c r="O78" t="s">
        <v>86</v>
      </c>
      <c r="P78" t="s">
        <v>90</v>
      </c>
    </row>
    <row r="79" spans="1:16" x14ac:dyDescent="0.3">
      <c r="A79">
        <v>78</v>
      </c>
      <c r="B79" s="1">
        <v>40547</v>
      </c>
      <c r="C79">
        <v>9</v>
      </c>
      <c r="D79" t="b">
        <v>0</v>
      </c>
      <c r="E79" t="s">
        <v>25</v>
      </c>
      <c r="F79" t="s">
        <v>30</v>
      </c>
      <c r="G79">
        <v>0.16</v>
      </c>
      <c r="H79">
        <v>0.1515</v>
      </c>
      <c r="I79">
        <v>0.64</v>
      </c>
      <c r="J79">
        <v>0.22389999999999999</v>
      </c>
      <c r="K79">
        <v>2</v>
      </c>
      <c r="L79">
        <v>98</v>
      </c>
      <c r="M79">
        <v>100</v>
      </c>
      <c r="N79" t="s">
        <v>18</v>
      </c>
      <c r="O79" t="s">
        <v>86</v>
      </c>
      <c r="P79" t="s">
        <v>90</v>
      </c>
    </row>
    <row r="80" spans="1:16" x14ac:dyDescent="0.3">
      <c r="A80">
        <v>79</v>
      </c>
      <c r="B80" s="1">
        <v>40547</v>
      </c>
      <c r="C80">
        <v>10</v>
      </c>
      <c r="D80" t="b">
        <v>0</v>
      </c>
      <c r="E80" t="s">
        <v>25</v>
      </c>
      <c r="F80" t="s">
        <v>31</v>
      </c>
      <c r="G80">
        <v>0.16</v>
      </c>
      <c r="H80">
        <v>0.13639999999999999</v>
      </c>
      <c r="I80">
        <v>0.69</v>
      </c>
      <c r="J80">
        <v>0.32840000000000003</v>
      </c>
      <c r="K80">
        <v>5</v>
      </c>
      <c r="L80">
        <v>37</v>
      </c>
      <c r="M80">
        <v>42</v>
      </c>
      <c r="N80" t="s">
        <v>18</v>
      </c>
      <c r="O80" t="s">
        <v>85</v>
      </c>
      <c r="P80" t="s">
        <v>91</v>
      </c>
    </row>
    <row r="81" spans="1:16" x14ac:dyDescent="0.3">
      <c r="A81">
        <v>80</v>
      </c>
      <c r="B81" s="1">
        <v>40547</v>
      </c>
      <c r="C81">
        <v>11</v>
      </c>
      <c r="D81" t="b">
        <v>0</v>
      </c>
      <c r="E81" t="s">
        <v>25</v>
      </c>
      <c r="F81" t="s">
        <v>30</v>
      </c>
      <c r="G81">
        <v>0.22</v>
      </c>
      <c r="H81">
        <v>0.21210000000000001</v>
      </c>
      <c r="I81">
        <v>0.51</v>
      </c>
      <c r="J81">
        <v>0.29849999999999999</v>
      </c>
      <c r="K81">
        <v>7</v>
      </c>
      <c r="L81">
        <v>50</v>
      </c>
      <c r="M81">
        <v>57</v>
      </c>
      <c r="N81" t="s">
        <v>18</v>
      </c>
      <c r="O81" t="s">
        <v>85</v>
      </c>
      <c r="P81" t="s">
        <v>90</v>
      </c>
    </row>
    <row r="82" spans="1:16" x14ac:dyDescent="0.3">
      <c r="A82">
        <v>81</v>
      </c>
      <c r="B82" s="1">
        <v>40547</v>
      </c>
      <c r="C82">
        <v>12</v>
      </c>
      <c r="D82" t="b">
        <v>0</v>
      </c>
      <c r="E82" t="s">
        <v>25</v>
      </c>
      <c r="F82" t="s">
        <v>30</v>
      </c>
      <c r="G82">
        <v>0.22</v>
      </c>
      <c r="H82">
        <v>0.2273</v>
      </c>
      <c r="I82">
        <v>0.51</v>
      </c>
      <c r="J82">
        <v>0.16420000000000001</v>
      </c>
      <c r="K82">
        <v>12</v>
      </c>
      <c r="L82">
        <v>66</v>
      </c>
      <c r="M82">
        <v>78</v>
      </c>
      <c r="N82" t="s">
        <v>18</v>
      </c>
      <c r="O82" t="s">
        <v>85</v>
      </c>
      <c r="P82" t="s">
        <v>90</v>
      </c>
    </row>
    <row r="83" spans="1:16" x14ac:dyDescent="0.3">
      <c r="A83">
        <v>82</v>
      </c>
      <c r="B83" s="1">
        <v>40547</v>
      </c>
      <c r="C83">
        <v>13</v>
      </c>
      <c r="D83" t="b">
        <v>0</v>
      </c>
      <c r="E83" t="s">
        <v>25</v>
      </c>
      <c r="F83" t="s">
        <v>30</v>
      </c>
      <c r="G83">
        <v>0.24</v>
      </c>
      <c r="H83">
        <v>0.2273</v>
      </c>
      <c r="I83">
        <v>0.56000000000000005</v>
      </c>
      <c r="J83">
        <v>0.19400000000000001</v>
      </c>
      <c r="K83">
        <v>18</v>
      </c>
      <c r="L83">
        <v>79</v>
      </c>
      <c r="M83">
        <v>97</v>
      </c>
      <c r="N83" t="s">
        <v>18</v>
      </c>
      <c r="O83" t="s">
        <v>85</v>
      </c>
      <c r="P83" t="s">
        <v>90</v>
      </c>
    </row>
    <row r="84" spans="1:16" x14ac:dyDescent="0.3">
      <c r="A84">
        <v>83</v>
      </c>
      <c r="B84" s="1">
        <v>40547</v>
      </c>
      <c r="C84">
        <v>14</v>
      </c>
      <c r="D84" t="b">
        <v>0</v>
      </c>
      <c r="E84" t="s">
        <v>25</v>
      </c>
      <c r="F84" t="s">
        <v>30</v>
      </c>
      <c r="G84">
        <v>0.26</v>
      </c>
      <c r="H84">
        <v>0.2576</v>
      </c>
      <c r="I84">
        <v>0.52</v>
      </c>
      <c r="J84">
        <v>0.22389999999999999</v>
      </c>
      <c r="K84">
        <v>9</v>
      </c>
      <c r="L84">
        <v>54</v>
      </c>
      <c r="M84">
        <v>63</v>
      </c>
      <c r="N84" t="s">
        <v>18</v>
      </c>
      <c r="O84" t="s">
        <v>85</v>
      </c>
      <c r="P84" t="s">
        <v>90</v>
      </c>
    </row>
    <row r="85" spans="1:16" x14ac:dyDescent="0.3">
      <c r="A85">
        <v>84</v>
      </c>
      <c r="B85" s="1">
        <v>40547</v>
      </c>
      <c r="C85">
        <v>15</v>
      </c>
      <c r="D85" t="b">
        <v>0</v>
      </c>
      <c r="E85" t="s">
        <v>25</v>
      </c>
      <c r="F85" t="s">
        <v>30</v>
      </c>
      <c r="G85">
        <v>0.28000000000000003</v>
      </c>
      <c r="H85">
        <v>0.2727</v>
      </c>
      <c r="I85">
        <v>0.52</v>
      </c>
      <c r="J85">
        <v>0.25369999999999998</v>
      </c>
      <c r="K85">
        <v>17</v>
      </c>
      <c r="L85">
        <v>48</v>
      </c>
      <c r="M85">
        <v>65</v>
      </c>
      <c r="N85" t="s">
        <v>18</v>
      </c>
      <c r="O85" t="s">
        <v>85</v>
      </c>
      <c r="P85" t="s">
        <v>90</v>
      </c>
    </row>
    <row r="86" spans="1:16" x14ac:dyDescent="0.3">
      <c r="A86">
        <v>85</v>
      </c>
      <c r="B86" s="1">
        <v>40547</v>
      </c>
      <c r="C86">
        <v>16</v>
      </c>
      <c r="D86" t="b">
        <v>0</v>
      </c>
      <c r="E86" t="s">
        <v>25</v>
      </c>
      <c r="F86" t="s">
        <v>30</v>
      </c>
      <c r="G86">
        <v>0.3</v>
      </c>
      <c r="H86">
        <v>0.28789999999999999</v>
      </c>
      <c r="I86">
        <v>0.49</v>
      </c>
      <c r="J86">
        <v>0.25369999999999998</v>
      </c>
      <c r="K86">
        <v>15</v>
      </c>
      <c r="L86">
        <v>68</v>
      </c>
      <c r="M86">
        <v>83</v>
      </c>
      <c r="N86" t="s">
        <v>18</v>
      </c>
      <c r="O86" t="s">
        <v>85</v>
      </c>
      <c r="P86" t="s">
        <v>90</v>
      </c>
    </row>
    <row r="87" spans="1:16" x14ac:dyDescent="0.3">
      <c r="A87">
        <v>86</v>
      </c>
      <c r="B87" s="1">
        <v>40547</v>
      </c>
      <c r="C87">
        <v>17</v>
      </c>
      <c r="D87" t="b">
        <v>0</v>
      </c>
      <c r="E87" t="s">
        <v>25</v>
      </c>
      <c r="F87" t="s">
        <v>30</v>
      </c>
      <c r="G87">
        <v>0.28000000000000003</v>
      </c>
      <c r="H87">
        <v>0.2727</v>
      </c>
      <c r="I87">
        <v>0.48</v>
      </c>
      <c r="J87">
        <v>0.22389999999999999</v>
      </c>
      <c r="K87">
        <v>10</v>
      </c>
      <c r="L87">
        <v>202</v>
      </c>
      <c r="M87">
        <v>212</v>
      </c>
      <c r="N87" t="s">
        <v>18</v>
      </c>
      <c r="O87" t="s">
        <v>87</v>
      </c>
      <c r="P87" t="s">
        <v>90</v>
      </c>
    </row>
    <row r="88" spans="1:16" x14ac:dyDescent="0.3">
      <c r="A88">
        <v>87</v>
      </c>
      <c r="B88" s="1">
        <v>40547</v>
      </c>
      <c r="C88">
        <v>18</v>
      </c>
      <c r="D88" t="b">
        <v>0</v>
      </c>
      <c r="E88" t="s">
        <v>25</v>
      </c>
      <c r="F88" t="s">
        <v>30</v>
      </c>
      <c r="G88">
        <v>0.26</v>
      </c>
      <c r="H88">
        <v>0.2576</v>
      </c>
      <c r="I88">
        <v>0.48</v>
      </c>
      <c r="J88">
        <v>0.19400000000000001</v>
      </c>
      <c r="K88">
        <v>3</v>
      </c>
      <c r="L88">
        <v>179</v>
      </c>
      <c r="M88">
        <v>182</v>
      </c>
      <c r="N88" t="s">
        <v>18</v>
      </c>
      <c r="O88" t="s">
        <v>87</v>
      </c>
      <c r="P88" t="s">
        <v>90</v>
      </c>
    </row>
    <row r="89" spans="1:16" x14ac:dyDescent="0.3">
      <c r="A89">
        <v>88</v>
      </c>
      <c r="B89" s="1">
        <v>40547</v>
      </c>
      <c r="C89">
        <v>19</v>
      </c>
      <c r="D89" t="b">
        <v>0</v>
      </c>
      <c r="E89" t="s">
        <v>25</v>
      </c>
      <c r="F89" t="s">
        <v>30</v>
      </c>
      <c r="G89">
        <v>0.24</v>
      </c>
      <c r="H89">
        <v>0.2576</v>
      </c>
      <c r="I89">
        <v>0.48</v>
      </c>
      <c r="J89">
        <v>0.1045</v>
      </c>
      <c r="K89">
        <v>2</v>
      </c>
      <c r="L89">
        <v>110</v>
      </c>
      <c r="M89">
        <v>112</v>
      </c>
      <c r="N89" t="s">
        <v>18</v>
      </c>
      <c r="O89" t="s">
        <v>87</v>
      </c>
      <c r="P89" t="s">
        <v>90</v>
      </c>
    </row>
    <row r="90" spans="1:16" x14ac:dyDescent="0.3">
      <c r="A90">
        <v>89</v>
      </c>
      <c r="B90" s="1">
        <v>40547</v>
      </c>
      <c r="C90">
        <v>20</v>
      </c>
      <c r="D90" t="b">
        <v>0</v>
      </c>
      <c r="E90" t="s">
        <v>25</v>
      </c>
      <c r="F90" t="s">
        <v>30</v>
      </c>
      <c r="G90">
        <v>0.24</v>
      </c>
      <c r="H90">
        <v>0.2576</v>
      </c>
      <c r="I90">
        <v>0.48</v>
      </c>
      <c r="J90">
        <v>0.1045</v>
      </c>
      <c r="K90">
        <v>1</v>
      </c>
      <c r="L90">
        <v>53</v>
      </c>
      <c r="M90">
        <v>54</v>
      </c>
      <c r="N90" t="s">
        <v>18</v>
      </c>
      <c r="O90" t="s">
        <v>85</v>
      </c>
      <c r="P90" t="s">
        <v>90</v>
      </c>
    </row>
    <row r="91" spans="1:16" x14ac:dyDescent="0.3">
      <c r="A91">
        <v>90</v>
      </c>
      <c r="B91" s="1">
        <v>40547</v>
      </c>
      <c r="C91">
        <v>21</v>
      </c>
      <c r="D91" t="b">
        <v>0</v>
      </c>
      <c r="E91" t="s">
        <v>25</v>
      </c>
      <c r="F91" t="s">
        <v>30</v>
      </c>
      <c r="G91">
        <v>0.22</v>
      </c>
      <c r="H91">
        <v>0.2727</v>
      </c>
      <c r="I91">
        <v>0.64</v>
      </c>
      <c r="J91">
        <v>0</v>
      </c>
      <c r="K91">
        <v>0</v>
      </c>
      <c r="L91">
        <v>48</v>
      </c>
      <c r="M91">
        <v>48</v>
      </c>
      <c r="N91" t="s">
        <v>18</v>
      </c>
      <c r="O91" t="s">
        <v>85</v>
      </c>
      <c r="P91" t="s">
        <v>90</v>
      </c>
    </row>
    <row r="92" spans="1:16" x14ac:dyDescent="0.3">
      <c r="A92">
        <v>91</v>
      </c>
      <c r="B92" s="1">
        <v>40547</v>
      </c>
      <c r="C92">
        <v>22</v>
      </c>
      <c r="D92" t="b">
        <v>0</v>
      </c>
      <c r="E92" t="s">
        <v>25</v>
      </c>
      <c r="F92" t="s">
        <v>30</v>
      </c>
      <c r="G92">
        <v>0.22</v>
      </c>
      <c r="H92">
        <v>0.2576</v>
      </c>
      <c r="I92">
        <v>0.64</v>
      </c>
      <c r="J92">
        <v>8.9599999999999999E-2</v>
      </c>
      <c r="K92">
        <v>1</v>
      </c>
      <c r="L92">
        <v>34</v>
      </c>
      <c r="M92">
        <v>35</v>
      </c>
      <c r="N92" t="s">
        <v>18</v>
      </c>
      <c r="O92" t="s">
        <v>85</v>
      </c>
      <c r="P92" t="s">
        <v>90</v>
      </c>
    </row>
    <row r="93" spans="1:16" x14ac:dyDescent="0.3">
      <c r="A93">
        <v>92</v>
      </c>
      <c r="B93" s="1">
        <v>40547</v>
      </c>
      <c r="C93">
        <v>23</v>
      </c>
      <c r="D93" t="b">
        <v>0</v>
      </c>
      <c r="E93" t="s">
        <v>25</v>
      </c>
      <c r="F93" t="s">
        <v>30</v>
      </c>
      <c r="G93">
        <v>0.2</v>
      </c>
      <c r="H93">
        <v>0.2273</v>
      </c>
      <c r="I93">
        <v>0.69</v>
      </c>
      <c r="J93">
        <v>8.9599999999999999E-2</v>
      </c>
      <c r="K93">
        <v>2</v>
      </c>
      <c r="L93">
        <v>9</v>
      </c>
      <c r="M93">
        <v>11</v>
      </c>
      <c r="N93" t="s">
        <v>18</v>
      </c>
      <c r="O93" t="s">
        <v>85</v>
      </c>
      <c r="P93" t="s">
        <v>90</v>
      </c>
    </row>
    <row r="94" spans="1:16" x14ac:dyDescent="0.3">
      <c r="A94">
        <v>93</v>
      </c>
      <c r="B94" s="1">
        <v>40548</v>
      </c>
      <c r="C94">
        <v>0</v>
      </c>
      <c r="D94" t="b">
        <v>0</v>
      </c>
      <c r="E94" t="s">
        <v>26</v>
      </c>
      <c r="F94" t="s">
        <v>30</v>
      </c>
      <c r="G94">
        <v>0.2</v>
      </c>
      <c r="H94">
        <v>0.2576</v>
      </c>
      <c r="I94">
        <v>0.64</v>
      </c>
      <c r="J94">
        <v>0</v>
      </c>
      <c r="K94">
        <v>0</v>
      </c>
      <c r="L94">
        <v>6</v>
      </c>
      <c r="M94">
        <v>6</v>
      </c>
      <c r="N94" t="s">
        <v>18</v>
      </c>
      <c r="O94" t="s">
        <v>85</v>
      </c>
      <c r="P94" t="s">
        <v>90</v>
      </c>
    </row>
    <row r="95" spans="1:16" x14ac:dyDescent="0.3">
      <c r="A95">
        <v>94</v>
      </c>
      <c r="B95" s="1">
        <v>40548</v>
      </c>
      <c r="C95">
        <v>1</v>
      </c>
      <c r="D95" t="b">
        <v>0</v>
      </c>
      <c r="E95" t="s">
        <v>26</v>
      </c>
      <c r="F95" t="s">
        <v>30</v>
      </c>
      <c r="G95">
        <v>0.16</v>
      </c>
      <c r="H95">
        <v>0.19700000000000001</v>
      </c>
      <c r="I95">
        <v>0.74</v>
      </c>
      <c r="J95">
        <v>8.9599999999999999E-2</v>
      </c>
      <c r="K95">
        <v>0</v>
      </c>
      <c r="L95">
        <v>6</v>
      </c>
      <c r="M95">
        <v>6</v>
      </c>
      <c r="N95" t="s">
        <v>18</v>
      </c>
      <c r="O95" t="s">
        <v>85</v>
      </c>
      <c r="P95" t="s">
        <v>90</v>
      </c>
    </row>
    <row r="96" spans="1:16" x14ac:dyDescent="0.3">
      <c r="A96">
        <v>95</v>
      </c>
      <c r="B96" s="1">
        <v>40548</v>
      </c>
      <c r="C96">
        <v>2</v>
      </c>
      <c r="D96" t="b">
        <v>0</v>
      </c>
      <c r="E96" t="s">
        <v>26</v>
      </c>
      <c r="F96" t="s">
        <v>30</v>
      </c>
      <c r="G96">
        <v>0.16</v>
      </c>
      <c r="H96">
        <v>0.19700000000000001</v>
      </c>
      <c r="I96">
        <v>0.74</v>
      </c>
      <c r="J96">
        <v>8.9599999999999999E-2</v>
      </c>
      <c r="K96">
        <v>0</v>
      </c>
      <c r="L96">
        <v>2</v>
      </c>
      <c r="M96">
        <v>2</v>
      </c>
      <c r="N96" t="s">
        <v>18</v>
      </c>
      <c r="O96" t="s">
        <v>85</v>
      </c>
      <c r="P96" t="s">
        <v>90</v>
      </c>
    </row>
    <row r="97" spans="1:16" x14ac:dyDescent="0.3">
      <c r="A97">
        <v>96</v>
      </c>
      <c r="B97" s="1">
        <v>40548</v>
      </c>
      <c r="C97">
        <v>4</v>
      </c>
      <c r="D97" t="b">
        <v>0</v>
      </c>
      <c r="E97" t="s">
        <v>26</v>
      </c>
      <c r="F97" t="s">
        <v>30</v>
      </c>
      <c r="G97">
        <v>0.24</v>
      </c>
      <c r="H97">
        <v>0.2273</v>
      </c>
      <c r="I97">
        <v>0.48</v>
      </c>
      <c r="J97">
        <v>0.22389999999999999</v>
      </c>
      <c r="K97">
        <v>0</v>
      </c>
      <c r="L97">
        <v>2</v>
      </c>
      <c r="M97">
        <v>2</v>
      </c>
      <c r="N97" t="s">
        <v>18</v>
      </c>
      <c r="O97" t="s">
        <v>85</v>
      </c>
      <c r="P97" t="s">
        <v>90</v>
      </c>
    </row>
    <row r="98" spans="1:16" x14ac:dyDescent="0.3">
      <c r="A98">
        <v>97</v>
      </c>
      <c r="B98" s="1">
        <v>40548</v>
      </c>
      <c r="C98">
        <v>5</v>
      </c>
      <c r="D98" t="b">
        <v>0</v>
      </c>
      <c r="E98" t="s">
        <v>26</v>
      </c>
      <c r="F98" t="s">
        <v>30</v>
      </c>
      <c r="G98">
        <v>0.22</v>
      </c>
      <c r="H98">
        <v>0.2273</v>
      </c>
      <c r="I98">
        <v>0.47</v>
      </c>
      <c r="J98">
        <v>0.16420000000000001</v>
      </c>
      <c r="K98">
        <v>0</v>
      </c>
      <c r="L98">
        <v>3</v>
      </c>
      <c r="M98">
        <v>3</v>
      </c>
      <c r="N98" t="s">
        <v>18</v>
      </c>
      <c r="O98" t="s">
        <v>85</v>
      </c>
      <c r="P98" t="s">
        <v>90</v>
      </c>
    </row>
    <row r="99" spans="1:16" x14ac:dyDescent="0.3">
      <c r="A99">
        <v>98</v>
      </c>
      <c r="B99" s="1">
        <v>40548</v>
      </c>
      <c r="C99">
        <v>6</v>
      </c>
      <c r="D99" t="b">
        <v>0</v>
      </c>
      <c r="E99" t="s">
        <v>26</v>
      </c>
      <c r="F99" t="s">
        <v>30</v>
      </c>
      <c r="G99">
        <v>0.2</v>
      </c>
      <c r="H99">
        <v>0.19700000000000001</v>
      </c>
      <c r="I99">
        <v>0.47</v>
      </c>
      <c r="J99">
        <v>0.22389999999999999</v>
      </c>
      <c r="K99">
        <v>0</v>
      </c>
      <c r="L99">
        <v>33</v>
      </c>
      <c r="M99">
        <v>33</v>
      </c>
      <c r="N99" t="s">
        <v>18</v>
      </c>
      <c r="O99" t="s">
        <v>85</v>
      </c>
      <c r="P99" t="s">
        <v>90</v>
      </c>
    </row>
    <row r="100" spans="1:16" x14ac:dyDescent="0.3">
      <c r="A100">
        <v>99</v>
      </c>
      <c r="B100" s="1">
        <v>40548</v>
      </c>
      <c r="C100">
        <v>7</v>
      </c>
      <c r="D100" t="b">
        <v>0</v>
      </c>
      <c r="E100" t="s">
        <v>26</v>
      </c>
      <c r="F100" t="s">
        <v>30</v>
      </c>
      <c r="G100">
        <v>0.18</v>
      </c>
      <c r="H100">
        <v>0.18179999999999999</v>
      </c>
      <c r="I100">
        <v>0.43</v>
      </c>
      <c r="J100">
        <v>0.19400000000000001</v>
      </c>
      <c r="K100">
        <v>1</v>
      </c>
      <c r="L100">
        <v>87</v>
      </c>
      <c r="M100">
        <v>88</v>
      </c>
      <c r="N100" t="s">
        <v>18</v>
      </c>
      <c r="O100" t="s">
        <v>86</v>
      </c>
      <c r="P100" t="s">
        <v>90</v>
      </c>
    </row>
    <row r="101" spans="1:16" x14ac:dyDescent="0.3">
      <c r="A101">
        <v>100</v>
      </c>
      <c r="B101" s="1">
        <v>40548</v>
      </c>
      <c r="C101">
        <v>8</v>
      </c>
      <c r="D101" t="b">
        <v>0</v>
      </c>
      <c r="E101" t="s">
        <v>26</v>
      </c>
      <c r="F101" t="s">
        <v>30</v>
      </c>
      <c r="G101">
        <v>0.2</v>
      </c>
      <c r="H101">
        <v>0.18179999999999999</v>
      </c>
      <c r="I101">
        <v>0.4</v>
      </c>
      <c r="J101">
        <v>0.29849999999999999</v>
      </c>
      <c r="K101">
        <v>3</v>
      </c>
      <c r="L101">
        <v>192</v>
      </c>
      <c r="M101">
        <v>195</v>
      </c>
      <c r="N101" t="s">
        <v>18</v>
      </c>
      <c r="O101" t="s">
        <v>86</v>
      </c>
      <c r="P101" t="s">
        <v>90</v>
      </c>
    </row>
    <row r="102" spans="1:16" x14ac:dyDescent="0.3">
      <c r="A102">
        <v>101</v>
      </c>
      <c r="B102" s="1">
        <v>40548</v>
      </c>
      <c r="C102">
        <v>9</v>
      </c>
      <c r="D102" t="b">
        <v>0</v>
      </c>
      <c r="E102" t="s">
        <v>26</v>
      </c>
      <c r="F102" t="s">
        <v>30</v>
      </c>
      <c r="G102">
        <v>0.22</v>
      </c>
      <c r="H102">
        <v>0.19700000000000001</v>
      </c>
      <c r="I102">
        <v>0.37</v>
      </c>
      <c r="J102">
        <v>0.32840000000000003</v>
      </c>
      <c r="K102">
        <v>6</v>
      </c>
      <c r="L102">
        <v>109</v>
      </c>
      <c r="M102">
        <v>115</v>
      </c>
      <c r="N102" t="s">
        <v>18</v>
      </c>
      <c r="O102" t="s">
        <v>86</v>
      </c>
      <c r="P102" t="s">
        <v>90</v>
      </c>
    </row>
    <row r="103" spans="1:16" x14ac:dyDescent="0.3">
      <c r="A103">
        <v>102</v>
      </c>
      <c r="B103" s="1">
        <v>40548</v>
      </c>
      <c r="C103">
        <v>10</v>
      </c>
      <c r="D103" t="b">
        <v>0</v>
      </c>
      <c r="E103" t="s">
        <v>26</v>
      </c>
      <c r="F103" t="s">
        <v>30</v>
      </c>
      <c r="G103">
        <v>0.22</v>
      </c>
      <c r="H103">
        <v>0.19700000000000001</v>
      </c>
      <c r="I103">
        <v>0.37</v>
      </c>
      <c r="J103">
        <v>0.32840000000000003</v>
      </c>
      <c r="K103">
        <v>4</v>
      </c>
      <c r="L103">
        <v>53</v>
      </c>
      <c r="M103">
        <v>57</v>
      </c>
      <c r="N103" t="s">
        <v>18</v>
      </c>
      <c r="O103" t="s">
        <v>85</v>
      </c>
      <c r="P103" t="s">
        <v>90</v>
      </c>
    </row>
    <row r="104" spans="1:16" x14ac:dyDescent="0.3">
      <c r="A104">
        <v>103</v>
      </c>
      <c r="B104" s="1">
        <v>40548</v>
      </c>
      <c r="C104">
        <v>11</v>
      </c>
      <c r="D104" t="b">
        <v>0</v>
      </c>
      <c r="E104" t="s">
        <v>26</v>
      </c>
      <c r="F104" t="s">
        <v>30</v>
      </c>
      <c r="G104">
        <v>0.26</v>
      </c>
      <c r="H104">
        <v>0.2273</v>
      </c>
      <c r="I104">
        <v>0.33</v>
      </c>
      <c r="J104">
        <v>0.32840000000000003</v>
      </c>
      <c r="K104">
        <v>12</v>
      </c>
      <c r="L104">
        <v>34</v>
      </c>
      <c r="M104">
        <v>46</v>
      </c>
      <c r="N104" t="s">
        <v>18</v>
      </c>
      <c r="O104" t="s">
        <v>85</v>
      </c>
      <c r="P104" t="s">
        <v>90</v>
      </c>
    </row>
    <row r="105" spans="1:16" x14ac:dyDescent="0.3">
      <c r="A105">
        <v>104</v>
      </c>
      <c r="B105" s="1">
        <v>40548</v>
      </c>
      <c r="C105">
        <v>12</v>
      </c>
      <c r="D105" t="b">
        <v>0</v>
      </c>
      <c r="E105" t="s">
        <v>26</v>
      </c>
      <c r="F105" t="s">
        <v>30</v>
      </c>
      <c r="G105">
        <v>0.26</v>
      </c>
      <c r="H105">
        <v>0.2273</v>
      </c>
      <c r="I105">
        <v>0.33</v>
      </c>
      <c r="J105">
        <v>0.32840000000000003</v>
      </c>
      <c r="K105">
        <v>5</v>
      </c>
      <c r="L105">
        <v>74</v>
      </c>
      <c r="M105">
        <v>79</v>
      </c>
      <c r="N105" t="s">
        <v>18</v>
      </c>
      <c r="O105" t="s">
        <v>85</v>
      </c>
      <c r="P105" t="s">
        <v>90</v>
      </c>
    </row>
    <row r="106" spans="1:16" x14ac:dyDescent="0.3">
      <c r="A106">
        <v>105</v>
      </c>
      <c r="B106" s="1">
        <v>40548</v>
      </c>
      <c r="C106">
        <v>13</v>
      </c>
      <c r="D106" t="b">
        <v>0</v>
      </c>
      <c r="E106" t="s">
        <v>26</v>
      </c>
      <c r="F106" t="s">
        <v>30</v>
      </c>
      <c r="G106">
        <v>0.28000000000000003</v>
      </c>
      <c r="H106">
        <v>0.2576</v>
      </c>
      <c r="I106">
        <v>0.3</v>
      </c>
      <c r="J106">
        <v>0.29849999999999999</v>
      </c>
      <c r="K106">
        <v>6</v>
      </c>
      <c r="L106">
        <v>65</v>
      </c>
      <c r="M106">
        <v>71</v>
      </c>
      <c r="N106" t="s">
        <v>18</v>
      </c>
      <c r="O106" t="s">
        <v>85</v>
      </c>
      <c r="P106" t="s">
        <v>90</v>
      </c>
    </row>
    <row r="107" spans="1:16" x14ac:dyDescent="0.3">
      <c r="A107">
        <v>106</v>
      </c>
      <c r="B107" s="1">
        <v>40548</v>
      </c>
      <c r="C107">
        <v>14</v>
      </c>
      <c r="D107" t="b">
        <v>0</v>
      </c>
      <c r="E107" t="s">
        <v>26</v>
      </c>
      <c r="F107" t="s">
        <v>30</v>
      </c>
      <c r="G107">
        <v>0.3</v>
      </c>
      <c r="H107">
        <v>0.28789999999999999</v>
      </c>
      <c r="I107">
        <v>0.28000000000000003</v>
      </c>
      <c r="J107">
        <v>0.19400000000000001</v>
      </c>
      <c r="K107">
        <v>10</v>
      </c>
      <c r="L107">
        <v>52</v>
      </c>
      <c r="M107">
        <v>62</v>
      </c>
      <c r="N107" t="s">
        <v>18</v>
      </c>
      <c r="O107" t="s">
        <v>85</v>
      </c>
      <c r="P107" t="s">
        <v>90</v>
      </c>
    </row>
    <row r="108" spans="1:16" x14ac:dyDescent="0.3">
      <c r="A108">
        <v>107</v>
      </c>
      <c r="B108" s="1">
        <v>40548</v>
      </c>
      <c r="C108">
        <v>15</v>
      </c>
      <c r="D108" t="b">
        <v>0</v>
      </c>
      <c r="E108" t="s">
        <v>26</v>
      </c>
      <c r="F108" t="s">
        <v>30</v>
      </c>
      <c r="G108">
        <v>0.3</v>
      </c>
      <c r="H108">
        <v>0.28789999999999999</v>
      </c>
      <c r="I108">
        <v>0.28000000000000003</v>
      </c>
      <c r="J108">
        <v>0.19400000000000001</v>
      </c>
      <c r="K108">
        <v>7</v>
      </c>
      <c r="L108">
        <v>55</v>
      </c>
      <c r="M108">
        <v>62</v>
      </c>
      <c r="N108" t="s">
        <v>18</v>
      </c>
      <c r="O108" t="s">
        <v>85</v>
      </c>
      <c r="P108" t="s">
        <v>90</v>
      </c>
    </row>
    <row r="109" spans="1:16" x14ac:dyDescent="0.3">
      <c r="A109">
        <v>108</v>
      </c>
      <c r="B109" s="1">
        <v>40548</v>
      </c>
      <c r="C109">
        <v>16</v>
      </c>
      <c r="D109" t="b">
        <v>0</v>
      </c>
      <c r="E109" t="s">
        <v>26</v>
      </c>
      <c r="F109" t="s">
        <v>30</v>
      </c>
      <c r="G109">
        <v>0.3</v>
      </c>
      <c r="H109">
        <v>0.31819999999999998</v>
      </c>
      <c r="I109">
        <v>0.28000000000000003</v>
      </c>
      <c r="J109">
        <v>8.9599999999999999E-2</v>
      </c>
      <c r="K109">
        <v>4</v>
      </c>
      <c r="L109">
        <v>85</v>
      </c>
      <c r="M109">
        <v>89</v>
      </c>
      <c r="N109" t="s">
        <v>18</v>
      </c>
      <c r="O109" t="s">
        <v>85</v>
      </c>
      <c r="P109" t="s">
        <v>90</v>
      </c>
    </row>
    <row r="110" spans="1:16" x14ac:dyDescent="0.3">
      <c r="A110">
        <v>109</v>
      </c>
      <c r="B110" s="1">
        <v>40548</v>
      </c>
      <c r="C110">
        <v>17</v>
      </c>
      <c r="D110" t="b">
        <v>0</v>
      </c>
      <c r="E110" t="s">
        <v>26</v>
      </c>
      <c r="F110" t="s">
        <v>30</v>
      </c>
      <c r="G110">
        <v>0.24</v>
      </c>
      <c r="H110">
        <v>0.2273</v>
      </c>
      <c r="I110">
        <v>0.38</v>
      </c>
      <c r="J110">
        <v>0.19400000000000001</v>
      </c>
      <c r="K110">
        <v>4</v>
      </c>
      <c r="L110">
        <v>186</v>
      </c>
      <c r="M110">
        <v>190</v>
      </c>
      <c r="N110" t="s">
        <v>18</v>
      </c>
      <c r="O110" t="s">
        <v>87</v>
      </c>
      <c r="P110" t="s">
        <v>90</v>
      </c>
    </row>
    <row r="111" spans="1:16" x14ac:dyDescent="0.3">
      <c r="A111">
        <v>110</v>
      </c>
      <c r="B111" s="1">
        <v>40548</v>
      </c>
      <c r="C111">
        <v>18</v>
      </c>
      <c r="D111" t="b">
        <v>0</v>
      </c>
      <c r="E111" t="s">
        <v>26</v>
      </c>
      <c r="F111" t="s">
        <v>30</v>
      </c>
      <c r="G111">
        <v>0.24</v>
      </c>
      <c r="H111">
        <v>0.2424</v>
      </c>
      <c r="I111">
        <v>0.38</v>
      </c>
      <c r="J111">
        <v>0.1343</v>
      </c>
      <c r="K111">
        <v>3</v>
      </c>
      <c r="L111">
        <v>166</v>
      </c>
      <c r="M111">
        <v>169</v>
      </c>
      <c r="N111" t="s">
        <v>18</v>
      </c>
      <c r="O111" t="s">
        <v>87</v>
      </c>
      <c r="P111" t="s">
        <v>90</v>
      </c>
    </row>
    <row r="112" spans="1:16" x14ac:dyDescent="0.3">
      <c r="A112">
        <v>111</v>
      </c>
      <c r="B112" s="1">
        <v>40548</v>
      </c>
      <c r="C112">
        <v>19</v>
      </c>
      <c r="D112" t="b">
        <v>0</v>
      </c>
      <c r="E112" t="s">
        <v>26</v>
      </c>
      <c r="F112" t="s">
        <v>30</v>
      </c>
      <c r="G112">
        <v>0.24</v>
      </c>
      <c r="H112">
        <v>0.2576</v>
      </c>
      <c r="I112">
        <v>0.38</v>
      </c>
      <c r="J112">
        <v>0.1045</v>
      </c>
      <c r="K112">
        <v>5</v>
      </c>
      <c r="L112">
        <v>127</v>
      </c>
      <c r="M112">
        <v>132</v>
      </c>
      <c r="N112" t="s">
        <v>18</v>
      </c>
      <c r="O112" t="s">
        <v>87</v>
      </c>
      <c r="P112" t="s">
        <v>90</v>
      </c>
    </row>
    <row r="113" spans="1:16" x14ac:dyDescent="0.3">
      <c r="A113">
        <v>112</v>
      </c>
      <c r="B113" s="1">
        <v>40548</v>
      </c>
      <c r="C113">
        <v>20</v>
      </c>
      <c r="D113" t="b">
        <v>0</v>
      </c>
      <c r="E113" t="s">
        <v>26</v>
      </c>
      <c r="F113" t="s">
        <v>30</v>
      </c>
      <c r="G113">
        <v>0.22</v>
      </c>
      <c r="H113">
        <v>0.2273</v>
      </c>
      <c r="I113">
        <v>0.47</v>
      </c>
      <c r="J113">
        <v>0.16420000000000001</v>
      </c>
      <c r="K113">
        <v>7</v>
      </c>
      <c r="L113">
        <v>82</v>
      </c>
      <c r="M113">
        <v>89</v>
      </c>
      <c r="N113" t="s">
        <v>18</v>
      </c>
      <c r="O113" t="s">
        <v>85</v>
      </c>
      <c r="P113" t="s">
        <v>90</v>
      </c>
    </row>
    <row r="114" spans="1:16" x14ac:dyDescent="0.3">
      <c r="A114">
        <v>113</v>
      </c>
      <c r="B114" s="1">
        <v>40548</v>
      </c>
      <c r="C114">
        <v>21</v>
      </c>
      <c r="D114" t="b">
        <v>0</v>
      </c>
      <c r="E114" t="s">
        <v>26</v>
      </c>
      <c r="F114" t="s">
        <v>30</v>
      </c>
      <c r="G114">
        <v>0.2</v>
      </c>
      <c r="H114">
        <v>0.19700000000000001</v>
      </c>
      <c r="I114">
        <v>0.51</v>
      </c>
      <c r="J114">
        <v>0.19400000000000001</v>
      </c>
      <c r="K114">
        <v>3</v>
      </c>
      <c r="L114">
        <v>40</v>
      </c>
      <c r="M114">
        <v>43</v>
      </c>
      <c r="N114" t="s">
        <v>18</v>
      </c>
      <c r="O114" t="s">
        <v>85</v>
      </c>
      <c r="P114" t="s">
        <v>90</v>
      </c>
    </row>
    <row r="115" spans="1:16" x14ac:dyDescent="0.3">
      <c r="A115">
        <v>114</v>
      </c>
      <c r="B115" s="1">
        <v>40548</v>
      </c>
      <c r="C115">
        <v>22</v>
      </c>
      <c r="D115" t="b">
        <v>0</v>
      </c>
      <c r="E115" t="s">
        <v>26</v>
      </c>
      <c r="F115" t="s">
        <v>30</v>
      </c>
      <c r="G115">
        <v>0.18</v>
      </c>
      <c r="H115">
        <v>0.19700000000000001</v>
      </c>
      <c r="I115">
        <v>0.55000000000000004</v>
      </c>
      <c r="J115">
        <v>0.1343</v>
      </c>
      <c r="K115">
        <v>1</v>
      </c>
      <c r="L115">
        <v>41</v>
      </c>
      <c r="M115">
        <v>42</v>
      </c>
      <c r="N115" t="s">
        <v>18</v>
      </c>
      <c r="O115" t="s">
        <v>85</v>
      </c>
      <c r="P115" t="s">
        <v>90</v>
      </c>
    </row>
    <row r="116" spans="1:16" x14ac:dyDescent="0.3">
      <c r="A116">
        <v>115</v>
      </c>
      <c r="B116" s="1">
        <v>40548</v>
      </c>
      <c r="C116">
        <v>23</v>
      </c>
      <c r="D116" t="b">
        <v>0</v>
      </c>
      <c r="E116" t="s">
        <v>26</v>
      </c>
      <c r="F116" t="s">
        <v>30</v>
      </c>
      <c r="G116">
        <v>0.2</v>
      </c>
      <c r="H116">
        <v>0.2576</v>
      </c>
      <c r="I116">
        <v>0.47</v>
      </c>
      <c r="J116">
        <v>0</v>
      </c>
      <c r="K116">
        <v>1</v>
      </c>
      <c r="L116">
        <v>18</v>
      </c>
      <c r="M116">
        <v>19</v>
      </c>
      <c r="N116" t="s">
        <v>18</v>
      </c>
      <c r="O116" t="s">
        <v>85</v>
      </c>
      <c r="P116" t="s">
        <v>90</v>
      </c>
    </row>
    <row r="117" spans="1:16" x14ac:dyDescent="0.3">
      <c r="A117">
        <v>116</v>
      </c>
      <c r="B117" s="1">
        <v>40549</v>
      </c>
      <c r="C117">
        <v>0</v>
      </c>
      <c r="D117" t="b">
        <v>0</v>
      </c>
      <c r="E117" t="s">
        <v>27</v>
      </c>
      <c r="F117" t="s">
        <v>30</v>
      </c>
      <c r="G117">
        <v>0.18</v>
      </c>
      <c r="H117">
        <v>0.2424</v>
      </c>
      <c r="I117">
        <v>0.55000000000000004</v>
      </c>
      <c r="J117">
        <v>0</v>
      </c>
      <c r="K117">
        <v>0</v>
      </c>
      <c r="L117">
        <v>11</v>
      </c>
      <c r="M117">
        <v>11</v>
      </c>
      <c r="N117" t="s">
        <v>18</v>
      </c>
      <c r="O117" t="s">
        <v>85</v>
      </c>
      <c r="P117" t="s">
        <v>90</v>
      </c>
    </row>
    <row r="118" spans="1:16" x14ac:dyDescent="0.3">
      <c r="A118">
        <v>117</v>
      </c>
      <c r="B118" s="1">
        <v>40549</v>
      </c>
      <c r="C118">
        <v>1</v>
      </c>
      <c r="D118" t="b">
        <v>0</v>
      </c>
      <c r="E118" t="s">
        <v>27</v>
      </c>
      <c r="F118" t="s">
        <v>30</v>
      </c>
      <c r="G118">
        <v>0.16</v>
      </c>
      <c r="H118">
        <v>0.2273</v>
      </c>
      <c r="I118">
        <v>0.64</v>
      </c>
      <c r="J118">
        <v>0</v>
      </c>
      <c r="K118">
        <v>0</v>
      </c>
      <c r="L118">
        <v>4</v>
      </c>
      <c r="M118">
        <v>4</v>
      </c>
      <c r="N118" t="s">
        <v>18</v>
      </c>
      <c r="O118" t="s">
        <v>85</v>
      </c>
      <c r="P118" t="s">
        <v>90</v>
      </c>
    </row>
    <row r="119" spans="1:16" x14ac:dyDescent="0.3">
      <c r="A119">
        <v>118</v>
      </c>
      <c r="B119" s="1">
        <v>40549</v>
      </c>
      <c r="C119">
        <v>2</v>
      </c>
      <c r="D119" t="b">
        <v>0</v>
      </c>
      <c r="E119" t="s">
        <v>27</v>
      </c>
      <c r="F119" t="s">
        <v>30</v>
      </c>
      <c r="G119">
        <v>0.16</v>
      </c>
      <c r="H119">
        <v>0.2273</v>
      </c>
      <c r="I119">
        <v>0.64</v>
      </c>
      <c r="J119">
        <v>0</v>
      </c>
      <c r="K119">
        <v>0</v>
      </c>
      <c r="L119">
        <v>2</v>
      </c>
      <c r="M119">
        <v>2</v>
      </c>
      <c r="N119" t="s">
        <v>18</v>
      </c>
      <c r="O119" t="s">
        <v>85</v>
      </c>
      <c r="P119" t="s">
        <v>90</v>
      </c>
    </row>
    <row r="120" spans="1:16" x14ac:dyDescent="0.3">
      <c r="A120">
        <v>119</v>
      </c>
      <c r="B120" s="1">
        <v>40549</v>
      </c>
      <c r="C120">
        <v>4</v>
      </c>
      <c r="D120" t="b">
        <v>0</v>
      </c>
      <c r="E120" t="s">
        <v>27</v>
      </c>
      <c r="F120" t="s">
        <v>31</v>
      </c>
      <c r="G120">
        <v>0.16</v>
      </c>
      <c r="H120">
        <v>0.19700000000000001</v>
      </c>
      <c r="I120">
        <v>0.64</v>
      </c>
      <c r="J120">
        <v>8.9599999999999999E-2</v>
      </c>
      <c r="K120">
        <v>0</v>
      </c>
      <c r="L120">
        <v>1</v>
      </c>
      <c r="M120">
        <v>1</v>
      </c>
      <c r="N120" t="s">
        <v>18</v>
      </c>
      <c r="O120" t="s">
        <v>85</v>
      </c>
      <c r="P120" t="s">
        <v>91</v>
      </c>
    </row>
    <row r="121" spans="1:16" x14ac:dyDescent="0.3">
      <c r="A121">
        <v>120</v>
      </c>
      <c r="B121" s="1">
        <v>40549</v>
      </c>
      <c r="C121">
        <v>5</v>
      </c>
      <c r="D121" t="b">
        <v>0</v>
      </c>
      <c r="E121" t="s">
        <v>27</v>
      </c>
      <c r="F121" t="s">
        <v>31</v>
      </c>
      <c r="G121">
        <v>0.14000000000000001</v>
      </c>
      <c r="H121">
        <v>0.18179999999999999</v>
      </c>
      <c r="I121">
        <v>0.69</v>
      </c>
      <c r="J121">
        <v>8.9599999999999999E-2</v>
      </c>
      <c r="K121">
        <v>0</v>
      </c>
      <c r="L121">
        <v>4</v>
      </c>
      <c r="M121">
        <v>4</v>
      </c>
      <c r="N121" t="s">
        <v>18</v>
      </c>
      <c r="O121" t="s">
        <v>85</v>
      </c>
      <c r="P121" t="s">
        <v>91</v>
      </c>
    </row>
    <row r="122" spans="1:16" x14ac:dyDescent="0.3">
      <c r="A122">
        <v>121</v>
      </c>
      <c r="B122" s="1">
        <v>40549</v>
      </c>
      <c r="C122">
        <v>6</v>
      </c>
      <c r="D122" t="b">
        <v>0</v>
      </c>
      <c r="E122" t="s">
        <v>27</v>
      </c>
      <c r="F122" t="s">
        <v>31</v>
      </c>
      <c r="G122">
        <v>0.14000000000000001</v>
      </c>
      <c r="H122">
        <v>0.16669999999999999</v>
      </c>
      <c r="I122">
        <v>0.63</v>
      </c>
      <c r="J122">
        <v>0.1045</v>
      </c>
      <c r="K122">
        <v>0</v>
      </c>
      <c r="L122">
        <v>36</v>
      </c>
      <c r="M122">
        <v>36</v>
      </c>
      <c r="N122" t="s">
        <v>18</v>
      </c>
      <c r="O122" t="s">
        <v>85</v>
      </c>
      <c r="P122" t="s">
        <v>91</v>
      </c>
    </row>
    <row r="123" spans="1:16" x14ac:dyDescent="0.3">
      <c r="A123">
        <v>122</v>
      </c>
      <c r="B123" s="1">
        <v>40549</v>
      </c>
      <c r="C123">
        <v>7</v>
      </c>
      <c r="D123" t="b">
        <v>0</v>
      </c>
      <c r="E123" t="s">
        <v>27</v>
      </c>
      <c r="F123" t="s">
        <v>31</v>
      </c>
      <c r="G123">
        <v>0.16</v>
      </c>
      <c r="H123">
        <v>0.2273</v>
      </c>
      <c r="I123">
        <v>0.59</v>
      </c>
      <c r="J123">
        <v>0</v>
      </c>
      <c r="K123">
        <v>0</v>
      </c>
      <c r="L123">
        <v>95</v>
      </c>
      <c r="M123">
        <v>95</v>
      </c>
      <c r="N123" t="s">
        <v>18</v>
      </c>
      <c r="O123" t="s">
        <v>86</v>
      </c>
      <c r="P123" t="s">
        <v>91</v>
      </c>
    </row>
    <row r="124" spans="1:16" x14ac:dyDescent="0.3">
      <c r="A124">
        <v>123</v>
      </c>
      <c r="B124" s="1">
        <v>40549</v>
      </c>
      <c r="C124">
        <v>8</v>
      </c>
      <c r="D124" t="b">
        <v>0</v>
      </c>
      <c r="E124" t="s">
        <v>27</v>
      </c>
      <c r="F124" t="s">
        <v>30</v>
      </c>
      <c r="G124">
        <v>0.16</v>
      </c>
      <c r="H124">
        <v>0.2273</v>
      </c>
      <c r="I124">
        <v>0.59</v>
      </c>
      <c r="J124">
        <v>0</v>
      </c>
      <c r="K124">
        <v>3</v>
      </c>
      <c r="L124">
        <v>216</v>
      </c>
      <c r="M124">
        <v>219</v>
      </c>
      <c r="N124" t="s">
        <v>18</v>
      </c>
      <c r="O124" t="s">
        <v>86</v>
      </c>
      <c r="P124" t="s">
        <v>90</v>
      </c>
    </row>
    <row r="125" spans="1:16" x14ac:dyDescent="0.3">
      <c r="A125">
        <v>124</v>
      </c>
      <c r="B125" s="1">
        <v>40549</v>
      </c>
      <c r="C125">
        <v>9</v>
      </c>
      <c r="D125" t="b">
        <v>0</v>
      </c>
      <c r="E125" t="s">
        <v>27</v>
      </c>
      <c r="F125" t="s">
        <v>31</v>
      </c>
      <c r="G125">
        <v>0.18</v>
      </c>
      <c r="H125">
        <v>0.2424</v>
      </c>
      <c r="I125">
        <v>0.51</v>
      </c>
      <c r="J125">
        <v>0</v>
      </c>
      <c r="K125">
        <v>6</v>
      </c>
      <c r="L125">
        <v>116</v>
      </c>
      <c r="M125">
        <v>122</v>
      </c>
      <c r="N125" t="s">
        <v>18</v>
      </c>
      <c r="O125" t="s">
        <v>86</v>
      </c>
      <c r="P125" t="s">
        <v>91</v>
      </c>
    </row>
    <row r="126" spans="1:16" x14ac:dyDescent="0.3">
      <c r="A126">
        <v>125</v>
      </c>
      <c r="B126" s="1">
        <v>40549</v>
      </c>
      <c r="C126">
        <v>10</v>
      </c>
      <c r="D126" t="b">
        <v>0</v>
      </c>
      <c r="E126" t="s">
        <v>27</v>
      </c>
      <c r="F126" t="s">
        <v>30</v>
      </c>
      <c r="G126">
        <v>0.2</v>
      </c>
      <c r="H126">
        <v>0.2576</v>
      </c>
      <c r="I126">
        <v>0.47</v>
      </c>
      <c r="J126">
        <v>0</v>
      </c>
      <c r="K126">
        <v>3</v>
      </c>
      <c r="L126">
        <v>42</v>
      </c>
      <c r="M126">
        <v>45</v>
      </c>
      <c r="N126" t="s">
        <v>18</v>
      </c>
      <c r="O126" t="s">
        <v>85</v>
      </c>
      <c r="P126" t="s">
        <v>90</v>
      </c>
    </row>
    <row r="127" spans="1:16" x14ac:dyDescent="0.3">
      <c r="A127">
        <v>126</v>
      </c>
      <c r="B127" s="1">
        <v>40549</v>
      </c>
      <c r="C127">
        <v>11</v>
      </c>
      <c r="D127" t="b">
        <v>0</v>
      </c>
      <c r="E127" t="s">
        <v>27</v>
      </c>
      <c r="F127" t="s">
        <v>30</v>
      </c>
      <c r="G127">
        <v>0.22</v>
      </c>
      <c r="H127">
        <v>0.2576</v>
      </c>
      <c r="I127">
        <v>0.44</v>
      </c>
      <c r="J127">
        <v>8.9599999999999999E-2</v>
      </c>
      <c r="K127">
        <v>2</v>
      </c>
      <c r="L127">
        <v>57</v>
      </c>
      <c r="M127">
        <v>59</v>
      </c>
      <c r="N127" t="s">
        <v>18</v>
      </c>
      <c r="O127" t="s">
        <v>85</v>
      </c>
      <c r="P127" t="s">
        <v>90</v>
      </c>
    </row>
    <row r="128" spans="1:16" x14ac:dyDescent="0.3">
      <c r="A128">
        <v>127</v>
      </c>
      <c r="B128" s="1">
        <v>40549</v>
      </c>
      <c r="C128">
        <v>12</v>
      </c>
      <c r="D128" t="b">
        <v>0</v>
      </c>
      <c r="E128" t="s">
        <v>27</v>
      </c>
      <c r="F128" t="s">
        <v>30</v>
      </c>
      <c r="G128">
        <v>0.26</v>
      </c>
      <c r="H128">
        <v>0.28789999999999999</v>
      </c>
      <c r="I128">
        <v>0.35</v>
      </c>
      <c r="J128">
        <v>0</v>
      </c>
      <c r="K128">
        <v>6</v>
      </c>
      <c r="L128">
        <v>78</v>
      </c>
      <c r="M128">
        <v>84</v>
      </c>
      <c r="N128" t="s">
        <v>18</v>
      </c>
      <c r="O128" t="s">
        <v>85</v>
      </c>
      <c r="P128" t="s">
        <v>90</v>
      </c>
    </row>
    <row r="129" spans="1:16" x14ac:dyDescent="0.3">
      <c r="A129">
        <v>128</v>
      </c>
      <c r="B129" s="1">
        <v>40549</v>
      </c>
      <c r="C129">
        <v>13</v>
      </c>
      <c r="D129" t="b">
        <v>0</v>
      </c>
      <c r="E129" t="s">
        <v>27</v>
      </c>
      <c r="F129" t="s">
        <v>30</v>
      </c>
      <c r="G129">
        <v>0.26</v>
      </c>
      <c r="H129">
        <v>0.2727</v>
      </c>
      <c r="I129">
        <v>0.35</v>
      </c>
      <c r="J129">
        <v>0.1045</v>
      </c>
      <c r="K129">
        <v>12</v>
      </c>
      <c r="L129">
        <v>55</v>
      </c>
      <c r="M129">
        <v>67</v>
      </c>
      <c r="N129" t="s">
        <v>18</v>
      </c>
      <c r="O129" t="s">
        <v>85</v>
      </c>
      <c r="P129" t="s">
        <v>90</v>
      </c>
    </row>
    <row r="130" spans="1:16" x14ac:dyDescent="0.3">
      <c r="A130">
        <v>129</v>
      </c>
      <c r="B130" s="1">
        <v>40549</v>
      </c>
      <c r="C130">
        <v>14</v>
      </c>
      <c r="D130" t="b">
        <v>0</v>
      </c>
      <c r="E130" t="s">
        <v>27</v>
      </c>
      <c r="F130" t="s">
        <v>30</v>
      </c>
      <c r="G130">
        <v>0.28000000000000003</v>
      </c>
      <c r="H130">
        <v>0.2727</v>
      </c>
      <c r="I130">
        <v>0.36</v>
      </c>
      <c r="J130">
        <v>0.16420000000000001</v>
      </c>
      <c r="K130">
        <v>11</v>
      </c>
      <c r="L130">
        <v>59</v>
      </c>
      <c r="M130">
        <v>70</v>
      </c>
      <c r="N130" t="s">
        <v>18</v>
      </c>
      <c r="O130" t="s">
        <v>85</v>
      </c>
      <c r="P130" t="s">
        <v>90</v>
      </c>
    </row>
    <row r="131" spans="1:16" x14ac:dyDescent="0.3">
      <c r="A131">
        <v>130</v>
      </c>
      <c r="B131" s="1">
        <v>40549</v>
      </c>
      <c r="C131">
        <v>15</v>
      </c>
      <c r="D131" t="b">
        <v>0</v>
      </c>
      <c r="E131" t="s">
        <v>27</v>
      </c>
      <c r="F131" t="s">
        <v>30</v>
      </c>
      <c r="G131">
        <v>0.28000000000000003</v>
      </c>
      <c r="H131">
        <v>0.2727</v>
      </c>
      <c r="I131">
        <v>0.36</v>
      </c>
      <c r="J131">
        <v>0</v>
      </c>
      <c r="K131">
        <v>8</v>
      </c>
      <c r="L131">
        <v>54</v>
      </c>
      <c r="M131">
        <v>62</v>
      </c>
      <c r="N131" t="s">
        <v>18</v>
      </c>
      <c r="O131" t="s">
        <v>85</v>
      </c>
      <c r="P131" t="s">
        <v>90</v>
      </c>
    </row>
    <row r="132" spans="1:16" x14ac:dyDescent="0.3">
      <c r="A132">
        <v>131</v>
      </c>
      <c r="B132" s="1">
        <v>40549</v>
      </c>
      <c r="C132">
        <v>16</v>
      </c>
      <c r="D132" t="b">
        <v>0</v>
      </c>
      <c r="E132" t="s">
        <v>27</v>
      </c>
      <c r="F132" t="s">
        <v>30</v>
      </c>
      <c r="G132">
        <v>0.26</v>
      </c>
      <c r="H132">
        <v>0.2576</v>
      </c>
      <c r="I132">
        <v>0.38</v>
      </c>
      <c r="J132">
        <v>0.16420000000000001</v>
      </c>
      <c r="K132">
        <v>12</v>
      </c>
      <c r="L132">
        <v>74</v>
      </c>
      <c r="M132">
        <v>86</v>
      </c>
      <c r="N132" t="s">
        <v>18</v>
      </c>
      <c r="O132" t="s">
        <v>85</v>
      </c>
      <c r="P132" t="s">
        <v>90</v>
      </c>
    </row>
    <row r="133" spans="1:16" x14ac:dyDescent="0.3">
      <c r="A133">
        <v>132</v>
      </c>
      <c r="B133" s="1">
        <v>40549</v>
      </c>
      <c r="C133">
        <v>17</v>
      </c>
      <c r="D133" t="b">
        <v>0</v>
      </c>
      <c r="E133" t="s">
        <v>27</v>
      </c>
      <c r="F133" t="s">
        <v>30</v>
      </c>
      <c r="G133">
        <v>0.22</v>
      </c>
      <c r="H133">
        <v>0.2273</v>
      </c>
      <c r="I133">
        <v>0.51</v>
      </c>
      <c r="J133">
        <v>0.16420000000000001</v>
      </c>
      <c r="K133">
        <v>9</v>
      </c>
      <c r="L133">
        <v>163</v>
      </c>
      <c r="M133">
        <v>172</v>
      </c>
      <c r="N133" t="s">
        <v>18</v>
      </c>
      <c r="O133" t="s">
        <v>87</v>
      </c>
      <c r="P133" t="s">
        <v>90</v>
      </c>
    </row>
    <row r="134" spans="1:16" x14ac:dyDescent="0.3">
      <c r="A134">
        <v>133</v>
      </c>
      <c r="B134" s="1">
        <v>40549</v>
      </c>
      <c r="C134">
        <v>18</v>
      </c>
      <c r="D134" t="b">
        <v>0</v>
      </c>
      <c r="E134" t="s">
        <v>27</v>
      </c>
      <c r="F134" t="s">
        <v>30</v>
      </c>
      <c r="G134">
        <v>0.22</v>
      </c>
      <c r="H134">
        <v>0.2273</v>
      </c>
      <c r="I134">
        <v>0.51</v>
      </c>
      <c r="J134">
        <v>0.1343</v>
      </c>
      <c r="K134">
        <v>5</v>
      </c>
      <c r="L134">
        <v>158</v>
      </c>
      <c r="M134">
        <v>163</v>
      </c>
      <c r="N134" t="s">
        <v>18</v>
      </c>
      <c r="O134" t="s">
        <v>87</v>
      </c>
      <c r="P134" t="s">
        <v>90</v>
      </c>
    </row>
    <row r="135" spans="1:16" x14ac:dyDescent="0.3">
      <c r="A135">
        <v>134</v>
      </c>
      <c r="B135" s="1">
        <v>40549</v>
      </c>
      <c r="C135">
        <v>19</v>
      </c>
      <c r="D135" t="b">
        <v>0</v>
      </c>
      <c r="E135" t="s">
        <v>27</v>
      </c>
      <c r="F135" t="s">
        <v>30</v>
      </c>
      <c r="G135">
        <v>0.22</v>
      </c>
      <c r="H135">
        <v>0.2576</v>
      </c>
      <c r="I135">
        <v>0.55000000000000004</v>
      </c>
      <c r="J135">
        <v>8.9599999999999999E-2</v>
      </c>
      <c r="K135">
        <v>3</v>
      </c>
      <c r="L135">
        <v>109</v>
      </c>
      <c r="M135">
        <v>112</v>
      </c>
      <c r="N135" t="s">
        <v>18</v>
      </c>
      <c r="O135" t="s">
        <v>87</v>
      </c>
      <c r="P135" t="s">
        <v>90</v>
      </c>
    </row>
    <row r="136" spans="1:16" x14ac:dyDescent="0.3">
      <c r="A136">
        <v>135</v>
      </c>
      <c r="B136" s="1">
        <v>40549</v>
      </c>
      <c r="C136">
        <v>20</v>
      </c>
      <c r="D136" t="b">
        <v>0</v>
      </c>
      <c r="E136" t="s">
        <v>27</v>
      </c>
      <c r="F136" t="s">
        <v>30</v>
      </c>
      <c r="G136">
        <v>0.2</v>
      </c>
      <c r="H136">
        <v>0.21210000000000001</v>
      </c>
      <c r="I136">
        <v>0.51</v>
      </c>
      <c r="J136">
        <v>0.16420000000000001</v>
      </c>
      <c r="K136">
        <v>3</v>
      </c>
      <c r="L136">
        <v>66</v>
      </c>
      <c r="M136">
        <v>69</v>
      </c>
      <c r="N136" t="s">
        <v>18</v>
      </c>
      <c r="O136" t="s">
        <v>85</v>
      </c>
      <c r="P136" t="s">
        <v>90</v>
      </c>
    </row>
    <row r="137" spans="1:16" x14ac:dyDescent="0.3">
      <c r="A137">
        <v>136</v>
      </c>
      <c r="B137" s="1">
        <v>40549</v>
      </c>
      <c r="C137">
        <v>21</v>
      </c>
      <c r="D137" t="b">
        <v>0</v>
      </c>
      <c r="E137" t="s">
        <v>27</v>
      </c>
      <c r="F137" t="s">
        <v>31</v>
      </c>
      <c r="G137">
        <v>0.22</v>
      </c>
      <c r="H137">
        <v>0.21210000000000001</v>
      </c>
      <c r="I137">
        <v>0.55000000000000004</v>
      </c>
      <c r="J137">
        <v>0.22389999999999999</v>
      </c>
      <c r="K137">
        <v>0</v>
      </c>
      <c r="L137">
        <v>48</v>
      </c>
      <c r="M137">
        <v>48</v>
      </c>
      <c r="N137" t="s">
        <v>18</v>
      </c>
      <c r="O137" t="s">
        <v>85</v>
      </c>
      <c r="P137" t="s">
        <v>91</v>
      </c>
    </row>
    <row r="138" spans="1:16" x14ac:dyDescent="0.3">
      <c r="A138">
        <v>137</v>
      </c>
      <c r="B138" s="1">
        <v>40549</v>
      </c>
      <c r="C138">
        <v>22</v>
      </c>
      <c r="D138" t="b">
        <v>0</v>
      </c>
      <c r="E138" t="s">
        <v>27</v>
      </c>
      <c r="F138" t="s">
        <v>31</v>
      </c>
      <c r="G138">
        <v>0.22</v>
      </c>
      <c r="H138">
        <v>0.21210000000000001</v>
      </c>
      <c r="I138">
        <v>0.51</v>
      </c>
      <c r="J138">
        <v>0.28360000000000002</v>
      </c>
      <c r="K138">
        <v>1</v>
      </c>
      <c r="L138">
        <v>51</v>
      </c>
      <c r="M138">
        <v>52</v>
      </c>
      <c r="N138" t="s">
        <v>18</v>
      </c>
      <c r="O138" t="s">
        <v>85</v>
      </c>
      <c r="P138" t="s">
        <v>91</v>
      </c>
    </row>
    <row r="139" spans="1:16" x14ac:dyDescent="0.3">
      <c r="A139">
        <v>138</v>
      </c>
      <c r="B139" s="1">
        <v>40549</v>
      </c>
      <c r="C139">
        <v>23</v>
      </c>
      <c r="D139" t="b">
        <v>0</v>
      </c>
      <c r="E139" t="s">
        <v>27</v>
      </c>
      <c r="F139" t="s">
        <v>31</v>
      </c>
      <c r="G139">
        <v>0.2</v>
      </c>
      <c r="H139">
        <v>0.19700000000000001</v>
      </c>
      <c r="I139">
        <v>0.59</v>
      </c>
      <c r="J139">
        <v>0.19400000000000001</v>
      </c>
      <c r="K139">
        <v>4</v>
      </c>
      <c r="L139">
        <v>19</v>
      </c>
      <c r="M139">
        <v>23</v>
      </c>
      <c r="N139" t="s">
        <v>18</v>
      </c>
      <c r="O139" t="s">
        <v>85</v>
      </c>
      <c r="P139" t="s">
        <v>91</v>
      </c>
    </row>
    <row r="140" spans="1:16" x14ac:dyDescent="0.3">
      <c r="A140">
        <v>139</v>
      </c>
      <c r="B140" s="1">
        <v>40550</v>
      </c>
      <c r="C140">
        <v>0</v>
      </c>
      <c r="D140" t="b">
        <v>0</v>
      </c>
      <c r="E140" t="s">
        <v>28</v>
      </c>
      <c r="F140" t="s">
        <v>31</v>
      </c>
      <c r="G140">
        <v>0.2</v>
      </c>
      <c r="H140">
        <v>0.19700000000000001</v>
      </c>
      <c r="I140">
        <v>0.64</v>
      </c>
      <c r="J140">
        <v>0.19400000000000001</v>
      </c>
      <c r="K140">
        <v>4</v>
      </c>
      <c r="L140">
        <v>13</v>
      </c>
      <c r="M140">
        <v>17</v>
      </c>
      <c r="N140" t="s">
        <v>18</v>
      </c>
      <c r="O140" t="s">
        <v>85</v>
      </c>
      <c r="P140" t="s">
        <v>91</v>
      </c>
    </row>
    <row r="141" spans="1:16" x14ac:dyDescent="0.3">
      <c r="A141">
        <v>140</v>
      </c>
      <c r="B141" s="1">
        <v>40550</v>
      </c>
      <c r="C141">
        <v>1</v>
      </c>
      <c r="D141" t="b">
        <v>0</v>
      </c>
      <c r="E141" t="s">
        <v>28</v>
      </c>
      <c r="F141" t="s">
        <v>31</v>
      </c>
      <c r="G141">
        <v>0.2</v>
      </c>
      <c r="H141">
        <v>0.19700000000000001</v>
      </c>
      <c r="I141">
        <v>0.69</v>
      </c>
      <c r="J141">
        <v>0.22389999999999999</v>
      </c>
      <c r="K141">
        <v>2</v>
      </c>
      <c r="L141">
        <v>5</v>
      </c>
      <c r="M141">
        <v>7</v>
      </c>
      <c r="N141" t="s">
        <v>18</v>
      </c>
      <c r="O141" t="s">
        <v>85</v>
      </c>
      <c r="P141" t="s">
        <v>91</v>
      </c>
    </row>
    <row r="142" spans="1:16" x14ac:dyDescent="0.3">
      <c r="A142">
        <v>141</v>
      </c>
      <c r="B142" s="1">
        <v>40550</v>
      </c>
      <c r="C142">
        <v>2</v>
      </c>
      <c r="D142" t="b">
        <v>0</v>
      </c>
      <c r="E142" t="s">
        <v>28</v>
      </c>
      <c r="F142" t="s">
        <v>31</v>
      </c>
      <c r="G142">
        <v>0.2</v>
      </c>
      <c r="H142">
        <v>0.19700000000000001</v>
      </c>
      <c r="I142">
        <v>0.69</v>
      </c>
      <c r="J142">
        <v>0.22389999999999999</v>
      </c>
      <c r="K142">
        <v>0</v>
      </c>
      <c r="L142">
        <v>1</v>
      </c>
      <c r="M142">
        <v>1</v>
      </c>
      <c r="N142" t="s">
        <v>18</v>
      </c>
      <c r="O142" t="s">
        <v>85</v>
      </c>
      <c r="P142" t="s">
        <v>91</v>
      </c>
    </row>
    <row r="143" spans="1:16" x14ac:dyDescent="0.3">
      <c r="A143">
        <v>142</v>
      </c>
      <c r="B143" s="1">
        <v>40550</v>
      </c>
      <c r="C143">
        <v>4</v>
      </c>
      <c r="D143" t="b">
        <v>0</v>
      </c>
      <c r="E143" t="s">
        <v>28</v>
      </c>
      <c r="F143" t="s">
        <v>31</v>
      </c>
      <c r="G143">
        <v>0.2</v>
      </c>
      <c r="H143">
        <v>0.21210000000000001</v>
      </c>
      <c r="I143">
        <v>0.69</v>
      </c>
      <c r="J143">
        <v>0.1343</v>
      </c>
      <c r="K143">
        <v>0</v>
      </c>
      <c r="L143">
        <v>1</v>
      </c>
      <c r="M143">
        <v>1</v>
      </c>
      <c r="N143" t="s">
        <v>18</v>
      </c>
      <c r="O143" t="s">
        <v>85</v>
      </c>
      <c r="P143" t="s">
        <v>91</v>
      </c>
    </row>
    <row r="144" spans="1:16" x14ac:dyDescent="0.3">
      <c r="A144">
        <v>143</v>
      </c>
      <c r="B144" s="1">
        <v>40550</v>
      </c>
      <c r="C144">
        <v>5</v>
      </c>
      <c r="D144" t="b">
        <v>0</v>
      </c>
      <c r="E144" t="s">
        <v>28</v>
      </c>
      <c r="F144" t="s">
        <v>32</v>
      </c>
      <c r="G144">
        <v>0.22</v>
      </c>
      <c r="H144">
        <v>0.2727</v>
      </c>
      <c r="I144">
        <v>0.55000000000000004</v>
      </c>
      <c r="J144">
        <v>0</v>
      </c>
      <c r="K144">
        <v>0</v>
      </c>
      <c r="L144">
        <v>5</v>
      </c>
      <c r="M144">
        <v>5</v>
      </c>
      <c r="N144" t="s">
        <v>18</v>
      </c>
      <c r="O144" t="s">
        <v>85</v>
      </c>
      <c r="P144" t="s">
        <v>92</v>
      </c>
    </row>
    <row r="145" spans="1:16" x14ac:dyDescent="0.3">
      <c r="A145">
        <v>144</v>
      </c>
      <c r="B145" s="1">
        <v>40550</v>
      </c>
      <c r="C145">
        <v>6</v>
      </c>
      <c r="D145" t="b">
        <v>0</v>
      </c>
      <c r="E145" t="s">
        <v>28</v>
      </c>
      <c r="F145" t="s">
        <v>31</v>
      </c>
      <c r="G145">
        <v>0.2</v>
      </c>
      <c r="H145">
        <v>0.2576</v>
      </c>
      <c r="I145">
        <v>0.69</v>
      </c>
      <c r="J145">
        <v>0</v>
      </c>
      <c r="K145">
        <v>8</v>
      </c>
      <c r="L145">
        <v>26</v>
      </c>
      <c r="M145">
        <v>34</v>
      </c>
      <c r="N145" t="s">
        <v>18</v>
      </c>
      <c r="O145" t="s">
        <v>85</v>
      </c>
      <c r="P145" t="s">
        <v>91</v>
      </c>
    </row>
    <row r="146" spans="1:16" x14ac:dyDescent="0.3">
      <c r="A146">
        <v>145</v>
      </c>
      <c r="B146" s="1">
        <v>40550</v>
      </c>
      <c r="C146">
        <v>7</v>
      </c>
      <c r="D146" t="b">
        <v>0</v>
      </c>
      <c r="E146" t="s">
        <v>28</v>
      </c>
      <c r="F146" t="s">
        <v>30</v>
      </c>
      <c r="G146">
        <v>0.2</v>
      </c>
      <c r="H146">
        <v>0.21210000000000001</v>
      </c>
      <c r="I146">
        <v>0.69</v>
      </c>
      <c r="J146">
        <v>0.1343</v>
      </c>
      <c r="K146">
        <v>8</v>
      </c>
      <c r="L146">
        <v>76</v>
      </c>
      <c r="M146">
        <v>84</v>
      </c>
      <c r="N146" t="s">
        <v>18</v>
      </c>
      <c r="O146" t="s">
        <v>86</v>
      </c>
      <c r="P146" t="s">
        <v>90</v>
      </c>
    </row>
    <row r="147" spans="1:16" x14ac:dyDescent="0.3">
      <c r="A147">
        <v>146</v>
      </c>
      <c r="B147" s="1">
        <v>40550</v>
      </c>
      <c r="C147">
        <v>8</v>
      </c>
      <c r="D147" t="b">
        <v>0</v>
      </c>
      <c r="E147" t="s">
        <v>28</v>
      </c>
      <c r="F147" t="s">
        <v>30</v>
      </c>
      <c r="G147">
        <v>0.2</v>
      </c>
      <c r="H147">
        <v>0.19700000000000001</v>
      </c>
      <c r="I147">
        <v>0.51</v>
      </c>
      <c r="J147">
        <v>0.25369999999999998</v>
      </c>
      <c r="K147">
        <v>20</v>
      </c>
      <c r="L147">
        <v>190</v>
      </c>
      <c r="M147">
        <v>210</v>
      </c>
      <c r="N147" t="s">
        <v>18</v>
      </c>
      <c r="O147" t="s">
        <v>86</v>
      </c>
      <c r="P147" t="s">
        <v>90</v>
      </c>
    </row>
    <row r="148" spans="1:16" x14ac:dyDescent="0.3">
      <c r="A148">
        <v>147</v>
      </c>
      <c r="B148" s="1">
        <v>40550</v>
      </c>
      <c r="C148">
        <v>9</v>
      </c>
      <c r="D148" t="b">
        <v>0</v>
      </c>
      <c r="E148" t="s">
        <v>28</v>
      </c>
      <c r="F148" t="s">
        <v>30</v>
      </c>
      <c r="G148">
        <v>0.2</v>
      </c>
      <c r="H148">
        <v>0.18179999999999999</v>
      </c>
      <c r="I148">
        <v>0.47</v>
      </c>
      <c r="J148">
        <v>0.29849999999999999</v>
      </c>
      <c r="K148">
        <v>9</v>
      </c>
      <c r="L148">
        <v>125</v>
      </c>
      <c r="M148">
        <v>134</v>
      </c>
      <c r="N148" t="s">
        <v>18</v>
      </c>
      <c r="O148" t="s">
        <v>86</v>
      </c>
      <c r="P148" t="s">
        <v>90</v>
      </c>
    </row>
    <row r="149" spans="1:16" x14ac:dyDescent="0.3">
      <c r="A149">
        <v>148</v>
      </c>
      <c r="B149" s="1">
        <v>40550</v>
      </c>
      <c r="C149">
        <v>10</v>
      </c>
      <c r="D149" t="b">
        <v>0</v>
      </c>
      <c r="E149" t="s">
        <v>28</v>
      </c>
      <c r="F149" t="s">
        <v>30</v>
      </c>
      <c r="G149">
        <v>0.22</v>
      </c>
      <c r="H149">
        <v>0.19700000000000001</v>
      </c>
      <c r="I149">
        <v>0.37</v>
      </c>
      <c r="J149">
        <v>0.32840000000000003</v>
      </c>
      <c r="K149">
        <v>16</v>
      </c>
      <c r="L149">
        <v>47</v>
      </c>
      <c r="M149">
        <v>63</v>
      </c>
      <c r="N149" t="s">
        <v>18</v>
      </c>
      <c r="O149" t="s">
        <v>85</v>
      </c>
      <c r="P149" t="s">
        <v>90</v>
      </c>
    </row>
    <row r="150" spans="1:16" x14ac:dyDescent="0.3">
      <c r="A150">
        <v>149</v>
      </c>
      <c r="B150" s="1">
        <v>40550</v>
      </c>
      <c r="C150">
        <v>11</v>
      </c>
      <c r="D150" t="b">
        <v>0</v>
      </c>
      <c r="E150" t="s">
        <v>28</v>
      </c>
      <c r="F150" t="s">
        <v>31</v>
      </c>
      <c r="G150">
        <v>0.2</v>
      </c>
      <c r="H150">
        <v>0.19700000000000001</v>
      </c>
      <c r="I150">
        <v>0.4</v>
      </c>
      <c r="J150">
        <v>0.22389999999999999</v>
      </c>
      <c r="K150">
        <v>19</v>
      </c>
      <c r="L150">
        <v>48</v>
      </c>
      <c r="M150">
        <v>67</v>
      </c>
      <c r="N150" t="s">
        <v>18</v>
      </c>
      <c r="O150" t="s">
        <v>85</v>
      </c>
      <c r="P150" t="s">
        <v>91</v>
      </c>
    </row>
    <row r="151" spans="1:16" x14ac:dyDescent="0.3">
      <c r="A151">
        <v>150</v>
      </c>
      <c r="B151" s="1">
        <v>40550</v>
      </c>
      <c r="C151">
        <v>12</v>
      </c>
      <c r="D151" t="b">
        <v>0</v>
      </c>
      <c r="E151" t="s">
        <v>28</v>
      </c>
      <c r="F151" t="s">
        <v>31</v>
      </c>
      <c r="G151">
        <v>0.2</v>
      </c>
      <c r="H151">
        <v>0.19700000000000001</v>
      </c>
      <c r="I151">
        <v>0.37</v>
      </c>
      <c r="J151">
        <v>0.25369999999999998</v>
      </c>
      <c r="K151">
        <v>9</v>
      </c>
      <c r="L151">
        <v>50</v>
      </c>
      <c r="M151">
        <v>59</v>
      </c>
      <c r="N151" t="s">
        <v>18</v>
      </c>
      <c r="O151" t="s">
        <v>85</v>
      </c>
      <c r="P151" t="s">
        <v>91</v>
      </c>
    </row>
    <row r="152" spans="1:16" x14ac:dyDescent="0.3">
      <c r="A152">
        <v>151</v>
      </c>
      <c r="B152" s="1">
        <v>40550</v>
      </c>
      <c r="C152">
        <v>13</v>
      </c>
      <c r="D152" t="b">
        <v>0</v>
      </c>
      <c r="E152" t="s">
        <v>28</v>
      </c>
      <c r="F152" t="s">
        <v>31</v>
      </c>
      <c r="G152">
        <v>0.2</v>
      </c>
      <c r="H152">
        <v>0.18179999999999999</v>
      </c>
      <c r="I152">
        <v>0.37</v>
      </c>
      <c r="J152">
        <v>0.28360000000000002</v>
      </c>
      <c r="K152">
        <v>9</v>
      </c>
      <c r="L152">
        <v>64</v>
      </c>
      <c r="M152">
        <v>73</v>
      </c>
      <c r="N152" t="s">
        <v>18</v>
      </c>
      <c r="O152" t="s">
        <v>85</v>
      </c>
      <c r="P152" t="s">
        <v>91</v>
      </c>
    </row>
    <row r="153" spans="1:16" x14ac:dyDescent="0.3">
      <c r="A153">
        <v>152</v>
      </c>
      <c r="B153" s="1">
        <v>40550</v>
      </c>
      <c r="C153">
        <v>14</v>
      </c>
      <c r="D153" t="b">
        <v>0</v>
      </c>
      <c r="E153" t="s">
        <v>28</v>
      </c>
      <c r="F153" t="s">
        <v>31</v>
      </c>
      <c r="G153">
        <v>0.2</v>
      </c>
      <c r="H153">
        <v>0.19700000000000001</v>
      </c>
      <c r="I153">
        <v>0.4</v>
      </c>
      <c r="J153">
        <v>0.25369999999999998</v>
      </c>
      <c r="K153">
        <v>7</v>
      </c>
      <c r="L153">
        <v>43</v>
      </c>
      <c r="M153">
        <v>50</v>
      </c>
      <c r="N153" t="s">
        <v>18</v>
      </c>
      <c r="O153" t="s">
        <v>85</v>
      </c>
      <c r="P153" t="s">
        <v>91</v>
      </c>
    </row>
    <row r="154" spans="1:16" x14ac:dyDescent="0.3">
      <c r="A154">
        <v>153</v>
      </c>
      <c r="B154" s="1">
        <v>40550</v>
      </c>
      <c r="C154">
        <v>15</v>
      </c>
      <c r="D154" t="b">
        <v>0</v>
      </c>
      <c r="E154" t="s">
        <v>28</v>
      </c>
      <c r="F154" t="s">
        <v>31</v>
      </c>
      <c r="G154">
        <v>0.2</v>
      </c>
      <c r="H154">
        <v>0.21210000000000001</v>
      </c>
      <c r="I154">
        <v>0.37</v>
      </c>
      <c r="J154">
        <v>0.16420000000000001</v>
      </c>
      <c r="K154">
        <v>9</v>
      </c>
      <c r="L154">
        <v>63</v>
      </c>
      <c r="M154">
        <v>72</v>
      </c>
      <c r="N154" t="s">
        <v>18</v>
      </c>
      <c r="O154" t="s">
        <v>85</v>
      </c>
      <c r="P154" t="s">
        <v>91</v>
      </c>
    </row>
    <row r="155" spans="1:16" x14ac:dyDescent="0.3">
      <c r="A155">
        <v>154</v>
      </c>
      <c r="B155" s="1">
        <v>40550</v>
      </c>
      <c r="C155">
        <v>16</v>
      </c>
      <c r="D155" t="b">
        <v>0</v>
      </c>
      <c r="E155" t="s">
        <v>28</v>
      </c>
      <c r="F155" t="s">
        <v>31</v>
      </c>
      <c r="G155">
        <v>0.2</v>
      </c>
      <c r="H155">
        <v>0.21210000000000001</v>
      </c>
      <c r="I155">
        <v>0.37</v>
      </c>
      <c r="J155">
        <v>0.16420000000000001</v>
      </c>
      <c r="K155">
        <v>5</v>
      </c>
      <c r="L155">
        <v>82</v>
      </c>
      <c r="M155">
        <v>87</v>
      </c>
      <c r="N155" t="s">
        <v>18</v>
      </c>
      <c r="O155" t="s">
        <v>85</v>
      </c>
      <c r="P155" t="s">
        <v>91</v>
      </c>
    </row>
    <row r="156" spans="1:16" x14ac:dyDescent="0.3">
      <c r="A156">
        <v>155</v>
      </c>
      <c r="B156" s="1">
        <v>40550</v>
      </c>
      <c r="C156">
        <v>17</v>
      </c>
      <c r="D156" t="b">
        <v>0</v>
      </c>
      <c r="E156" t="s">
        <v>28</v>
      </c>
      <c r="F156" t="s">
        <v>31</v>
      </c>
      <c r="G156">
        <v>0.2</v>
      </c>
      <c r="H156">
        <v>0.2576</v>
      </c>
      <c r="I156">
        <v>0.37</v>
      </c>
      <c r="J156">
        <v>0</v>
      </c>
      <c r="K156">
        <v>9</v>
      </c>
      <c r="L156">
        <v>178</v>
      </c>
      <c r="M156">
        <v>187</v>
      </c>
      <c r="N156" t="s">
        <v>18</v>
      </c>
      <c r="O156" t="s">
        <v>87</v>
      </c>
      <c r="P156" t="s">
        <v>91</v>
      </c>
    </row>
    <row r="157" spans="1:16" x14ac:dyDescent="0.3">
      <c r="A157">
        <v>156</v>
      </c>
      <c r="B157" s="1">
        <v>40550</v>
      </c>
      <c r="C157">
        <v>18</v>
      </c>
      <c r="D157" t="b">
        <v>0</v>
      </c>
      <c r="E157" t="s">
        <v>28</v>
      </c>
      <c r="F157" t="s">
        <v>30</v>
      </c>
      <c r="G157">
        <v>0.2</v>
      </c>
      <c r="H157">
        <v>0.2273</v>
      </c>
      <c r="I157">
        <v>0.4</v>
      </c>
      <c r="J157">
        <v>8.9599999999999999E-2</v>
      </c>
      <c r="K157">
        <v>7</v>
      </c>
      <c r="L157">
        <v>116</v>
      </c>
      <c r="M157">
        <v>123</v>
      </c>
      <c r="N157" t="s">
        <v>18</v>
      </c>
      <c r="O157" t="s">
        <v>87</v>
      </c>
      <c r="P157" t="s">
        <v>90</v>
      </c>
    </row>
    <row r="158" spans="1:16" x14ac:dyDescent="0.3">
      <c r="A158">
        <v>157</v>
      </c>
      <c r="B158" s="1">
        <v>40550</v>
      </c>
      <c r="C158">
        <v>19</v>
      </c>
      <c r="D158" t="b">
        <v>0</v>
      </c>
      <c r="E158" t="s">
        <v>28</v>
      </c>
      <c r="F158" t="s">
        <v>30</v>
      </c>
      <c r="G158">
        <v>0.16</v>
      </c>
      <c r="H158">
        <v>0.19700000000000001</v>
      </c>
      <c r="I158">
        <v>0.55000000000000004</v>
      </c>
      <c r="J158">
        <v>8.9599999999999999E-2</v>
      </c>
      <c r="K158">
        <v>3</v>
      </c>
      <c r="L158">
        <v>92</v>
      </c>
      <c r="M158">
        <v>95</v>
      </c>
      <c r="N158" t="s">
        <v>18</v>
      </c>
      <c r="O158" t="s">
        <v>87</v>
      </c>
      <c r="P158" t="s">
        <v>90</v>
      </c>
    </row>
    <row r="159" spans="1:16" x14ac:dyDescent="0.3">
      <c r="A159">
        <v>158</v>
      </c>
      <c r="B159" s="1">
        <v>40550</v>
      </c>
      <c r="C159">
        <v>20</v>
      </c>
      <c r="D159" t="b">
        <v>0</v>
      </c>
      <c r="E159" t="s">
        <v>28</v>
      </c>
      <c r="F159" t="s">
        <v>30</v>
      </c>
      <c r="G159">
        <v>0.18</v>
      </c>
      <c r="H159">
        <v>0.21210000000000001</v>
      </c>
      <c r="I159">
        <v>0.47</v>
      </c>
      <c r="J159">
        <v>0.1045</v>
      </c>
      <c r="K159">
        <v>1</v>
      </c>
      <c r="L159">
        <v>50</v>
      </c>
      <c r="M159">
        <v>51</v>
      </c>
      <c r="N159" t="s">
        <v>18</v>
      </c>
      <c r="O159" t="s">
        <v>85</v>
      </c>
      <c r="P159" t="s">
        <v>90</v>
      </c>
    </row>
    <row r="160" spans="1:16" x14ac:dyDescent="0.3">
      <c r="A160">
        <v>159</v>
      </c>
      <c r="B160" s="1">
        <v>40550</v>
      </c>
      <c r="C160">
        <v>21</v>
      </c>
      <c r="D160" t="b">
        <v>0</v>
      </c>
      <c r="E160" t="s">
        <v>28</v>
      </c>
      <c r="F160" t="s">
        <v>30</v>
      </c>
      <c r="G160">
        <v>0.18</v>
      </c>
      <c r="H160">
        <v>0.19700000000000001</v>
      </c>
      <c r="I160">
        <v>0.47</v>
      </c>
      <c r="J160">
        <v>0.1343</v>
      </c>
      <c r="K160">
        <v>0</v>
      </c>
      <c r="L160">
        <v>39</v>
      </c>
      <c r="M160">
        <v>39</v>
      </c>
      <c r="N160" t="s">
        <v>18</v>
      </c>
      <c r="O160" t="s">
        <v>85</v>
      </c>
      <c r="P160" t="s">
        <v>90</v>
      </c>
    </row>
    <row r="161" spans="1:16" x14ac:dyDescent="0.3">
      <c r="A161">
        <v>160</v>
      </c>
      <c r="B161" s="1">
        <v>40550</v>
      </c>
      <c r="C161">
        <v>22</v>
      </c>
      <c r="D161" t="b">
        <v>0</v>
      </c>
      <c r="E161" t="s">
        <v>28</v>
      </c>
      <c r="F161" t="s">
        <v>31</v>
      </c>
      <c r="G161">
        <v>0.18</v>
      </c>
      <c r="H161">
        <v>0.19700000000000001</v>
      </c>
      <c r="I161">
        <v>0.43</v>
      </c>
      <c r="J161">
        <v>0.16420000000000001</v>
      </c>
      <c r="K161">
        <v>2</v>
      </c>
      <c r="L161">
        <v>34</v>
      </c>
      <c r="M161">
        <v>36</v>
      </c>
      <c r="N161" t="s">
        <v>18</v>
      </c>
      <c r="O161" t="s">
        <v>85</v>
      </c>
      <c r="P161" t="s">
        <v>91</v>
      </c>
    </row>
    <row r="162" spans="1:16" x14ac:dyDescent="0.3">
      <c r="A162">
        <v>161</v>
      </c>
      <c r="B162" s="1">
        <v>40550</v>
      </c>
      <c r="C162">
        <v>23</v>
      </c>
      <c r="D162" t="b">
        <v>0</v>
      </c>
      <c r="E162" t="s">
        <v>28</v>
      </c>
      <c r="F162" t="s">
        <v>31</v>
      </c>
      <c r="G162">
        <v>0.18</v>
      </c>
      <c r="H162">
        <v>0.19700000000000001</v>
      </c>
      <c r="I162">
        <v>0.51</v>
      </c>
      <c r="J162">
        <v>0.16420000000000001</v>
      </c>
      <c r="K162">
        <v>1</v>
      </c>
      <c r="L162">
        <v>14</v>
      </c>
      <c r="M162">
        <v>15</v>
      </c>
      <c r="N162" t="s">
        <v>18</v>
      </c>
      <c r="O162" t="s">
        <v>85</v>
      </c>
      <c r="P162" t="s">
        <v>91</v>
      </c>
    </row>
    <row r="163" spans="1:16" x14ac:dyDescent="0.3">
      <c r="A163">
        <v>162</v>
      </c>
      <c r="B163" s="1">
        <v>40551</v>
      </c>
      <c r="C163">
        <v>0</v>
      </c>
      <c r="D163" t="b">
        <v>0</v>
      </c>
      <c r="E163" t="s">
        <v>29</v>
      </c>
      <c r="F163" t="s">
        <v>31</v>
      </c>
      <c r="G163">
        <v>0.18</v>
      </c>
      <c r="H163">
        <v>0.19700000000000001</v>
      </c>
      <c r="I163">
        <v>0.51</v>
      </c>
      <c r="J163">
        <v>0.16420000000000001</v>
      </c>
      <c r="K163">
        <v>1</v>
      </c>
      <c r="L163">
        <v>24</v>
      </c>
      <c r="M163">
        <v>25</v>
      </c>
      <c r="N163" t="s">
        <v>84</v>
      </c>
      <c r="O163" t="s">
        <v>85</v>
      </c>
      <c r="P163" t="s">
        <v>91</v>
      </c>
    </row>
    <row r="164" spans="1:16" x14ac:dyDescent="0.3">
      <c r="A164">
        <v>163</v>
      </c>
      <c r="B164" s="1">
        <v>40551</v>
      </c>
      <c r="C164">
        <v>1</v>
      </c>
      <c r="D164" t="b">
        <v>0</v>
      </c>
      <c r="E164" t="s">
        <v>29</v>
      </c>
      <c r="F164" t="s">
        <v>31</v>
      </c>
      <c r="G164">
        <v>0.18</v>
      </c>
      <c r="H164">
        <v>0.21210000000000001</v>
      </c>
      <c r="I164">
        <v>0.55000000000000004</v>
      </c>
      <c r="J164">
        <v>8.9599999999999999E-2</v>
      </c>
      <c r="K164">
        <v>1</v>
      </c>
      <c r="L164">
        <v>15</v>
      </c>
      <c r="M164">
        <v>16</v>
      </c>
      <c r="N164" t="s">
        <v>84</v>
      </c>
      <c r="O164" t="s">
        <v>85</v>
      </c>
      <c r="P164" t="s">
        <v>91</v>
      </c>
    </row>
    <row r="165" spans="1:16" x14ac:dyDescent="0.3">
      <c r="A165">
        <v>164</v>
      </c>
      <c r="B165" s="1">
        <v>40551</v>
      </c>
      <c r="C165">
        <v>2</v>
      </c>
      <c r="D165" t="b">
        <v>0</v>
      </c>
      <c r="E165" t="s">
        <v>29</v>
      </c>
      <c r="F165" t="s">
        <v>31</v>
      </c>
      <c r="G165">
        <v>0.18</v>
      </c>
      <c r="H165">
        <v>0.2424</v>
      </c>
      <c r="I165">
        <v>0.55000000000000004</v>
      </c>
      <c r="J165">
        <v>0</v>
      </c>
      <c r="K165">
        <v>3</v>
      </c>
      <c r="L165">
        <v>13</v>
      </c>
      <c r="M165">
        <v>16</v>
      </c>
      <c r="N165" t="s">
        <v>84</v>
      </c>
      <c r="O165" t="s">
        <v>85</v>
      </c>
      <c r="P165" t="s">
        <v>91</v>
      </c>
    </row>
    <row r="166" spans="1:16" x14ac:dyDescent="0.3">
      <c r="A166">
        <v>165</v>
      </c>
      <c r="B166" s="1">
        <v>40551</v>
      </c>
      <c r="C166">
        <v>3</v>
      </c>
      <c r="D166" t="b">
        <v>0</v>
      </c>
      <c r="E166" t="s">
        <v>29</v>
      </c>
      <c r="F166" t="s">
        <v>32</v>
      </c>
      <c r="G166">
        <v>0.18</v>
      </c>
      <c r="H166">
        <v>0.19700000000000001</v>
      </c>
      <c r="I166">
        <v>0.55000000000000004</v>
      </c>
      <c r="J166">
        <v>0.16420000000000001</v>
      </c>
      <c r="K166">
        <v>0</v>
      </c>
      <c r="L166">
        <v>7</v>
      </c>
      <c r="M166">
        <v>7</v>
      </c>
      <c r="N166" t="s">
        <v>84</v>
      </c>
      <c r="O166" t="s">
        <v>85</v>
      </c>
      <c r="P166" t="s">
        <v>92</v>
      </c>
    </row>
    <row r="167" spans="1:16" x14ac:dyDescent="0.3">
      <c r="A167">
        <v>166</v>
      </c>
      <c r="B167" s="1">
        <v>40551</v>
      </c>
      <c r="C167">
        <v>4</v>
      </c>
      <c r="D167" t="b">
        <v>0</v>
      </c>
      <c r="E167" t="s">
        <v>29</v>
      </c>
      <c r="F167" t="s">
        <v>32</v>
      </c>
      <c r="G167">
        <v>0.18</v>
      </c>
      <c r="H167">
        <v>0.19700000000000001</v>
      </c>
      <c r="I167">
        <v>0.55000000000000004</v>
      </c>
      <c r="J167">
        <v>0.16420000000000001</v>
      </c>
      <c r="K167">
        <v>0</v>
      </c>
      <c r="L167">
        <v>1</v>
      </c>
      <c r="M167">
        <v>1</v>
      </c>
      <c r="N167" t="s">
        <v>84</v>
      </c>
      <c r="O167" t="s">
        <v>85</v>
      </c>
      <c r="P167" t="s">
        <v>92</v>
      </c>
    </row>
    <row r="168" spans="1:16" x14ac:dyDescent="0.3">
      <c r="A168">
        <v>167</v>
      </c>
      <c r="B168" s="1">
        <v>40551</v>
      </c>
      <c r="C168">
        <v>5</v>
      </c>
      <c r="D168" t="b">
        <v>0</v>
      </c>
      <c r="E168" t="s">
        <v>29</v>
      </c>
      <c r="F168" t="s">
        <v>31</v>
      </c>
      <c r="G168">
        <v>0.16</v>
      </c>
      <c r="H168">
        <v>0.16669999999999999</v>
      </c>
      <c r="I168">
        <v>0.74</v>
      </c>
      <c r="J168">
        <v>0.16420000000000001</v>
      </c>
      <c r="K168">
        <v>0</v>
      </c>
      <c r="L168">
        <v>5</v>
      </c>
      <c r="M168">
        <v>5</v>
      </c>
      <c r="N168" t="s">
        <v>84</v>
      </c>
      <c r="O168" t="s">
        <v>85</v>
      </c>
      <c r="P168" t="s">
        <v>91</v>
      </c>
    </row>
    <row r="169" spans="1:16" x14ac:dyDescent="0.3">
      <c r="A169">
        <v>168</v>
      </c>
      <c r="B169" s="1">
        <v>40551</v>
      </c>
      <c r="C169">
        <v>6</v>
      </c>
      <c r="D169" t="b">
        <v>0</v>
      </c>
      <c r="E169" t="s">
        <v>29</v>
      </c>
      <c r="F169" t="s">
        <v>31</v>
      </c>
      <c r="G169">
        <v>0.16</v>
      </c>
      <c r="H169">
        <v>0.16669999999999999</v>
      </c>
      <c r="I169">
        <v>0.74</v>
      </c>
      <c r="J169">
        <v>0.16420000000000001</v>
      </c>
      <c r="K169">
        <v>0</v>
      </c>
      <c r="L169">
        <v>2</v>
      </c>
      <c r="M169">
        <v>2</v>
      </c>
      <c r="N169" t="s">
        <v>84</v>
      </c>
      <c r="O169" t="s">
        <v>85</v>
      </c>
      <c r="P169" t="s">
        <v>91</v>
      </c>
    </row>
    <row r="170" spans="1:16" x14ac:dyDescent="0.3">
      <c r="A170">
        <v>169</v>
      </c>
      <c r="B170" s="1">
        <v>40551</v>
      </c>
      <c r="C170">
        <v>7</v>
      </c>
      <c r="D170" t="b">
        <v>0</v>
      </c>
      <c r="E170" t="s">
        <v>29</v>
      </c>
      <c r="F170" t="s">
        <v>31</v>
      </c>
      <c r="G170">
        <v>0.16</v>
      </c>
      <c r="H170">
        <v>0.18179999999999999</v>
      </c>
      <c r="I170">
        <v>0.74</v>
      </c>
      <c r="J170">
        <v>0.1045</v>
      </c>
      <c r="K170">
        <v>1</v>
      </c>
      <c r="L170">
        <v>8</v>
      </c>
      <c r="M170">
        <v>9</v>
      </c>
      <c r="N170" t="s">
        <v>84</v>
      </c>
      <c r="O170" t="s">
        <v>86</v>
      </c>
      <c r="P170" t="s">
        <v>91</v>
      </c>
    </row>
    <row r="171" spans="1:16" x14ac:dyDescent="0.3">
      <c r="A171">
        <v>170</v>
      </c>
      <c r="B171" s="1">
        <v>40551</v>
      </c>
      <c r="C171">
        <v>8</v>
      </c>
      <c r="D171" t="b">
        <v>0</v>
      </c>
      <c r="E171" t="s">
        <v>29</v>
      </c>
      <c r="F171" t="s">
        <v>32</v>
      </c>
      <c r="G171">
        <v>0.16</v>
      </c>
      <c r="H171">
        <v>0.18179999999999999</v>
      </c>
      <c r="I171">
        <v>0.93</v>
      </c>
      <c r="J171">
        <v>0.1045</v>
      </c>
      <c r="K171">
        <v>0</v>
      </c>
      <c r="L171">
        <v>15</v>
      </c>
      <c r="M171">
        <v>15</v>
      </c>
      <c r="N171" t="s">
        <v>84</v>
      </c>
      <c r="O171" t="s">
        <v>86</v>
      </c>
      <c r="P171" t="s">
        <v>92</v>
      </c>
    </row>
    <row r="172" spans="1:16" x14ac:dyDescent="0.3">
      <c r="A172">
        <v>171</v>
      </c>
      <c r="B172" s="1">
        <v>40551</v>
      </c>
      <c r="C172">
        <v>9</v>
      </c>
      <c r="D172" t="b">
        <v>0</v>
      </c>
      <c r="E172" t="s">
        <v>29</v>
      </c>
      <c r="F172" t="s">
        <v>32</v>
      </c>
      <c r="G172">
        <v>0.16</v>
      </c>
      <c r="H172">
        <v>0.18179999999999999</v>
      </c>
      <c r="I172">
        <v>0.93</v>
      </c>
      <c r="J172">
        <v>0.1045</v>
      </c>
      <c r="K172">
        <v>0</v>
      </c>
      <c r="L172">
        <v>20</v>
      </c>
      <c r="M172">
        <v>20</v>
      </c>
      <c r="N172" t="s">
        <v>84</v>
      </c>
      <c r="O172" t="s">
        <v>86</v>
      </c>
      <c r="P172" t="s">
        <v>92</v>
      </c>
    </row>
    <row r="173" spans="1:16" x14ac:dyDescent="0.3">
      <c r="A173">
        <v>172</v>
      </c>
      <c r="B173" s="1">
        <v>40551</v>
      </c>
      <c r="C173">
        <v>10</v>
      </c>
      <c r="D173" t="b">
        <v>0</v>
      </c>
      <c r="E173" t="s">
        <v>29</v>
      </c>
      <c r="F173" t="s">
        <v>31</v>
      </c>
      <c r="G173">
        <v>0.18</v>
      </c>
      <c r="H173">
        <v>0.19700000000000001</v>
      </c>
      <c r="I173">
        <v>0.8</v>
      </c>
      <c r="J173">
        <v>0.16420000000000001</v>
      </c>
      <c r="K173">
        <v>5</v>
      </c>
      <c r="L173">
        <v>56</v>
      </c>
      <c r="M173">
        <v>61</v>
      </c>
      <c r="N173" t="s">
        <v>84</v>
      </c>
      <c r="O173" t="s">
        <v>85</v>
      </c>
      <c r="P173" t="s">
        <v>91</v>
      </c>
    </row>
    <row r="174" spans="1:16" x14ac:dyDescent="0.3">
      <c r="A174">
        <v>173</v>
      </c>
      <c r="B174" s="1">
        <v>40551</v>
      </c>
      <c r="C174">
        <v>11</v>
      </c>
      <c r="D174" t="b">
        <v>0</v>
      </c>
      <c r="E174" t="s">
        <v>29</v>
      </c>
      <c r="F174" t="s">
        <v>31</v>
      </c>
      <c r="G174">
        <v>0.2</v>
      </c>
      <c r="H174">
        <v>0.18179999999999999</v>
      </c>
      <c r="I174">
        <v>0.69</v>
      </c>
      <c r="J174">
        <v>0.3881</v>
      </c>
      <c r="K174">
        <v>2</v>
      </c>
      <c r="L174">
        <v>60</v>
      </c>
      <c r="M174">
        <v>62</v>
      </c>
      <c r="N174" t="s">
        <v>84</v>
      </c>
      <c r="O174" t="s">
        <v>85</v>
      </c>
      <c r="P174" t="s">
        <v>91</v>
      </c>
    </row>
    <row r="175" spans="1:16" x14ac:dyDescent="0.3">
      <c r="A175">
        <v>174</v>
      </c>
      <c r="B175" s="1">
        <v>40551</v>
      </c>
      <c r="C175">
        <v>12</v>
      </c>
      <c r="D175" t="b">
        <v>0</v>
      </c>
      <c r="E175" t="s">
        <v>29</v>
      </c>
      <c r="F175" t="s">
        <v>31</v>
      </c>
      <c r="G175">
        <v>0.2</v>
      </c>
      <c r="H175">
        <v>0.18179999999999999</v>
      </c>
      <c r="I175">
        <v>0.59</v>
      </c>
      <c r="J175">
        <v>0.35820000000000002</v>
      </c>
      <c r="K175">
        <v>8</v>
      </c>
      <c r="L175">
        <v>90</v>
      </c>
      <c r="M175">
        <v>98</v>
      </c>
      <c r="N175" t="s">
        <v>84</v>
      </c>
      <c r="O175" t="s">
        <v>85</v>
      </c>
      <c r="P175" t="s">
        <v>91</v>
      </c>
    </row>
    <row r="176" spans="1:16" x14ac:dyDescent="0.3">
      <c r="A176">
        <v>175</v>
      </c>
      <c r="B176" s="1">
        <v>40551</v>
      </c>
      <c r="C176">
        <v>13</v>
      </c>
      <c r="D176" t="b">
        <v>0</v>
      </c>
      <c r="E176" t="s">
        <v>29</v>
      </c>
      <c r="F176" t="s">
        <v>30</v>
      </c>
      <c r="G176">
        <v>0.2</v>
      </c>
      <c r="H176">
        <v>0.18179999999999999</v>
      </c>
      <c r="I176">
        <v>0.44</v>
      </c>
      <c r="J176">
        <v>0.32840000000000003</v>
      </c>
      <c r="K176">
        <v>7</v>
      </c>
      <c r="L176">
        <v>95</v>
      </c>
      <c r="M176">
        <v>102</v>
      </c>
      <c r="N176" t="s">
        <v>84</v>
      </c>
      <c r="O176" t="s">
        <v>85</v>
      </c>
      <c r="P176" t="s">
        <v>90</v>
      </c>
    </row>
    <row r="177" spans="1:16" x14ac:dyDescent="0.3">
      <c r="A177">
        <v>176</v>
      </c>
      <c r="B177" s="1">
        <v>40551</v>
      </c>
      <c r="C177">
        <v>14</v>
      </c>
      <c r="D177" t="b">
        <v>0</v>
      </c>
      <c r="E177" t="s">
        <v>29</v>
      </c>
      <c r="F177" t="s">
        <v>30</v>
      </c>
      <c r="G177">
        <v>0.2</v>
      </c>
      <c r="H177">
        <v>0.16669999999999999</v>
      </c>
      <c r="I177">
        <v>0.32</v>
      </c>
      <c r="J177">
        <v>0.49249999999999999</v>
      </c>
      <c r="K177">
        <v>12</v>
      </c>
      <c r="L177">
        <v>83</v>
      </c>
      <c r="M177">
        <v>95</v>
      </c>
      <c r="N177" t="s">
        <v>84</v>
      </c>
      <c r="O177" t="s">
        <v>85</v>
      </c>
      <c r="P177" t="s">
        <v>90</v>
      </c>
    </row>
    <row r="178" spans="1:16" x14ac:dyDescent="0.3">
      <c r="A178">
        <v>177</v>
      </c>
      <c r="B178" s="1">
        <v>40551</v>
      </c>
      <c r="C178">
        <v>15</v>
      </c>
      <c r="D178" t="b">
        <v>0</v>
      </c>
      <c r="E178" t="s">
        <v>29</v>
      </c>
      <c r="F178" t="s">
        <v>30</v>
      </c>
      <c r="G178">
        <v>0.2</v>
      </c>
      <c r="H178">
        <v>0.16669999999999999</v>
      </c>
      <c r="I178">
        <v>0.32</v>
      </c>
      <c r="J178">
        <v>0.44779999999999998</v>
      </c>
      <c r="K178">
        <v>5</v>
      </c>
      <c r="L178">
        <v>69</v>
      </c>
      <c r="M178">
        <v>74</v>
      </c>
      <c r="N178" t="s">
        <v>84</v>
      </c>
      <c r="O178" t="s">
        <v>85</v>
      </c>
      <c r="P178" t="s">
        <v>90</v>
      </c>
    </row>
    <row r="179" spans="1:16" x14ac:dyDescent="0.3">
      <c r="A179">
        <v>178</v>
      </c>
      <c r="B179" s="1">
        <v>40551</v>
      </c>
      <c r="C179">
        <v>16</v>
      </c>
      <c r="D179" t="b">
        <v>0</v>
      </c>
      <c r="E179" t="s">
        <v>29</v>
      </c>
      <c r="F179" t="s">
        <v>30</v>
      </c>
      <c r="G179">
        <v>0.18</v>
      </c>
      <c r="H179">
        <v>0.13639999999999999</v>
      </c>
      <c r="I179">
        <v>0.28999999999999998</v>
      </c>
      <c r="J179">
        <v>0.44779999999999998</v>
      </c>
      <c r="K179">
        <v>8</v>
      </c>
      <c r="L179">
        <v>68</v>
      </c>
      <c r="M179">
        <v>76</v>
      </c>
      <c r="N179" t="s">
        <v>84</v>
      </c>
      <c r="O179" t="s">
        <v>85</v>
      </c>
      <c r="P179" t="s">
        <v>90</v>
      </c>
    </row>
    <row r="180" spans="1:16" x14ac:dyDescent="0.3">
      <c r="A180">
        <v>179</v>
      </c>
      <c r="B180" s="1">
        <v>40551</v>
      </c>
      <c r="C180">
        <v>17</v>
      </c>
      <c r="D180" t="b">
        <v>0</v>
      </c>
      <c r="E180" t="s">
        <v>29</v>
      </c>
      <c r="F180" t="s">
        <v>30</v>
      </c>
      <c r="G180">
        <v>0.16</v>
      </c>
      <c r="H180">
        <v>0.1212</v>
      </c>
      <c r="I180">
        <v>0.37</v>
      </c>
      <c r="J180">
        <v>0.55220000000000002</v>
      </c>
      <c r="K180">
        <v>5</v>
      </c>
      <c r="L180">
        <v>64</v>
      </c>
      <c r="M180">
        <v>69</v>
      </c>
      <c r="N180" t="s">
        <v>84</v>
      </c>
      <c r="O180" t="s">
        <v>87</v>
      </c>
      <c r="P180" t="s">
        <v>90</v>
      </c>
    </row>
    <row r="181" spans="1:16" x14ac:dyDescent="0.3">
      <c r="A181">
        <v>180</v>
      </c>
      <c r="B181" s="1">
        <v>40551</v>
      </c>
      <c r="C181">
        <v>18</v>
      </c>
      <c r="D181" t="b">
        <v>0</v>
      </c>
      <c r="E181" t="s">
        <v>29</v>
      </c>
      <c r="F181" t="s">
        <v>30</v>
      </c>
      <c r="G181">
        <v>0.14000000000000001</v>
      </c>
      <c r="H181">
        <v>0.1212</v>
      </c>
      <c r="I181">
        <v>0.39</v>
      </c>
      <c r="J181">
        <v>0.29849999999999999</v>
      </c>
      <c r="K181">
        <v>3</v>
      </c>
      <c r="L181">
        <v>52</v>
      </c>
      <c r="M181">
        <v>55</v>
      </c>
      <c r="N181" t="s">
        <v>84</v>
      </c>
      <c r="O181" t="s">
        <v>87</v>
      </c>
      <c r="P181" t="s">
        <v>90</v>
      </c>
    </row>
    <row r="182" spans="1:16" x14ac:dyDescent="0.3">
      <c r="A182">
        <v>181</v>
      </c>
      <c r="B182" s="1">
        <v>40551</v>
      </c>
      <c r="C182">
        <v>19</v>
      </c>
      <c r="D182" t="b">
        <v>0</v>
      </c>
      <c r="E182" t="s">
        <v>29</v>
      </c>
      <c r="F182" t="s">
        <v>30</v>
      </c>
      <c r="G182">
        <v>0.14000000000000001</v>
      </c>
      <c r="H182">
        <v>0.1212</v>
      </c>
      <c r="I182">
        <v>0.36</v>
      </c>
      <c r="J182">
        <v>0.25369999999999998</v>
      </c>
      <c r="K182">
        <v>4</v>
      </c>
      <c r="L182">
        <v>26</v>
      </c>
      <c r="M182">
        <v>30</v>
      </c>
      <c r="N182" t="s">
        <v>84</v>
      </c>
      <c r="O182" t="s">
        <v>87</v>
      </c>
      <c r="P182" t="s">
        <v>90</v>
      </c>
    </row>
    <row r="183" spans="1:16" x14ac:dyDescent="0.3">
      <c r="A183">
        <v>182</v>
      </c>
      <c r="B183" s="1">
        <v>40551</v>
      </c>
      <c r="C183">
        <v>20</v>
      </c>
      <c r="D183" t="b">
        <v>0</v>
      </c>
      <c r="E183" t="s">
        <v>29</v>
      </c>
      <c r="F183" t="s">
        <v>30</v>
      </c>
      <c r="G183">
        <v>0.12</v>
      </c>
      <c r="H183">
        <v>0.1212</v>
      </c>
      <c r="I183">
        <v>0.36</v>
      </c>
      <c r="J183">
        <v>0.25369999999999998</v>
      </c>
      <c r="K183">
        <v>0</v>
      </c>
      <c r="L183">
        <v>28</v>
      </c>
      <c r="M183">
        <v>28</v>
      </c>
      <c r="N183" t="s">
        <v>84</v>
      </c>
      <c r="O183" t="s">
        <v>85</v>
      </c>
      <c r="P183" t="s">
        <v>90</v>
      </c>
    </row>
    <row r="184" spans="1:16" x14ac:dyDescent="0.3">
      <c r="A184">
        <v>183</v>
      </c>
      <c r="B184" s="1">
        <v>40551</v>
      </c>
      <c r="C184">
        <v>21</v>
      </c>
      <c r="D184" t="b">
        <v>0</v>
      </c>
      <c r="E184" t="s">
        <v>29</v>
      </c>
      <c r="F184" t="s">
        <v>30</v>
      </c>
      <c r="G184">
        <v>0.12</v>
      </c>
      <c r="H184">
        <v>0.1061</v>
      </c>
      <c r="I184">
        <v>0.39</v>
      </c>
      <c r="J184">
        <v>0.35820000000000002</v>
      </c>
      <c r="K184">
        <v>2</v>
      </c>
      <c r="L184">
        <v>35</v>
      </c>
      <c r="M184">
        <v>37</v>
      </c>
      <c r="N184" t="s">
        <v>84</v>
      </c>
      <c r="O184" t="s">
        <v>85</v>
      </c>
      <c r="P184" t="s">
        <v>90</v>
      </c>
    </row>
    <row r="185" spans="1:16" x14ac:dyDescent="0.3">
      <c r="A185">
        <v>184</v>
      </c>
      <c r="B185" s="1">
        <v>40551</v>
      </c>
      <c r="C185">
        <v>22</v>
      </c>
      <c r="D185" t="b">
        <v>0</v>
      </c>
      <c r="E185" t="s">
        <v>29</v>
      </c>
      <c r="F185" t="s">
        <v>30</v>
      </c>
      <c r="G185">
        <v>0.12</v>
      </c>
      <c r="H185">
        <v>0.1061</v>
      </c>
      <c r="I185">
        <v>0.36</v>
      </c>
      <c r="J185">
        <v>0.3881</v>
      </c>
      <c r="K185">
        <v>1</v>
      </c>
      <c r="L185">
        <v>33</v>
      </c>
      <c r="M185">
        <v>34</v>
      </c>
      <c r="N185" t="s">
        <v>84</v>
      </c>
      <c r="O185" t="s">
        <v>85</v>
      </c>
      <c r="P185" t="s">
        <v>90</v>
      </c>
    </row>
    <row r="186" spans="1:16" x14ac:dyDescent="0.3">
      <c r="A186">
        <v>185</v>
      </c>
      <c r="B186" s="1">
        <v>40551</v>
      </c>
      <c r="C186">
        <v>23</v>
      </c>
      <c r="D186" t="b">
        <v>0</v>
      </c>
      <c r="E186" t="s">
        <v>29</v>
      </c>
      <c r="F186" t="s">
        <v>30</v>
      </c>
      <c r="G186">
        <v>0.1</v>
      </c>
      <c r="H186">
        <v>6.0600000000000001E-2</v>
      </c>
      <c r="I186">
        <v>0.39</v>
      </c>
      <c r="J186">
        <v>0.44779999999999998</v>
      </c>
      <c r="K186">
        <v>0</v>
      </c>
      <c r="L186">
        <v>22</v>
      </c>
      <c r="M186">
        <v>22</v>
      </c>
      <c r="N186" t="s">
        <v>84</v>
      </c>
      <c r="O186" t="s">
        <v>85</v>
      </c>
      <c r="P186" t="s">
        <v>90</v>
      </c>
    </row>
    <row r="187" spans="1:16" x14ac:dyDescent="0.3">
      <c r="A187">
        <v>186</v>
      </c>
      <c r="B187" s="1">
        <v>40552</v>
      </c>
      <c r="C187">
        <v>0</v>
      </c>
      <c r="D187" t="b">
        <v>0</v>
      </c>
      <c r="E187" t="s">
        <v>23</v>
      </c>
      <c r="F187" t="s">
        <v>30</v>
      </c>
      <c r="G187">
        <v>0.1</v>
      </c>
      <c r="H187">
        <v>7.5800000000000006E-2</v>
      </c>
      <c r="I187">
        <v>0.42</v>
      </c>
      <c r="J187">
        <v>0.3881</v>
      </c>
      <c r="K187">
        <v>1</v>
      </c>
      <c r="L187">
        <v>24</v>
      </c>
      <c r="M187">
        <v>25</v>
      </c>
      <c r="N187" t="s">
        <v>84</v>
      </c>
      <c r="O187" t="s">
        <v>85</v>
      </c>
      <c r="P187" t="s">
        <v>90</v>
      </c>
    </row>
    <row r="188" spans="1:16" x14ac:dyDescent="0.3">
      <c r="A188">
        <v>187</v>
      </c>
      <c r="B188" s="1">
        <v>40552</v>
      </c>
      <c r="C188">
        <v>1</v>
      </c>
      <c r="D188" t="b">
        <v>0</v>
      </c>
      <c r="E188" t="s">
        <v>23</v>
      </c>
      <c r="F188" t="s">
        <v>30</v>
      </c>
      <c r="G188">
        <v>0.1</v>
      </c>
      <c r="H188">
        <v>6.0600000000000001E-2</v>
      </c>
      <c r="I188">
        <v>0.42</v>
      </c>
      <c r="J188">
        <v>0.4627</v>
      </c>
      <c r="K188">
        <v>0</v>
      </c>
      <c r="L188">
        <v>12</v>
      </c>
      <c r="M188">
        <v>12</v>
      </c>
      <c r="N188" t="s">
        <v>84</v>
      </c>
      <c r="O188" t="s">
        <v>85</v>
      </c>
      <c r="P188" t="s">
        <v>90</v>
      </c>
    </row>
    <row r="189" spans="1:16" x14ac:dyDescent="0.3">
      <c r="A189">
        <v>188</v>
      </c>
      <c r="B189" s="1">
        <v>40552</v>
      </c>
      <c r="C189">
        <v>2</v>
      </c>
      <c r="D189" t="b">
        <v>0</v>
      </c>
      <c r="E189" t="s">
        <v>23</v>
      </c>
      <c r="F189" t="s">
        <v>30</v>
      </c>
      <c r="G189">
        <v>0.1</v>
      </c>
      <c r="H189">
        <v>6.0600000000000001E-2</v>
      </c>
      <c r="I189">
        <v>0.46</v>
      </c>
      <c r="J189">
        <v>0.4627</v>
      </c>
      <c r="K189">
        <v>0</v>
      </c>
      <c r="L189">
        <v>11</v>
      </c>
      <c r="M189">
        <v>11</v>
      </c>
      <c r="N189" t="s">
        <v>84</v>
      </c>
      <c r="O189" t="s">
        <v>85</v>
      </c>
      <c r="P189" t="s">
        <v>90</v>
      </c>
    </row>
    <row r="190" spans="1:16" x14ac:dyDescent="0.3">
      <c r="A190">
        <v>189</v>
      </c>
      <c r="B190" s="1">
        <v>40552</v>
      </c>
      <c r="C190">
        <v>3</v>
      </c>
      <c r="D190" t="b">
        <v>0</v>
      </c>
      <c r="E190" t="s">
        <v>23</v>
      </c>
      <c r="F190" t="s">
        <v>30</v>
      </c>
      <c r="G190">
        <v>0.1</v>
      </c>
      <c r="H190">
        <v>7.5800000000000006E-2</v>
      </c>
      <c r="I190">
        <v>0.46</v>
      </c>
      <c r="J190">
        <v>0.41789999999999999</v>
      </c>
      <c r="K190">
        <v>0</v>
      </c>
      <c r="L190">
        <v>4</v>
      </c>
      <c r="M190">
        <v>4</v>
      </c>
      <c r="N190" t="s">
        <v>84</v>
      </c>
      <c r="O190" t="s">
        <v>85</v>
      </c>
      <c r="P190" t="s">
        <v>90</v>
      </c>
    </row>
    <row r="191" spans="1:16" x14ac:dyDescent="0.3">
      <c r="A191">
        <v>190</v>
      </c>
      <c r="B191" s="1">
        <v>40552</v>
      </c>
      <c r="C191">
        <v>4</v>
      </c>
      <c r="D191" t="b">
        <v>0</v>
      </c>
      <c r="E191" t="s">
        <v>23</v>
      </c>
      <c r="F191" t="s">
        <v>30</v>
      </c>
      <c r="G191">
        <v>0.08</v>
      </c>
      <c r="H191">
        <v>9.0899999999999995E-2</v>
      </c>
      <c r="I191">
        <v>0.53</v>
      </c>
      <c r="J191">
        <v>0.19400000000000001</v>
      </c>
      <c r="K191">
        <v>0</v>
      </c>
      <c r="L191">
        <v>1</v>
      </c>
      <c r="M191">
        <v>1</v>
      </c>
      <c r="N191" t="s">
        <v>84</v>
      </c>
      <c r="O191" t="s">
        <v>85</v>
      </c>
      <c r="P191" t="s">
        <v>90</v>
      </c>
    </row>
    <row r="192" spans="1:16" x14ac:dyDescent="0.3">
      <c r="A192">
        <v>191</v>
      </c>
      <c r="B192" s="1">
        <v>40552</v>
      </c>
      <c r="C192">
        <v>5</v>
      </c>
      <c r="D192" t="b">
        <v>0</v>
      </c>
      <c r="E192" t="s">
        <v>23</v>
      </c>
      <c r="F192" t="s">
        <v>30</v>
      </c>
      <c r="G192">
        <v>0.08</v>
      </c>
      <c r="H192">
        <v>9.0899999999999995E-2</v>
      </c>
      <c r="I192">
        <v>0.53</v>
      </c>
      <c r="J192">
        <v>0.19400000000000001</v>
      </c>
      <c r="K192">
        <v>0</v>
      </c>
      <c r="L192">
        <v>1</v>
      </c>
      <c r="M192">
        <v>1</v>
      </c>
      <c r="N192" t="s">
        <v>84</v>
      </c>
      <c r="O192" t="s">
        <v>85</v>
      </c>
      <c r="P192" t="s">
        <v>90</v>
      </c>
    </row>
    <row r="193" spans="1:16" x14ac:dyDescent="0.3">
      <c r="A193">
        <v>192</v>
      </c>
      <c r="B193" s="1">
        <v>40552</v>
      </c>
      <c r="C193">
        <v>6</v>
      </c>
      <c r="D193" t="b">
        <v>0</v>
      </c>
      <c r="E193" t="s">
        <v>23</v>
      </c>
      <c r="F193" t="s">
        <v>30</v>
      </c>
      <c r="G193">
        <v>0.1</v>
      </c>
      <c r="H193">
        <v>9.0899999999999995E-2</v>
      </c>
      <c r="I193">
        <v>0.49</v>
      </c>
      <c r="J193">
        <v>0.28360000000000002</v>
      </c>
      <c r="K193">
        <v>0</v>
      </c>
      <c r="L193">
        <v>1</v>
      </c>
      <c r="M193">
        <v>1</v>
      </c>
      <c r="N193" t="s">
        <v>84</v>
      </c>
      <c r="O193" t="s">
        <v>85</v>
      </c>
      <c r="P193" t="s">
        <v>90</v>
      </c>
    </row>
    <row r="194" spans="1:16" x14ac:dyDescent="0.3">
      <c r="A194">
        <v>193</v>
      </c>
      <c r="B194" s="1">
        <v>40552</v>
      </c>
      <c r="C194">
        <v>7</v>
      </c>
      <c r="D194" t="b">
        <v>0</v>
      </c>
      <c r="E194" t="s">
        <v>23</v>
      </c>
      <c r="F194" t="s">
        <v>30</v>
      </c>
      <c r="G194">
        <v>0.08</v>
      </c>
      <c r="H194">
        <v>9.0899999999999995E-2</v>
      </c>
      <c r="I194">
        <v>0.53</v>
      </c>
      <c r="J194">
        <v>0.19400000000000001</v>
      </c>
      <c r="K194">
        <v>1</v>
      </c>
      <c r="L194">
        <v>5</v>
      </c>
      <c r="M194">
        <v>6</v>
      </c>
      <c r="N194" t="s">
        <v>84</v>
      </c>
      <c r="O194" t="s">
        <v>86</v>
      </c>
      <c r="P194" t="s">
        <v>90</v>
      </c>
    </row>
    <row r="195" spans="1:16" x14ac:dyDescent="0.3">
      <c r="A195">
        <v>194</v>
      </c>
      <c r="B195" s="1">
        <v>40552</v>
      </c>
      <c r="C195">
        <v>8</v>
      </c>
      <c r="D195" t="b">
        <v>0</v>
      </c>
      <c r="E195" t="s">
        <v>23</v>
      </c>
      <c r="F195" t="s">
        <v>30</v>
      </c>
      <c r="G195">
        <v>0.1</v>
      </c>
      <c r="H195">
        <v>9.0899999999999995E-2</v>
      </c>
      <c r="I195">
        <v>0.49</v>
      </c>
      <c r="J195">
        <v>0.28360000000000002</v>
      </c>
      <c r="K195">
        <v>0</v>
      </c>
      <c r="L195">
        <v>10</v>
      </c>
      <c r="M195">
        <v>10</v>
      </c>
      <c r="N195" t="s">
        <v>84</v>
      </c>
      <c r="O195" t="s">
        <v>86</v>
      </c>
      <c r="P195" t="s">
        <v>90</v>
      </c>
    </row>
    <row r="196" spans="1:16" x14ac:dyDescent="0.3">
      <c r="A196">
        <v>195</v>
      </c>
      <c r="B196" s="1">
        <v>40552</v>
      </c>
      <c r="C196">
        <v>9</v>
      </c>
      <c r="D196" t="b">
        <v>0</v>
      </c>
      <c r="E196" t="s">
        <v>23</v>
      </c>
      <c r="F196" t="s">
        <v>30</v>
      </c>
      <c r="G196">
        <v>0.12</v>
      </c>
      <c r="H196">
        <v>7.5800000000000006E-2</v>
      </c>
      <c r="I196">
        <v>0.46</v>
      </c>
      <c r="J196">
        <v>0.52239999999999998</v>
      </c>
      <c r="K196">
        <v>0</v>
      </c>
      <c r="L196">
        <v>19</v>
      </c>
      <c r="M196">
        <v>19</v>
      </c>
      <c r="N196" t="s">
        <v>84</v>
      </c>
      <c r="O196" t="s">
        <v>86</v>
      </c>
      <c r="P196" t="s">
        <v>90</v>
      </c>
    </row>
    <row r="197" spans="1:16" x14ac:dyDescent="0.3">
      <c r="A197">
        <v>196</v>
      </c>
      <c r="B197" s="1">
        <v>40552</v>
      </c>
      <c r="C197">
        <v>10</v>
      </c>
      <c r="D197" t="b">
        <v>0</v>
      </c>
      <c r="E197" t="s">
        <v>23</v>
      </c>
      <c r="F197" t="s">
        <v>30</v>
      </c>
      <c r="G197">
        <v>0.14000000000000001</v>
      </c>
      <c r="H197">
        <v>0.1061</v>
      </c>
      <c r="I197">
        <v>0.43</v>
      </c>
      <c r="J197">
        <v>0.3881</v>
      </c>
      <c r="K197">
        <v>0</v>
      </c>
      <c r="L197">
        <v>49</v>
      </c>
      <c r="M197">
        <v>49</v>
      </c>
      <c r="N197" t="s">
        <v>84</v>
      </c>
      <c r="O197" t="s">
        <v>85</v>
      </c>
      <c r="P197" t="s">
        <v>90</v>
      </c>
    </row>
    <row r="198" spans="1:16" x14ac:dyDescent="0.3">
      <c r="A198">
        <v>197</v>
      </c>
      <c r="B198" s="1">
        <v>40552</v>
      </c>
      <c r="C198">
        <v>11</v>
      </c>
      <c r="D198" t="b">
        <v>0</v>
      </c>
      <c r="E198" t="s">
        <v>23</v>
      </c>
      <c r="F198" t="s">
        <v>30</v>
      </c>
      <c r="G198">
        <v>0.16</v>
      </c>
      <c r="H198">
        <v>0.1212</v>
      </c>
      <c r="I198">
        <v>0.4</v>
      </c>
      <c r="J198">
        <v>0.52239999999999998</v>
      </c>
      <c r="K198">
        <v>2</v>
      </c>
      <c r="L198">
        <v>47</v>
      </c>
      <c r="M198">
        <v>49</v>
      </c>
      <c r="N198" t="s">
        <v>84</v>
      </c>
      <c r="O198" t="s">
        <v>85</v>
      </c>
      <c r="P198" t="s">
        <v>90</v>
      </c>
    </row>
    <row r="199" spans="1:16" x14ac:dyDescent="0.3">
      <c r="A199">
        <v>198</v>
      </c>
      <c r="B199" s="1">
        <v>40552</v>
      </c>
      <c r="C199">
        <v>12</v>
      </c>
      <c r="D199" t="b">
        <v>0</v>
      </c>
      <c r="E199" t="s">
        <v>23</v>
      </c>
      <c r="F199" t="s">
        <v>30</v>
      </c>
      <c r="G199">
        <v>0.18</v>
      </c>
      <c r="H199">
        <v>0.13639999999999999</v>
      </c>
      <c r="I199">
        <v>0.37</v>
      </c>
      <c r="J199">
        <v>0.44779999999999998</v>
      </c>
      <c r="K199">
        <v>4</v>
      </c>
      <c r="L199">
        <v>79</v>
      </c>
      <c r="M199">
        <v>83</v>
      </c>
      <c r="N199" t="s">
        <v>84</v>
      </c>
      <c r="O199" t="s">
        <v>85</v>
      </c>
      <c r="P199" t="s">
        <v>90</v>
      </c>
    </row>
    <row r="200" spans="1:16" x14ac:dyDescent="0.3">
      <c r="A200">
        <v>199</v>
      </c>
      <c r="B200" s="1">
        <v>40552</v>
      </c>
      <c r="C200">
        <v>13</v>
      </c>
      <c r="D200" t="b">
        <v>0</v>
      </c>
      <c r="E200" t="s">
        <v>23</v>
      </c>
      <c r="F200" t="s">
        <v>30</v>
      </c>
      <c r="G200">
        <v>0.2</v>
      </c>
      <c r="H200">
        <v>0.16669999999999999</v>
      </c>
      <c r="I200">
        <v>0.34</v>
      </c>
      <c r="J200">
        <v>0.44779999999999998</v>
      </c>
      <c r="K200">
        <v>6</v>
      </c>
      <c r="L200">
        <v>69</v>
      </c>
      <c r="M200">
        <v>75</v>
      </c>
      <c r="N200" t="s">
        <v>84</v>
      </c>
      <c r="O200" t="s">
        <v>85</v>
      </c>
      <c r="P200" t="s">
        <v>90</v>
      </c>
    </row>
    <row r="201" spans="1:16" x14ac:dyDescent="0.3">
      <c r="A201">
        <v>200</v>
      </c>
      <c r="B201" s="1">
        <v>40552</v>
      </c>
      <c r="C201">
        <v>14</v>
      </c>
      <c r="D201" t="b">
        <v>0</v>
      </c>
      <c r="E201" t="s">
        <v>23</v>
      </c>
      <c r="F201" t="s">
        <v>30</v>
      </c>
      <c r="G201">
        <v>0.22</v>
      </c>
      <c r="H201">
        <v>0.18179999999999999</v>
      </c>
      <c r="I201">
        <v>0.32</v>
      </c>
      <c r="J201">
        <v>0.4627</v>
      </c>
      <c r="K201">
        <v>8</v>
      </c>
      <c r="L201">
        <v>64</v>
      </c>
      <c r="M201">
        <v>72</v>
      </c>
      <c r="N201" t="s">
        <v>84</v>
      </c>
      <c r="O201" t="s">
        <v>85</v>
      </c>
      <c r="P201" t="s">
        <v>90</v>
      </c>
    </row>
    <row r="202" spans="1:16" x14ac:dyDescent="0.3">
      <c r="A202">
        <v>201</v>
      </c>
      <c r="B202" s="1">
        <v>40552</v>
      </c>
      <c r="C202">
        <v>15</v>
      </c>
      <c r="D202" t="b">
        <v>0</v>
      </c>
      <c r="E202" t="s">
        <v>23</v>
      </c>
      <c r="F202" t="s">
        <v>30</v>
      </c>
      <c r="G202">
        <v>0.22</v>
      </c>
      <c r="H202">
        <v>0.19700000000000001</v>
      </c>
      <c r="I202">
        <v>0.35</v>
      </c>
      <c r="J202">
        <v>0.35820000000000002</v>
      </c>
      <c r="K202">
        <v>5</v>
      </c>
      <c r="L202">
        <v>77</v>
      </c>
      <c r="M202">
        <v>82</v>
      </c>
      <c r="N202" t="s">
        <v>84</v>
      </c>
      <c r="O202" t="s">
        <v>85</v>
      </c>
      <c r="P202" t="s">
        <v>90</v>
      </c>
    </row>
    <row r="203" spans="1:16" x14ac:dyDescent="0.3">
      <c r="A203">
        <v>202</v>
      </c>
      <c r="B203" s="1">
        <v>40552</v>
      </c>
      <c r="C203">
        <v>16</v>
      </c>
      <c r="D203" t="b">
        <v>0</v>
      </c>
      <c r="E203" t="s">
        <v>23</v>
      </c>
      <c r="F203" t="s">
        <v>30</v>
      </c>
      <c r="G203">
        <v>0.2</v>
      </c>
      <c r="H203">
        <v>0.16669999999999999</v>
      </c>
      <c r="I203">
        <v>0.34</v>
      </c>
      <c r="J203">
        <v>0.44779999999999998</v>
      </c>
      <c r="K203">
        <v>13</v>
      </c>
      <c r="L203">
        <v>79</v>
      </c>
      <c r="M203">
        <v>92</v>
      </c>
      <c r="N203" t="s">
        <v>84</v>
      </c>
      <c r="O203" t="s">
        <v>85</v>
      </c>
      <c r="P203" t="s">
        <v>90</v>
      </c>
    </row>
    <row r="204" spans="1:16" x14ac:dyDescent="0.3">
      <c r="A204">
        <v>203</v>
      </c>
      <c r="B204" s="1">
        <v>40552</v>
      </c>
      <c r="C204">
        <v>17</v>
      </c>
      <c r="D204" t="b">
        <v>0</v>
      </c>
      <c r="E204" t="s">
        <v>23</v>
      </c>
      <c r="F204" t="s">
        <v>30</v>
      </c>
      <c r="G204">
        <v>0.18</v>
      </c>
      <c r="H204">
        <v>0.1515</v>
      </c>
      <c r="I204">
        <v>0.37</v>
      </c>
      <c r="J204">
        <v>0.3881</v>
      </c>
      <c r="K204">
        <v>3</v>
      </c>
      <c r="L204">
        <v>59</v>
      </c>
      <c r="M204">
        <v>62</v>
      </c>
      <c r="N204" t="s">
        <v>84</v>
      </c>
      <c r="O204" t="s">
        <v>87</v>
      </c>
      <c r="P204" t="s">
        <v>90</v>
      </c>
    </row>
    <row r="205" spans="1:16" x14ac:dyDescent="0.3">
      <c r="A205">
        <v>204</v>
      </c>
      <c r="B205" s="1">
        <v>40552</v>
      </c>
      <c r="C205">
        <v>18</v>
      </c>
      <c r="D205" t="b">
        <v>0</v>
      </c>
      <c r="E205" t="s">
        <v>23</v>
      </c>
      <c r="F205" t="s">
        <v>30</v>
      </c>
      <c r="G205">
        <v>0.16</v>
      </c>
      <c r="H205">
        <v>0.13639999999999999</v>
      </c>
      <c r="I205">
        <v>0.4</v>
      </c>
      <c r="J205">
        <v>0.32840000000000003</v>
      </c>
      <c r="K205">
        <v>4</v>
      </c>
      <c r="L205">
        <v>44</v>
      </c>
      <c r="M205">
        <v>48</v>
      </c>
      <c r="N205" t="s">
        <v>84</v>
      </c>
      <c r="O205" t="s">
        <v>87</v>
      </c>
      <c r="P205" t="s">
        <v>90</v>
      </c>
    </row>
    <row r="206" spans="1:16" x14ac:dyDescent="0.3">
      <c r="A206">
        <v>205</v>
      </c>
      <c r="B206" s="1">
        <v>40552</v>
      </c>
      <c r="C206">
        <v>19</v>
      </c>
      <c r="D206" t="b">
        <v>0</v>
      </c>
      <c r="E206" t="s">
        <v>23</v>
      </c>
      <c r="F206" t="s">
        <v>30</v>
      </c>
      <c r="G206">
        <v>0.16</v>
      </c>
      <c r="H206">
        <v>0.13639999999999999</v>
      </c>
      <c r="I206">
        <v>0.43</v>
      </c>
      <c r="J206">
        <v>0.32840000000000003</v>
      </c>
      <c r="K206">
        <v>1</v>
      </c>
      <c r="L206">
        <v>40</v>
      </c>
      <c r="M206">
        <v>41</v>
      </c>
      <c r="N206" t="s">
        <v>84</v>
      </c>
      <c r="O206" t="s">
        <v>87</v>
      </c>
      <c r="P206" t="s">
        <v>90</v>
      </c>
    </row>
    <row r="207" spans="1:16" x14ac:dyDescent="0.3">
      <c r="A207">
        <v>206</v>
      </c>
      <c r="B207" s="1">
        <v>40552</v>
      </c>
      <c r="C207">
        <v>20</v>
      </c>
      <c r="D207" t="b">
        <v>0</v>
      </c>
      <c r="E207" t="s">
        <v>23</v>
      </c>
      <c r="F207" t="s">
        <v>30</v>
      </c>
      <c r="G207">
        <v>0.14000000000000001</v>
      </c>
      <c r="H207">
        <v>0.1212</v>
      </c>
      <c r="I207">
        <v>0.46</v>
      </c>
      <c r="J207">
        <v>0.25369999999999998</v>
      </c>
      <c r="K207">
        <v>0</v>
      </c>
      <c r="L207">
        <v>38</v>
      </c>
      <c r="M207">
        <v>38</v>
      </c>
      <c r="N207" t="s">
        <v>84</v>
      </c>
      <c r="O207" t="s">
        <v>85</v>
      </c>
      <c r="P207" t="s">
        <v>90</v>
      </c>
    </row>
    <row r="208" spans="1:16" x14ac:dyDescent="0.3">
      <c r="A208">
        <v>207</v>
      </c>
      <c r="B208" s="1">
        <v>40552</v>
      </c>
      <c r="C208">
        <v>21</v>
      </c>
      <c r="D208" t="b">
        <v>0</v>
      </c>
      <c r="E208" t="s">
        <v>23</v>
      </c>
      <c r="F208" t="s">
        <v>30</v>
      </c>
      <c r="G208">
        <v>0.14000000000000001</v>
      </c>
      <c r="H208">
        <v>0.1061</v>
      </c>
      <c r="I208">
        <v>0.46</v>
      </c>
      <c r="J208">
        <v>0.41789999999999999</v>
      </c>
      <c r="K208">
        <v>1</v>
      </c>
      <c r="L208">
        <v>19</v>
      </c>
      <c r="M208">
        <v>20</v>
      </c>
      <c r="N208" t="s">
        <v>84</v>
      </c>
      <c r="O208" t="s">
        <v>85</v>
      </c>
      <c r="P208" t="s">
        <v>90</v>
      </c>
    </row>
    <row r="209" spans="1:16" x14ac:dyDescent="0.3">
      <c r="A209">
        <v>208</v>
      </c>
      <c r="B209" s="1">
        <v>40552</v>
      </c>
      <c r="C209">
        <v>22</v>
      </c>
      <c r="D209" t="b">
        <v>0</v>
      </c>
      <c r="E209" t="s">
        <v>23</v>
      </c>
      <c r="F209" t="s">
        <v>30</v>
      </c>
      <c r="G209">
        <v>0.14000000000000001</v>
      </c>
      <c r="H209">
        <v>0.1212</v>
      </c>
      <c r="I209">
        <v>0.46</v>
      </c>
      <c r="J209">
        <v>0.29849999999999999</v>
      </c>
      <c r="K209">
        <v>5</v>
      </c>
      <c r="L209">
        <v>10</v>
      </c>
      <c r="M209">
        <v>15</v>
      </c>
      <c r="N209" t="s">
        <v>84</v>
      </c>
      <c r="O209" t="s">
        <v>85</v>
      </c>
      <c r="P209" t="s">
        <v>90</v>
      </c>
    </row>
    <row r="210" spans="1:16" x14ac:dyDescent="0.3">
      <c r="A210">
        <v>209</v>
      </c>
      <c r="B210" s="1">
        <v>40552</v>
      </c>
      <c r="C210">
        <v>23</v>
      </c>
      <c r="D210" t="b">
        <v>0</v>
      </c>
      <c r="E210" t="s">
        <v>23</v>
      </c>
      <c r="F210" t="s">
        <v>30</v>
      </c>
      <c r="G210">
        <v>0.12</v>
      </c>
      <c r="H210">
        <v>0.13639999999999999</v>
      </c>
      <c r="I210">
        <v>0.5</v>
      </c>
      <c r="J210">
        <v>0.19400000000000001</v>
      </c>
      <c r="K210">
        <v>0</v>
      </c>
      <c r="L210">
        <v>6</v>
      </c>
      <c r="M210">
        <v>6</v>
      </c>
      <c r="N210" t="s">
        <v>84</v>
      </c>
      <c r="O210" t="s">
        <v>85</v>
      </c>
      <c r="P210" t="s">
        <v>90</v>
      </c>
    </row>
    <row r="211" spans="1:16" x14ac:dyDescent="0.3">
      <c r="A211">
        <v>210</v>
      </c>
      <c r="B211" s="1">
        <v>40553</v>
      </c>
      <c r="C211">
        <v>0</v>
      </c>
      <c r="D211" t="b">
        <v>0</v>
      </c>
      <c r="E211" t="s">
        <v>24</v>
      </c>
      <c r="F211" t="s">
        <v>30</v>
      </c>
      <c r="G211">
        <v>0.12</v>
      </c>
      <c r="H211">
        <v>0.1212</v>
      </c>
      <c r="I211">
        <v>0.5</v>
      </c>
      <c r="J211">
        <v>0.28360000000000002</v>
      </c>
      <c r="K211">
        <v>2</v>
      </c>
      <c r="L211">
        <v>3</v>
      </c>
      <c r="M211">
        <v>5</v>
      </c>
      <c r="N211" t="s">
        <v>18</v>
      </c>
      <c r="O211" t="s">
        <v>85</v>
      </c>
      <c r="P211" t="s">
        <v>90</v>
      </c>
    </row>
    <row r="212" spans="1:16" x14ac:dyDescent="0.3">
      <c r="A212">
        <v>211</v>
      </c>
      <c r="B212" s="1">
        <v>40553</v>
      </c>
      <c r="C212">
        <v>1</v>
      </c>
      <c r="D212" t="b">
        <v>0</v>
      </c>
      <c r="E212" t="s">
        <v>24</v>
      </c>
      <c r="F212" t="s">
        <v>30</v>
      </c>
      <c r="G212">
        <v>0.12</v>
      </c>
      <c r="H212">
        <v>0.1212</v>
      </c>
      <c r="I212">
        <v>0.5</v>
      </c>
      <c r="J212">
        <v>0.28360000000000002</v>
      </c>
      <c r="K212">
        <v>1</v>
      </c>
      <c r="L212">
        <v>0</v>
      </c>
      <c r="M212">
        <v>1</v>
      </c>
      <c r="N212" t="s">
        <v>18</v>
      </c>
      <c r="O212" t="s">
        <v>85</v>
      </c>
      <c r="P212" t="s">
        <v>90</v>
      </c>
    </row>
    <row r="213" spans="1:16" x14ac:dyDescent="0.3">
      <c r="A213">
        <v>212</v>
      </c>
      <c r="B213" s="1">
        <v>40553</v>
      </c>
      <c r="C213">
        <v>2</v>
      </c>
      <c r="D213" t="b">
        <v>0</v>
      </c>
      <c r="E213" t="s">
        <v>24</v>
      </c>
      <c r="F213" t="s">
        <v>30</v>
      </c>
      <c r="G213">
        <v>0.12</v>
      </c>
      <c r="H213">
        <v>0.1212</v>
      </c>
      <c r="I213">
        <v>0.5</v>
      </c>
      <c r="J213">
        <v>0.22389999999999999</v>
      </c>
      <c r="K213">
        <v>0</v>
      </c>
      <c r="L213">
        <v>3</v>
      </c>
      <c r="M213">
        <v>3</v>
      </c>
      <c r="N213" t="s">
        <v>18</v>
      </c>
      <c r="O213" t="s">
        <v>85</v>
      </c>
      <c r="P213" t="s">
        <v>90</v>
      </c>
    </row>
    <row r="214" spans="1:16" x14ac:dyDescent="0.3">
      <c r="A214">
        <v>213</v>
      </c>
      <c r="B214" s="1">
        <v>40553</v>
      </c>
      <c r="C214">
        <v>3</v>
      </c>
      <c r="D214" t="b">
        <v>0</v>
      </c>
      <c r="E214" t="s">
        <v>24</v>
      </c>
      <c r="F214" t="s">
        <v>30</v>
      </c>
      <c r="G214">
        <v>0.12</v>
      </c>
      <c r="H214">
        <v>0.1212</v>
      </c>
      <c r="I214">
        <v>0.5</v>
      </c>
      <c r="J214">
        <v>0.22389999999999999</v>
      </c>
      <c r="K214">
        <v>0</v>
      </c>
      <c r="L214">
        <v>1</v>
      </c>
      <c r="M214">
        <v>1</v>
      </c>
      <c r="N214" t="s">
        <v>18</v>
      </c>
      <c r="O214" t="s">
        <v>85</v>
      </c>
      <c r="P214" t="s">
        <v>90</v>
      </c>
    </row>
    <row r="215" spans="1:16" x14ac:dyDescent="0.3">
      <c r="A215">
        <v>214</v>
      </c>
      <c r="B215" s="1">
        <v>40553</v>
      </c>
      <c r="C215">
        <v>4</v>
      </c>
      <c r="D215" t="b">
        <v>0</v>
      </c>
      <c r="E215" t="s">
        <v>24</v>
      </c>
      <c r="F215" t="s">
        <v>30</v>
      </c>
      <c r="G215">
        <v>0.1</v>
      </c>
      <c r="H215">
        <v>0.1212</v>
      </c>
      <c r="I215">
        <v>0.54</v>
      </c>
      <c r="J215">
        <v>0.1343</v>
      </c>
      <c r="K215">
        <v>1</v>
      </c>
      <c r="L215">
        <v>2</v>
      </c>
      <c r="M215">
        <v>3</v>
      </c>
      <c r="N215" t="s">
        <v>18</v>
      </c>
      <c r="O215" t="s">
        <v>85</v>
      </c>
      <c r="P215" t="s">
        <v>90</v>
      </c>
    </row>
    <row r="216" spans="1:16" x14ac:dyDescent="0.3">
      <c r="A216">
        <v>215</v>
      </c>
      <c r="B216" s="1">
        <v>40553</v>
      </c>
      <c r="C216">
        <v>5</v>
      </c>
      <c r="D216" t="b">
        <v>0</v>
      </c>
      <c r="E216" t="s">
        <v>24</v>
      </c>
      <c r="F216" t="s">
        <v>30</v>
      </c>
      <c r="G216">
        <v>0.1</v>
      </c>
      <c r="H216">
        <v>0.1061</v>
      </c>
      <c r="I216">
        <v>0.54</v>
      </c>
      <c r="J216">
        <v>0.25369999999999998</v>
      </c>
      <c r="K216">
        <v>0</v>
      </c>
      <c r="L216">
        <v>3</v>
      </c>
      <c r="M216">
        <v>3</v>
      </c>
      <c r="N216" t="s">
        <v>18</v>
      </c>
      <c r="O216" t="s">
        <v>85</v>
      </c>
      <c r="P216" t="s">
        <v>90</v>
      </c>
    </row>
    <row r="217" spans="1:16" x14ac:dyDescent="0.3">
      <c r="A217">
        <v>216</v>
      </c>
      <c r="B217" s="1">
        <v>40553</v>
      </c>
      <c r="C217">
        <v>6</v>
      </c>
      <c r="D217" t="b">
        <v>0</v>
      </c>
      <c r="E217" t="s">
        <v>24</v>
      </c>
      <c r="F217" t="s">
        <v>30</v>
      </c>
      <c r="G217">
        <v>0.12</v>
      </c>
      <c r="H217">
        <v>0.1212</v>
      </c>
      <c r="I217">
        <v>0.5</v>
      </c>
      <c r="J217">
        <v>0.28360000000000002</v>
      </c>
      <c r="K217">
        <v>0</v>
      </c>
      <c r="L217">
        <v>31</v>
      </c>
      <c r="M217">
        <v>31</v>
      </c>
      <c r="N217" t="s">
        <v>18</v>
      </c>
      <c r="O217" t="s">
        <v>85</v>
      </c>
      <c r="P217" t="s">
        <v>90</v>
      </c>
    </row>
    <row r="218" spans="1:16" x14ac:dyDescent="0.3">
      <c r="A218">
        <v>217</v>
      </c>
      <c r="B218" s="1">
        <v>40553</v>
      </c>
      <c r="C218">
        <v>7</v>
      </c>
      <c r="D218" t="b">
        <v>0</v>
      </c>
      <c r="E218" t="s">
        <v>24</v>
      </c>
      <c r="F218" t="s">
        <v>30</v>
      </c>
      <c r="G218">
        <v>0.12</v>
      </c>
      <c r="H218">
        <v>0.1212</v>
      </c>
      <c r="I218">
        <v>0.5</v>
      </c>
      <c r="J218">
        <v>0.22389999999999999</v>
      </c>
      <c r="K218">
        <v>2</v>
      </c>
      <c r="L218">
        <v>75</v>
      </c>
      <c r="M218">
        <v>77</v>
      </c>
      <c r="N218" t="s">
        <v>18</v>
      </c>
      <c r="O218" t="s">
        <v>86</v>
      </c>
      <c r="P218" t="s">
        <v>90</v>
      </c>
    </row>
    <row r="219" spans="1:16" x14ac:dyDescent="0.3">
      <c r="A219">
        <v>218</v>
      </c>
      <c r="B219" s="1">
        <v>40553</v>
      </c>
      <c r="C219">
        <v>8</v>
      </c>
      <c r="D219" t="b">
        <v>0</v>
      </c>
      <c r="E219" t="s">
        <v>24</v>
      </c>
      <c r="F219" t="s">
        <v>31</v>
      </c>
      <c r="G219">
        <v>0.12</v>
      </c>
      <c r="H219">
        <v>0.1212</v>
      </c>
      <c r="I219">
        <v>0.5</v>
      </c>
      <c r="J219">
        <v>0.28360000000000002</v>
      </c>
      <c r="K219">
        <v>4</v>
      </c>
      <c r="L219">
        <v>184</v>
      </c>
      <c r="M219">
        <v>188</v>
      </c>
      <c r="N219" t="s">
        <v>18</v>
      </c>
      <c r="O219" t="s">
        <v>86</v>
      </c>
      <c r="P219" t="s">
        <v>91</v>
      </c>
    </row>
    <row r="220" spans="1:16" x14ac:dyDescent="0.3">
      <c r="A220">
        <v>219</v>
      </c>
      <c r="B220" s="1">
        <v>40553</v>
      </c>
      <c r="C220">
        <v>9</v>
      </c>
      <c r="D220" t="b">
        <v>0</v>
      </c>
      <c r="E220" t="s">
        <v>24</v>
      </c>
      <c r="F220" t="s">
        <v>31</v>
      </c>
      <c r="G220">
        <v>0.14000000000000001</v>
      </c>
      <c r="H220">
        <v>0.1212</v>
      </c>
      <c r="I220">
        <v>0.5</v>
      </c>
      <c r="J220">
        <v>0.25369999999999998</v>
      </c>
      <c r="K220">
        <v>2</v>
      </c>
      <c r="L220">
        <v>92</v>
      </c>
      <c r="M220">
        <v>94</v>
      </c>
      <c r="N220" t="s">
        <v>18</v>
      </c>
      <c r="O220" t="s">
        <v>86</v>
      </c>
      <c r="P220" t="s">
        <v>91</v>
      </c>
    </row>
    <row r="221" spans="1:16" x14ac:dyDescent="0.3">
      <c r="A221">
        <v>220</v>
      </c>
      <c r="B221" s="1">
        <v>40553</v>
      </c>
      <c r="C221">
        <v>10</v>
      </c>
      <c r="D221" t="b">
        <v>0</v>
      </c>
      <c r="E221" t="s">
        <v>24</v>
      </c>
      <c r="F221" t="s">
        <v>31</v>
      </c>
      <c r="G221">
        <v>0.14000000000000001</v>
      </c>
      <c r="H221">
        <v>0.1212</v>
      </c>
      <c r="I221">
        <v>0.5</v>
      </c>
      <c r="J221">
        <v>0.29849999999999999</v>
      </c>
      <c r="K221">
        <v>0</v>
      </c>
      <c r="L221">
        <v>31</v>
      </c>
      <c r="M221">
        <v>31</v>
      </c>
      <c r="N221" t="s">
        <v>18</v>
      </c>
      <c r="O221" t="s">
        <v>85</v>
      </c>
      <c r="P221" t="s">
        <v>91</v>
      </c>
    </row>
    <row r="222" spans="1:16" x14ac:dyDescent="0.3">
      <c r="A222">
        <v>221</v>
      </c>
      <c r="B222" s="1">
        <v>40553</v>
      </c>
      <c r="C222">
        <v>11</v>
      </c>
      <c r="D222" t="b">
        <v>0</v>
      </c>
      <c r="E222" t="s">
        <v>24</v>
      </c>
      <c r="F222" t="s">
        <v>31</v>
      </c>
      <c r="G222">
        <v>0.16</v>
      </c>
      <c r="H222">
        <v>0.13639999999999999</v>
      </c>
      <c r="I222">
        <v>0.47</v>
      </c>
      <c r="J222">
        <v>0.28360000000000002</v>
      </c>
      <c r="K222">
        <v>2</v>
      </c>
      <c r="L222">
        <v>28</v>
      </c>
      <c r="M222">
        <v>30</v>
      </c>
      <c r="N222" t="s">
        <v>18</v>
      </c>
      <c r="O222" t="s">
        <v>85</v>
      </c>
      <c r="P222" t="s">
        <v>91</v>
      </c>
    </row>
    <row r="223" spans="1:16" x14ac:dyDescent="0.3">
      <c r="A223">
        <v>222</v>
      </c>
      <c r="B223" s="1">
        <v>40553</v>
      </c>
      <c r="C223">
        <v>12</v>
      </c>
      <c r="D223" t="b">
        <v>0</v>
      </c>
      <c r="E223" t="s">
        <v>24</v>
      </c>
      <c r="F223" t="s">
        <v>31</v>
      </c>
      <c r="G223">
        <v>0.2</v>
      </c>
      <c r="H223">
        <v>0.18179999999999999</v>
      </c>
      <c r="I223">
        <v>0.4</v>
      </c>
      <c r="J223">
        <v>0.28360000000000002</v>
      </c>
      <c r="K223">
        <v>5</v>
      </c>
      <c r="L223">
        <v>47</v>
      </c>
      <c r="M223">
        <v>52</v>
      </c>
      <c r="N223" t="s">
        <v>18</v>
      </c>
      <c r="O223" t="s">
        <v>85</v>
      </c>
      <c r="P223" t="s">
        <v>91</v>
      </c>
    </row>
    <row r="224" spans="1:16" x14ac:dyDescent="0.3">
      <c r="A224">
        <v>223</v>
      </c>
      <c r="B224" s="1">
        <v>40553</v>
      </c>
      <c r="C224">
        <v>13</v>
      </c>
      <c r="D224" t="b">
        <v>0</v>
      </c>
      <c r="E224" t="s">
        <v>24</v>
      </c>
      <c r="F224" t="s">
        <v>31</v>
      </c>
      <c r="G224">
        <v>0.2</v>
      </c>
      <c r="H224">
        <v>0.18179999999999999</v>
      </c>
      <c r="I224">
        <v>0.4</v>
      </c>
      <c r="J224">
        <v>0.28360000000000002</v>
      </c>
      <c r="K224">
        <v>4</v>
      </c>
      <c r="L224">
        <v>50</v>
      </c>
      <c r="M224">
        <v>54</v>
      </c>
      <c r="N224" t="s">
        <v>18</v>
      </c>
      <c r="O224" t="s">
        <v>85</v>
      </c>
      <c r="P224" t="s">
        <v>91</v>
      </c>
    </row>
    <row r="225" spans="1:16" x14ac:dyDescent="0.3">
      <c r="A225">
        <v>224</v>
      </c>
      <c r="B225" s="1">
        <v>40553</v>
      </c>
      <c r="C225">
        <v>14</v>
      </c>
      <c r="D225" t="b">
        <v>0</v>
      </c>
      <c r="E225" t="s">
        <v>24</v>
      </c>
      <c r="F225" t="s">
        <v>31</v>
      </c>
      <c r="G225">
        <v>0.2</v>
      </c>
      <c r="H225">
        <v>0.19700000000000001</v>
      </c>
      <c r="I225">
        <v>0.4</v>
      </c>
      <c r="J225">
        <v>0.22389999999999999</v>
      </c>
      <c r="K225">
        <v>0</v>
      </c>
      <c r="L225">
        <v>47</v>
      </c>
      <c r="M225">
        <v>47</v>
      </c>
      <c r="N225" t="s">
        <v>18</v>
      </c>
      <c r="O225" t="s">
        <v>85</v>
      </c>
      <c r="P225" t="s">
        <v>91</v>
      </c>
    </row>
    <row r="226" spans="1:16" x14ac:dyDescent="0.3">
      <c r="A226">
        <v>225</v>
      </c>
      <c r="B226" s="1">
        <v>40553</v>
      </c>
      <c r="C226">
        <v>15</v>
      </c>
      <c r="D226" t="b">
        <v>0</v>
      </c>
      <c r="E226" t="s">
        <v>24</v>
      </c>
      <c r="F226" t="s">
        <v>31</v>
      </c>
      <c r="G226">
        <v>0.2</v>
      </c>
      <c r="H226">
        <v>0.19700000000000001</v>
      </c>
      <c r="I226">
        <v>0.4</v>
      </c>
      <c r="J226">
        <v>0.22389999999999999</v>
      </c>
      <c r="K226">
        <v>2</v>
      </c>
      <c r="L226">
        <v>43</v>
      </c>
      <c r="M226">
        <v>45</v>
      </c>
      <c r="N226" t="s">
        <v>18</v>
      </c>
      <c r="O226" t="s">
        <v>85</v>
      </c>
      <c r="P226" t="s">
        <v>91</v>
      </c>
    </row>
    <row r="227" spans="1:16" x14ac:dyDescent="0.3">
      <c r="A227">
        <v>226</v>
      </c>
      <c r="B227" s="1">
        <v>40553</v>
      </c>
      <c r="C227">
        <v>16</v>
      </c>
      <c r="D227" t="b">
        <v>0</v>
      </c>
      <c r="E227" t="s">
        <v>24</v>
      </c>
      <c r="F227" t="s">
        <v>30</v>
      </c>
      <c r="G227">
        <v>0.2</v>
      </c>
      <c r="H227">
        <v>0.21210000000000001</v>
      </c>
      <c r="I227">
        <v>0.4</v>
      </c>
      <c r="J227">
        <v>0.1343</v>
      </c>
      <c r="K227">
        <v>4</v>
      </c>
      <c r="L227">
        <v>70</v>
      </c>
      <c r="M227">
        <v>74</v>
      </c>
      <c r="N227" t="s">
        <v>18</v>
      </c>
      <c r="O227" t="s">
        <v>85</v>
      </c>
      <c r="P227" t="s">
        <v>90</v>
      </c>
    </row>
    <row r="228" spans="1:16" x14ac:dyDescent="0.3">
      <c r="A228">
        <v>227</v>
      </c>
      <c r="B228" s="1">
        <v>40553</v>
      </c>
      <c r="C228">
        <v>17</v>
      </c>
      <c r="D228" t="b">
        <v>0</v>
      </c>
      <c r="E228" t="s">
        <v>24</v>
      </c>
      <c r="F228" t="s">
        <v>30</v>
      </c>
      <c r="G228">
        <v>0.2</v>
      </c>
      <c r="H228">
        <v>0.2273</v>
      </c>
      <c r="I228">
        <v>0.4</v>
      </c>
      <c r="J228">
        <v>0.1045</v>
      </c>
      <c r="K228">
        <v>4</v>
      </c>
      <c r="L228">
        <v>174</v>
      </c>
      <c r="M228">
        <v>178</v>
      </c>
      <c r="N228" t="s">
        <v>18</v>
      </c>
      <c r="O228" t="s">
        <v>87</v>
      </c>
      <c r="P228" t="s">
        <v>90</v>
      </c>
    </row>
    <row r="229" spans="1:16" x14ac:dyDescent="0.3">
      <c r="A229">
        <v>228</v>
      </c>
      <c r="B229" s="1">
        <v>40553</v>
      </c>
      <c r="C229">
        <v>18</v>
      </c>
      <c r="D229" t="b">
        <v>0</v>
      </c>
      <c r="E229" t="s">
        <v>24</v>
      </c>
      <c r="F229" t="s">
        <v>30</v>
      </c>
      <c r="G229">
        <v>0.2</v>
      </c>
      <c r="H229">
        <v>0.19700000000000001</v>
      </c>
      <c r="I229">
        <v>0.4</v>
      </c>
      <c r="J229">
        <v>0.22389999999999999</v>
      </c>
      <c r="K229">
        <v>1</v>
      </c>
      <c r="L229">
        <v>154</v>
      </c>
      <c r="M229">
        <v>155</v>
      </c>
      <c r="N229" t="s">
        <v>18</v>
      </c>
      <c r="O229" t="s">
        <v>87</v>
      </c>
      <c r="P229" t="s">
        <v>90</v>
      </c>
    </row>
    <row r="230" spans="1:16" x14ac:dyDescent="0.3">
      <c r="A230">
        <v>229</v>
      </c>
      <c r="B230" s="1">
        <v>40553</v>
      </c>
      <c r="C230">
        <v>19</v>
      </c>
      <c r="D230" t="b">
        <v>0</v>
      </c>
      <c r="E230" t="s">
        <v>24</v>
      </c>
      <c r="F230" t="s">
        <v>30</v>
      </c>
      <c r="G230">
        <v>0.16</v>
      </c>
      <c r="H230">
        <v>0.16669999999999999</v>
      </c>
      <c r="I230">
        <v>0.47</v>
      </c>
      <c r="J230">
        <v>0.16420000000000001</v>
      </c>
      <c r="K230">
        <v>3</v>
      </c>
      <c r="L230">
        <v>92</v>
      </c>
      <c r="M230">
        <v>95</v>
      </c>
      <c r="N230" t="s">
        <v>18</v>
      </c>
      <c r="O230" t="s">
        <v>87</v>
      </c>
      <c r="P230" t="s">
        <v>90</v>
      </c>
    </row>
    <row r="231" spans="1:16" x14ac:dyDescent="0.3">
      <c r="A231">
        <v>230</v>
      </c>
      <c r="B231" s="1">
        <v>40553</v>
      </c>
      <c r="C231">
        <v>20</v>
      </c>
      <c r="D231" t="b">
        <v>0</v>
      </c>
      <c r="E231" t="s">
        <v>24</v>
      </c>
      <c r="F231" t="s">
        <v>30</v>
      </c>
      <c r="G231">
        <v>0.16</v>
      </c>
      <c r="H231">
        <v>0.16669999999999999</v>
      </c>
      <c r="I231">
        <v>0.5</v>
      </c>
      <c r="J231">
        <v>0.16420000000000001</v>
      </c>
      <c r="K231">
        <v>1</v>
      </c>
      <c r="L231">
        <v>73</v>
      </c>
      <c r="M231">
        <v>74</v>
      </c>
      <c r="N231" t="s">
        <v>18</v>
      </c>
      <c r="O231" t="s">
        <v>85</v>
      </c>
      <c r="P231" t="s">
        <v>90</v>
      </c>
    </row>
    <row r="232" spans="1:16" x14ac:dyDescent="0.3">
      <c r="A232">
        <v>231</v>
      </c>
      <c r="B232" s="1">
        <v>40553</v>
      </c>
      <c r="C232">
        <v>21</v>
      </c>
      <c r="D232" t="b">
        <v>0</v>
      </c>
      <c r="E232" t="s">
        <v>24</v>
      </c>
      <c r="F232" t="s">
        <v>30</v>
      </c>
      <c r="G232">
        <v>0.14000000000000001</v>
      </c>
      <c r="H232">
        <v>0.13639999999999999</v>
      </c>
      <c r="I232">
        <v>0.59</v>
      </c>
      <c r="J232">
        <v>0.19400000000000001</v>
      </c>
      <c r="K232">
        <v>1</v>
      </c>
      <c r="L232">
        <v>37</v>
      </c>
      <c r="M232">
        <v>38</v>
      </c>
      <c r="N232" t="s">
        <v>18</v>
      </c>
      <c r="O232" t="s">
        <v>85</v>
      </c>
      <c r="P232" t="s">
        <v>90</v>
      </c>
    </row>
    <row r="233" spans="1:16" x14ac:dyDescent="0.3">
      <c r="A233">
        <v>232</v>
      </c>
      <c r="B233" s="1">
        <v>40553</v>
      </c>
      <c r="C233">
        <v>22</v>
      </c>
      <c r="D233" t="b">
        <v>0</v>
      </c>
      <c r="E233" t="s">
        <v>24</v>
      </c>
      <c r="F233" t="s">
        <v>30</v>
      </c>
      <c r="G233">
        <v>0.14000000000000001</v>
      </c>
      <c r="H233">
        <v>0.1515</v>
      </c>
      <c r="I233">
        <v>0.59</v>
      </c>
      <c r="J233">
        <v>0.16420000000000001</v>
      </c>
      <c r="K233">
        <v>2</v>
      </c>
      <c r="L233">
        <v>22</v>
      </c>
      <c r="M233">
        <v>24</v>
      </c>
      <c r="N233" t="s">
        <v>18</v>
      </c>
      <c r="O233" t="s">
        <v>85</v>
      </c>
      <c r="P233" t="s">
        <v>90</v>
      </c>
    </row>
    <row r="234" spans="1:16" x14ac:dyDescent="0.3">
      <c r="A234">
        <v>233</v>
      </c>
      <c r="B234" s="1">
        <v>40553</v>
      </c>
      <c r="C234">
        <v>23</v>
      </c>
      <c r="D234" t="b">
        <v>0</v>
      </c>
      <c r="E234" t="s">
        <v>24</v>
      </c>
      <c r="F234" t="s">
        <v>30</v>
      </c>
      <c r="G234">
        <v>0.14000000000000001</v>
      </c>
      <c r="H234">
        <v>0.1515</v>
      </c>
      <c r="I234">
        <v>0.59</v>
      </c>
      <c r="J234">
        <v>0.16420000000000001</v>
      </c>
      <c r="K234">
        <v>0</v>
      </c>
      <c r="L234">
        <v>18</v>
      </c>
      <c r="M234">
        <v>18</v>
      </c>
      <c r="N234" t="s">
        <v>18</v>
      </c>
      <c r="O234" t="s">
        <v>85</v>
      </c>
      <c r="P234" t="s">
        <v>90</v>
      </c>
    </row>
    <row r="235" spans="1:16" x14ac:dyDescent="0.3">
      <c r="A235">
        <v>234</v>
      </c>
      <c r="B235" s="1">
        <v>40554</v>
      </c>
      <c r="C235">
        <v>0</v>
      </c>
      <c r="D235" t="b">
        <v>0</v>
      </c>
      <c r="E235" t="s">
        <v>25</v>
      </c>
      <c r="F235" t="s">
        <v>30</v>
      </c>
      <c r="G235">
        <v>0.14000000000000001</v>
      </c>
      <c r="H235">
        <v>0.16669999999999999</v>
      </c>
      <c r="I235">
        <v>0.59</v>
      </c>
      <c r="J235">
        <v>0.1045</v>
      </c>
      <c r="K235">
        <v>2</v>
      </c>
      <c r="L235">
        <v>10</v>
      </c>
      <c r="M235">
        <v>12</v>
      </c>
      <c r="N235" t="s">
        <v>18</v>
      </c>
      <c r="O235" t="s">
        <v>85</v>
      </c>
      <c r="P235" t="s">
        <v>90</v>
      </c>
    </row>
    <row r="236" spans="1:16" x14ac:dyDescent="0.3">
      <c r="A236">
        <v>235</v>
      </c>
      <c r="B236" s="1">
        <v>40554</v>
      </c>
      <c r="C236">
        <v>1</v>
      </c>
      <c r="D236" t="b">
        <v>0</v>
      </c>
      <c r="E236" t="s">
        <v>25</v>
      </c>
      <c r="F236" t="s">
        <v>30</v>
      </c>
      <c r="G236">
        <v>0.14000000000000001</v>
      </c>
      <c r="H236">
        <v>0.1515</v>
      </c>
      <c r="I236">
        <v>0.59</v>
      </c>
      <c r="J236">
        <v>0.16420000000000001</v>
      </c>
      <c r="K236">
        <v>0</v>
      </c>
      <c r="L236">
        <v>3</v>
      </c>
      <c r="M236">
        <v>3</v>
      </c>
      <c r="N236" t="s">
        <v>18</v>
      </c>
      <c r="O236" t="s">
        <v>85</v>
      </c>
      <c r="P236" t="s">
        <v>90</v>
      </c>
    </row>
    <row r="237" spans="1:16" x14ac:dyDescent="0.3">
      <c r="A237">
        <v>236</v>
      </c>
      <c r="B237" s="1">
        <v>40554</v>
      </c>
      <c r="C237">
        <v>2</v>
      </c>
      <c r="D237" t="b">
        <v>0</v>
      </c>
      <c r="E237" t="s">
        <v>25</v>
      </c>
      <c r="F237" t="s">
        <v>31</v>
      </c>
      <c r="G237">
        <v>0.16</v>
      </c>
      <c r="H237">
        <v>0.1515</v>
      </c>
      <c r="I237">
        <v>0.55000000000000004</v>
      </c>
      <c r="J237">
        <v>0.19400000000000001</v>
      </c>
      <c r="K237">
        <v>0</v>
      </c>
      <c r="L237">
        <v>3</v>
      </c>
      <c r="M237">
        <v>3</v>
      </c>
      <c r="N237" t="s">
        <v>18</v>
      </c>
      <c r="O237" t="s">
        <v>85</v>
      </c>
      <c r="P237" t="s">
        <v>91</v>
      </c>
    </row>
    <row r="238" spans="1:16" x14ac:dyDescent="0.3">
      <c r="A238">
        <v>237</v>
      </c>
      <c r="B238" s="1">
        <v>40554</v>
      </c>
      <c r="C238">
        <v>5</v>
      </c>
      <c r="D238" t="b">
        <v>0</v>
      </c>
      <c r="E238" t="s">
        <v>25</v>
      </c>
      <c r="F238" t="s">
        <v>31</v>
      </c>
      <c r="G238">
        <v>0.16</v>
      </c>
      <c r="H238">
        <v>0.18179999999999999</v>
      </c>
      <c r="I238">
        <v>0.55000000000000004</v>
      </c>
      <c r="J238">
        <v>0.1343</v>
      </c>
      <c r="K238">
        <v>0</v>
      </c>
      <c r="L238">
        <v>6</v>
      </c>
      <c r="M238">
        <v>6</v>
      </c>
      <c r="N238" t="s">
        <v>18</v>
      </c>
      <c r="O238" t="s">
        <v>85</v>
      </c>
      <c r="P238" t="s">
        <v>91</v>
      </c>
    </row>
    <row r="239" spans="1:16" x14ac:dyDescent="0.3">
      <c r="A239">
        <v>238</v>
      </c>
      <c r="B239" s="1">
        <v>40554</v>
      </c>
      <c r="C239">
        <v>6</v>
      </c>
      <c r="D239" t="b">
        <v>0</v>
      </c>
      <c r="E239" t="s">
        <v>25</v>
      </c>
      <c r="F239" t="s">
        <v>31</v>
      </c>
      <c r="G239">
        <v>0.16</v>
      </c>
      <c r="H239">
        <v>0.18179999999999999</v>
      </c>
      <c r="I239">
        <v>0.55000000000000004</v>
      </c>
      <c r="J239">
        <v>0.1343</v>
      </c>
      <c r="K239">
        <v>0</v>
      </c>
      <c r="L239">
        <v>27</v>
      </c>
      <c r="M239">
        <v>27</v>
      </c>
      <c r="N239" t="s">
        <v>18</v>
      </c>
      <c r="O239" t="s">
        <v>85</v>
      </c>
      <c r="P239" t="s">
        <v>91</v>
      </c>
    </row>
    <row r="240" spans="1:16" x14ac:dyDescent="0.3">
      <c r="A240">
        <v>239</v>
      </c>
      <c r="B240" s="1">
        <v>40554</v>
      </c>
      <c r="C240">
        <v>7</v>
      </c>
      <c r="D240" t="b">
        <v>0</v>
      </c>
      <c r="E240" t="s">
        <v>25</v>
      </c>
      <c r="F240" t="s">
        <v>31</v>
      </c>
      <c r="G240">
        <v>0.16</v>
      </c>
      <c r="H240">
        <v>0.2273</v>
      </c>
      <c r="I240">
        <v>0.55000000000000004</v>
      </c>
      <c r="J240">
        <v>0</v>
      </c>
      <c r="K240">
        <v>2</v>
      </c>
      <c r="L240">
        <v>97</v>
      </c>
      <c r="M240">
        <v>99</v>
      </c>
      <c r="N240" t="s">
        <v>18</v>
      </c>
      <c r="O240" t="s">
        <v>86</v>
      </c>
      <c r="P240" t="s">
        <v>91</v>
      </c>
    </row>
    <row r="241" spans="1:16" x14ac:dyDescent="0.3">
      <c r="A241">
        <v>240</v>
      </c>
      <c r="B241" s="1">
        <v>40554</v>
      </c>
      <c r="C241">
        <v>8</v>
      </c>
      <c r="D241" t="b">
        <v>0</v>
      </c>
      <c r="E241" t="s">
        <v>25</v>
      </c>
      <c r="F241" t="s">
        <v>31</v>
      </c>
      <c r="G241">
        <v>0.18</v>
      </c>
      <c r="H241">
        <v>0.21210000000000001</v>
      </c>
      <c r="I241">
        <v>0.51</v>
      </c>
      <c r="J241">
        <v>8.9599999999999999E-2</v>
      </c>
      <c r="K241">
        <v>3</v>
      </c>
      <c r="L241">
        <v>214</v>
      </c>
      <c r="M241">
        <v>217</v>
      </c>
      <c r="N241" t="s">
        <v>18</v>
      </c>
      <c r="O241" t="s">
        <v>86</v>
      </c>
      <c r="P241" t="s">
        <v>91</v>
      </c>
    </row>
    <row r="242" spans="1:16" x14ac:dyDescent="0.3">
      <c r="A242">
        <v>241</v>
      </c>
      <c r="B242" s="1">
        <v>40554</v>
      </c>
      <c r="C242">
        <v>9</v>
      </c>
      <c r="D242" t="b">
        <v>0</v>
      </c>
      <c r="E242" t="s">
        <v>25</v>
      </c>
      <c r="F242" t="s">
        <v>31</v>
      </c>
      <c r="G242">
        <v>0.18</v>
      </c>
      <c r="H242">
        <v>0.19700000000000001</v>
      </c>
      <c r="I242">
        <v>0.51</v>
      </c>
      <c r="J242">
        <v>0.16420000000000001</v>
      </c>
      <c r="K242">
        <v>3</v>
      </c>
      <c r="L242">
        <v>127</v>
      </c>
      <c r="M242">
        <v>130</v>
      </c>
      <c r="N242" t="s">
        <v>18</v>
      </c>
      <c r="O242" t="s">
        <v>86</v>
      </c>
      <c r="P242" t="s">
        <v>91</v>
      </c>
    </row>
    <row r="243" spans="1:16" x14ac:dyDescent="0.3">
      <c r="A243">
        <v>242</v>
      </c>
      <c r="B243" s="1">
        <v>40554</v>
      </c>
      <c r="C243">
        <v>10</v>
      </c>
      <c r="D243" t="b">
        <v>0</v>
      </c>
      <c r="E243" t="s">
        <v>25</v>
      </c>
      <c r="F243" t="s">
        <v>31</v>
      </c>
      <c r="G243">
        <v>0.2</v>
      </c>
      <c r="H243">
        <v>0.21210000000000001</v>
      </c>
      <c r="I243">
        <v>0.51</v>
      </c>
      <c r="J243">
        <v>0.16420000000000001</v>
      </c>
      <c r="K243">
        <v>3</v>
      </c>
      <c r="L243">
        <v>51</v>
      </c>
      <c r="M243">
        <v>54</v>
      </c>
      <c r="N243" t="s">
        <v>18</v>
      </c>
      <c r="O243" t="s">
        <v>85</v>
      </c>
      <c r="P243" t="s">
        <v>91</v>
      </c>
    </row>
    <row r="244" spans="1:16" x14ac:dyDescent="0.3">
      <c r="A244">
        <v>243</v>
      </c>
      <c r="B244" s="1">
        <v>40554</v>
      </c>
      <c r="C244">
        <v>11</v>
      </c>
      <c r="D244" t="b">
        <v>0</v>
      </c>
      <c r="E244" t="s">
        <v>25</v>
      </c>
      <c r="F244" t="s">
        <v>31</v>
      </c>
      <c r="G244">
        <v>0.2</v>
      </c>
      <c r="H244">
        <v>0.21210000000000001</v>
      </c>
      <c r="I244">
        <v>0.47</v>
      </c>
      <c r="J244">
        <v>0.1343</v>
      </c>
      <c r="K244">
        <v>4</v>
      </c>
      <c r="L244">
        <v>31</v>
      </c>
      <c r="M244">
        <v>35</v>
      </c>
      <c r="N244" t="s">
        <v>18</v>
      </c>
      <c r="O244" t="s">
        <v>85</v>
      </c>
      <c r="P244" t="s">
        <v>91</v>
      </c>
    </row>
    <row r="245" spans="1:16" x14ac:dyDescent="0.3">
      <c r="A245">
        <v>244</v>
      </c>
      <c r="B245" s="1">
        <v>40554</v>
      </c>
      <c r="C245">
        <v>12</v>
      </c>
      <c r="D245" t="b">
        <v>0</v>
      </c>
      <c r="E245" t="s">
        <v>25</v>
      </c>
      <c r="F245" t="s">
        <v>31</v>
      </c>
      <c r="G245">
        <v>0.2</v>
      </c>
      <c r="H245">
        <v>0.2273</v>
      </c>
      <c r="I245">
        <v>0.51</v>
      </c>
      <c r="J245">
        <v>0.1045</v>
      </c>
      <c r="K245">
        <v>2</v>
      </c>
      <c r="L245">
        <v>55</v>
      </c>
      <c r="M245">
        <v>57</v>
      </c>
      <c r="N245" t="s">
        <v>18</v>
      </c>
      <c r="O245" t="s">
        <v>85</v>
      </c>
      <c r="P245" t="s">
        <v>91</v>
      </c>
    </row>
    <row r="246" spans="1:16" x14ac:dyDescent="0.3">
      <c r="A246">
        <v>245</v>
      </c>
      <c r="B246" s="1">
        <v>40554</v>
      </c>
      <c r="C246">
        <v>13</v>
      </c>
      <c r="D246" t="b">
        <v>0</v>
      </c>
      <c r="E246" t="s">
        <v>25</v>
      </c>
      <c r="F246" t="s">
        <v>31</v>
      </c>
      <c r="G246">
        <v>0.2</v>
      </c>
      <c r="H246">
        <v>0.2273</v>
      </c>
      <c r="I246">
        <v>0.59</v>
      </c>
      <c r="J246">
        <v>8.9599999999999999E-2</v>
      </c>
      <c r="K246">
        <v>6</v>
      </c>
      <c r="L246">
        <v>46</v>
      </c>
      <c r="M246">
        <v>52</v>
      </c>
      <c r="N246" t="s">
        <v>18</v>
      </c>
      <c r="O246" t="s">
        <v>85</v>
      </c>
      <c r="P246" t="s">
        <v>91</v>
      </c>
    </row>
    <row r="247" spans="1:16" x14ac:dyDescent="0.3">
      <c r="A247">
        <v>246</v>
      </c>
      <c r="B247" s="1">
        <v>40554</v>
      </c>
      <c r="C247">
        <v>14</v>
      </c>
      <c r="D247" t="b">
        <v>0</v>
      </c>
      <c r="E247" t="s">
        <v>25</v>
      </c>
      <c r="F247" t="s">
        <v>31</v>
      </c>
      <c r="G247">
        <v>0.2</v>
      </c>
      <c r="H247">
        <v>0.2273</v>
      </c>
      <c r="I247">
        <v>0.59</v>
      </c>
      <c r="J247">
        <v>8.9599999999999999E-2</v>
      </c>
      <c r="K247">
        <v>3</v>
      </c>
      <c r="L247">
        <v>60</v>
      </c>
      <c r="M247">
        <v>63</v>
      </c>
      <c r="N247" t="s">
        <v>18</v>
      </c>
      <c r="O247" t="s">
        <v>85</v>
      </c>
      <c r="P247" t="s">
        <v>91</v>
      </c>
    </row>
    <row r="248" spans="1:16" x14ac:dyDescent="0.3">
      <c r="A248">
        <v>247</v>
      </c>
      <c r="B248" s="1">
        <v>40554</v>
      </c>
      <c r="C248">
        <v>15</v>
      </c>
      <c r="D248" t="b">
        <v>0</v>
      </c>
      <c r="E248" t="s">
        <v>25</v>
      </c>
      <c r="F248" t="s">
        <v>31</v>
      </c>
      <c r="G248">
        <v>0.16</v>
      </c>
      <c r="H248">
        <v>0.19700000000000001</v>
      </c>
      <c r="I248">
        <v>0.8</v>
      </c>
      <c r="J248">
        <v>8.9599999999999999E-2</v>
      </c>
      <c r="K248">
        <v>2</v>
      </c>
      <c r="L248">
        <v>45</v>
      </c>
      <c r="M248">
        <v>47</v>
      </c>
      <c r="N248" t="s">
        <v>18</v>
      </c>
      <c r="O248" t="s">
        <v>85</v>
      </c>
      <c r="P248" t="s">
        <v>91</v>
      </c>
    </row>
    <row r="249" spans="1:16" x14ac:dyDescent="0.3">
      <c r="A249">
        <v>248</v>
      </c>
      <c r="B249" s="1">
        <v>40554</v>
      </c>
      <c r="C249">
        <v>16</v>
      </c>
      <c r="D249" t="b">
        <v>0</v>
      </c>
      <c r="E249" t="s">
        <v>25</v>
      </c>
      <c r="F249" t="s">
        <v>31</v>
      </c>
      <c r="G249">
        <v>0.16</v>
      </c>
      <c r="H249">
        <v>0.1515</v>
      </c>
      <c r="I249">
        <v>0.86</v>
      </c>
      <c r="J249">
        <v>0.22389999999999999</v>
      </c>
      <c r="K249">
        <v>4</v>
      </c>
      <c r="L249">
        <v>72</v>
      </c>
      <c r="M249">
        <v>76</v>
      </c>
      <c r="N249" t="s">
        <v>18</v>
      </c>
      <c r="O249" t="s">
        <v>85</v>
      </c>
      <c r="P249" t="s">
        <v>91</v>
      </c>
    </row>
    <row r="250" spans="1:16" x14ac:dyDescent="0.3">
      <c r="A250">
        <v>249</v>
      </c>
      <c r="B250" s="1">
        <v>40554</v>
      </c>
      <c r="C250">
        <v>17</v>
      </c>
      <c r="D250" t="b">
        <v>0</v>
      </c>
      <c r="E250" t="s">
        <v>25</v>
      </c>
      <c r="F250" t="s">
        <v>31</v>
      </c>
      <c r="G250">
        <v>0.16</v>
      </c>
      <c r="H250">
        <v>0.1515</v>
      </c>
      <c r="I250">
        <v>0.86</v>
      </c>
      <c r="J250">
        <v>0.22389999999999999</v>
      </c>
      <c r="K250">
        <v>6</v>
      </c>
      <c r="L250">
        <v>130</v>
      </c>
      <c r="M250">
        <v>136</v>
      </c>
      <c r="N250" t="s">
        <v>18</v>
      </c>
      <c r="O250" t="s">
        <v>87</v>
      </c>
      <c r="P250" t="s">
        <v>91</v>
      </c>
    </row>
    <row r="251" spans="1:16" x14ac:dyDescent="0.3">
      <c r="A251">
        <v>250</v>
      </c>
      <c r="B251" s="1">
        <v>40554</v>
      </c>
      <c r="C251">
        <v>18</v>
      </c>
      <c r="D251" t="b">
        <v>0</v>
      </c>
      <c r="E251" t="s">
        <v>25</v>
      </c>
      <c r="F251" t="s">
        <v>32</v>
      </c>
      <c r="G251">
        <v>0.16</v>
      </c>
      <c r="H251">
        <v>0.18179999999999999</v>
      </c>
      <c r="I251">
        <v>0.93</v>
      </c>
      <c r="J251">
        <v>0.1045</v>
      </c>
      <c r="K251">
        <v>1</v>
      </c>
      <c r="L251">
        <v>94</v>
      </c>
      <c r="M251">
        <v>95</v>
      </c>
      <c r="N251" t="s">
        <v>18</v>
      </c>
      <c r="O251" t="s">
        <v>87</v>
      </c>
      <c r="P251" t="s">
        <v>92</v>
      </c>
    </row>
    <row r="252" spans="1:16" x14ac:dyDescent="0.3">
      <c r="A252">
        <v>251</v>
      </c>
      <c r="B252" s="1">
        <v>40554</v>
      </c>
      <c r="C252">
        <v>19</v>
      </c>
      <c r="D252" t="b">
        <v>0</v>
      </c>
      <c r="E252" t="s">
        <v>25</v>
      </c>
      <c r="F252" t="s">
        <v>32</v>
      </c>
      <c r="G252">
        <v>0.16</v>
      </c>
      <c r="H252">
        <v>0.2273</v>
      </c>
      <c r="I252">
        <v>0.93</v>
      </c>
      <c r="J252">
        <v>0</v>
      </c>
      <c r="K252">
        <v>0</v>
      </c>
      <c r="L252">
        <v>51</v>
      </c>
      <c r="M252">
        <v>51</v>
      </c>
      <c r="N252" t="s">
        <v>18</v>
      </c>
      <c r="O252" t="s">
        <v>87</v>
      </c>
      <c r="P252" t="s">
        <v>92</v>
      </c>
    </row>
    <row r="253" spans="1:16" x14ac:dyDescent="0.3">
      <c r="A253">
        <v>252</v>
      </c>
      <c r="B253" s="1">
        <v>40554</v>
      </c>
      <c r="C253">
        <v>20</v>
      </c>
      <c r="D253" t="b">
        <v>0</v>
      </c>
      <c r="E253" t="s">
        <v>25</v>
      </c>
      <c r="F253" t="s">
        <v>32</v>
      </c>
      <c r="G253">
        <v>0.16</v>
      </c>
      <c r="H253">
        <v>0.1515</v>
      </c>
      <c r="I253">
        <v>0.93</v>
      </c>
      <c r="J253">
        <v>0.19400000000000001</v>
      </c>
      <c r="K253">
        <v>0</v>
      </c>
      <c r="L253">
        <v>32</v>
      </c>
      <c r="M253">
        <v>32</v>
      </c>
      <c r="N253" t="s">
        <v>18</v>
      </c>
      <c r="O253" t="s">
        <v>85</v>
      </c>
      <c r="P253" t="s">
        <v>92</v>
      </c>
    </row>
    <row r="254" spans="1:16" x14ac:dyDescent="0.3">
      <c r="A254">
        <v>253</v>
      </c>
      <c r="B254" s="1">
        <v>40554</v>
      </c>
      <c r="C254">
        <v>21</v>
      </c>
      <c r="D254" t="b">
        <v>0</v>
      </c>
      <c r="E254" t="s">
        <v>25</v>
      </c>
      <c r="F254" t="s">
        <v>32</v>
      </c>
      <c r="G254">
        <v>0.16</v>
      </c>
      <c r="H254">
        <v>0.19700000000000001</v>
      </c>
      <c r="I254">
        <v>0.86</v>
      </c>
      <c r="J254">
        <v>8.9599999999999999E-2</v>
      </c>
      <c r="K254">
        <v>0</v>
      </c>
      <c r="L254">
        <v>20</v>
      </c>
      <c r="M254">
        <v>20</v>
      </c>
      <c r="N254" t="s">
        <v>18</v>
      </c>
      <c r="O254" t="s">
        <v>85</v>
      </c>
      <c r="P254" t="s">
        <v>92</v>
      </c>
    </row>
    <row r="255" spans="1:16" x14ac:dyDescent="0.3">
      <c r="A255">
        <v>254</v>
      </c>
      <c r="B255" s="1">
        <v>40554</v>
      </c>
      <c r="C255">
        <v>22</v>
      </c>
      <c r="D255" t="b">
        <v>0</v>
      </c>
      <c r="E255" t="s">
        <v>25</v>
      </c>
      <c r="F255" t="s">
        <v>32</v>
      </c>
      <c r="G255">
        <v>0.16</v>
      </c>
      <c r="H255">
        <v>0.18179999999999999</v>
      </c>
      <c r="I255">
        <v>0.93</v>
      </c>
      <c r="J255">
        <v>0.1045</v>
      </c>
      <c r="K255">
        <v>1</v>
      </c>
      <c r="L255">
        <v>28</v>
      </c>
      <c r="M255">
        <v>29</v>
      </c>
      <c r="N255" t="s">
        <v>18</v>
      </c>
      <c r="O255" t="s">
        <v>85</v>
      </c>
      <c r="P255" t="s">
        <v>92</v>
      </c>
    </row>
    <row r="256" spans="1:16" x14ac:dyDescent="0.3">
      <c r="A256">
        <v>255</v>
      </c>
      <c r="B256" s="1">
        <v>40554</v>
      </c>
      <c r="C256">
        <v>23</v>
      </c>
      <c r="D256" t="b">
        <v>0</v>
      </c>
      <c r="E256" t="s">
        <v>25</v>
      </c>
      <c r="F256" t="s">
        <v>32</v>
      </c>
      <c r="G256">
        <v>0.16</v>
      </c>
      <c r="H256">
        <v>0.19700000000000001</v>
      </c>
      <c r="I256">
        <v>0.93</v>
      </c>
      <c r="J256">
        <v>8.9599999999999999E-2</v>
      </c>
      <c r="K256">
        <v>1</v>
      </c>
      <c r="L256">
        <v>18</v>
      </c>
      <c r="M256">
        <v>19</v>
      </c>
      <c r="N256" t="s">
        <v>18</v>
      </c>
      <c r="O256" t="s">
        <v>85</v>
      </c>
      <c r="P256" t="s">
        <v>92</v>
      </c>
    </row>
    <row r="257" spans="1:16" x14ac:dyDescent="0.3">
      <c r="A257">
        <v>256</v>
      </c>
      <c r="B257" s="1">
        <v>40555</v>
      </c>
      <c r="C257">
        <v>0</v>
      </c>
      <c r="D257" t="b">
        <v>0</v>
      </c>
      <c r="E257" t="s">
        <v>26</v>
      </c>
      <c r="F257" t="s">
        <v>31</v>
      </c>
      <c r="G257">
        <v>0.16</v>
      </c>
      <c r="H257">
        <v>0.19700000000000001</v>
      </c>
      <c r="I257">
        <v>0.86</v>
      </c>
      <c r="J257">
        <v>8.9599999999999999E-2</v>
      </c>
      <c r="K257">
        <v>0</v>
      </c>
      <c r="L257">
        <v>7</v>
      </c>
      <c r="M257">
        <v>7</v>
      </c>
      <c r="N257" t="s">
        <v>18</v>
      </c>
      <c r="O257" t="s">
        <v>85</v>
      </c>
      <c r="P257" t="s">
        <v>91</v>
      </c>
    </row>
    <row r="258" spans="1:16" x14ac:dyDescent="0.3">
      <c r="A258">
        <v>257</v>
      </c>
      <c r="B258" s="1">
        <v>40555</v>
      </c>
      <c r="C258">
        <v>1</v>
      </c>
      <c r="D258" t="b">
        <v>0</v>
      </c>
      <c r="E258" t="s">
        <v>26</v>
      </c>
      <c r="F258" t="s">
        <v>31</v>
      </c>
      <c r="G258">
        <v>0.16</v>
      </c>
      <c r="H258">
        <v>0.18179999999999999</v>
      </c>
      <c r="I258">
        <v>0.86</v>
      </c>
      <c r="J258">
        <v>0.1045</v>
      </c>
      <c r="K258">
        <v>0</v>
      </c>
      <c r="L258">
        <v>6</v>
      </c>
      <c r="M258">
        <v>6</v>
      </c>
      <c r="N258" t="s">
        <v>18</v>
      </c>
      <c r="O258" t="s">
        <v>85</v>
      </c>
      <c r="P258" t="s">
        <v>91</v>
      </c>
    </row>
    <row r="259" spans="1:16" x14ac:dyDescent="0.3">
      <c r="A259">
        <v>258</v>
      </c>
      <c r="B259" s="1">
        <v>40555</v>
      </c>
      <c r="C259">
        <v>2</v>
      </c>
      <c r="D259" t="b">
        <v>0</v>
      </c>
      <c r="E259" t="s">
        <v>26</v>
      </c>
      <c r="F259" t="s">
        <v>30</v>
      </c>
      <c r="G259">
        <v>0.14000000000000001</v>
      </c>
      <c r="H259">
        <v>0.1515</v>
      </c>
      <c r="I259">
        <v>0.86</v>
      </c>
      <c r="J259">
        <v>0.1343</v>
      </c>
      <c r="K259">
        <v>0</v>
      </c>
      <c r="L259">
        <v>1</v>
      </c>
      <c r="M259">
        <v>1</v>
      </c>
      <c r="N259" t="s">
        <v>18</v>
      </c>
      <c r="O259" t="s">
        <v>85</v>
      </c>
      <c r="P259" t="s">
        <v>90</v>
      </c>
    </row>
    <row r="260" spans="1:16" x14ac:dyDescent="0.3">
      <c r="A260">
        <v>259</v>
      </c>
      <c r="B260" s="1">
        <v>40555</v>
      </c>
      <c r="C260">
        <v>5</v>
      </c>
      <c r="D260" t="b">
        <v>0</v>
      </c>
      <c r="E260" t="s">
        <v>26</v>
      </c>
      <c r="F260" t="s">
        <v>30</v>
      </c>
      <c r="G260">
        <v>0.14000000000000001</v>
      </c>
      <c r="H260">
        <v>0.1515</v>
      </c>
      <c r="I260">
        <v>0.86</v>
      </c>
      <c r="J260">
        <v>0.16420000000000001</v>
      </c>
      <c r="K260">
        <v>0</v>
      </c>
      <c r="L260">
        <v>5</v>
      </c>
      <c r="M260">
        <v>5</v>
      </c>
      <c r="N260" t="s">
        <v>18</v>
      </c>
      <c r="O260" t="s">
        <v>85</v>
      </c>
      <c r="P260" t="s">
        <v>90</v>
      </c>
    </row>
    <row r="261" spans="1:16" x14ac:dyDescent="0.3">
      <c r="A261">
        <v>260</v>
      </c>
      <c r="B261" s="1">
        <v>40555</v>
      </c>
      <c r="C261">
        <v>6</v>
      </c>
      <c r="D261" t="b">
        <v>0</v>
      </c>
      <c r="E261" t="s">
        <v>26</v>
      </c>
      <c r="F261" t="s">
        <v>30</v>
      </c>
      <c r="G261">
        <v>0.12</v>
      </c>
      <c r="H261">
        <v>0.1515</v>
      </c>
      <c r="I261">
        <v>0.93</v>
      </c>
      <c r="J261">
        <v>0.1343</v>
      </c>
      <c r="K261">
        <v>0</v>
      </c>
      <c r="L261">
        <v>16</v>
      </c>
      <c r="M261">
        <v>16</v>
      </c>
      <c r="N261" t="s">
        <v>18</v>
      </c>
      <c r="O261" t="s">
        <v>85</v>
      </c>
      <c r="P261" t="s">
        <v>90</v>
      </c>
    </row>
    <row r="262" spans="1:16" x14ac:dyDescent="0.3">
      <c r="A262">
        <v>261</v>
      </c>
      <c r="B262" s="1">
        <v>40555</v>
      </c>
      <c r="C262">
        <v>7</v>
      </c>
      <c r="D262" t="b">
        <v>0</v>
      </c>
      <c r="E262" t="s">
        <v>26</v>
      </c>
      <c r="F262" t="s">
        <v>30</v>
      </c>
      <c r="G262">
        <v>0.14000000000000001</v>
      </c>
      <c r="H262">
        <v>0.1515</v>
      </c>
      <c r="I262">
        <v>0.69</v>
      </c>
      <c r="J262">
        <v>0.1343</v>
      </c>
      <c r="K262">
        <v>0</v>
      </c>
      <c r="L262">
        <v>54</v>
      </c>
      <c r="M262">
        <v>54</v>
      </c>
      <c r="N262" t="s">
        <v>18</v>
      </c>
      <c r="O262" t="s">
        <v>86</v>
      </c>
      <c r="P262" t="s">
        <v>90</v>
      </c>
    </row>
    <row r="263" spans="1:16" x14ac:dyDescent="0.3">
      <c r="A263">
        <v>262</v>
      </c>
      <c r="B263" s="1">
        <v>40555</v>
      </c>
      <c r="C263">
        <v>8</v>
      </c>
      <c r="D263" t="b">
        <v>0</v>
      </c>
      <c r="E263" t="s">
        <v>26</v>
      </c>
      <c r="F263" t="s">
        <v>30</v>
      </c>
      <c r="G263">
        <v>0.16</v>
      </c>
      <c r="H263">
        <v>0.16669999999999999</v>
      </c>
      <c r="I263">
        <v>0.59</v>
      </c>
      <c r="J263">
        <v>0.16420000000000001</v>
      </c>
      <c r="K263">
        <v>3</v>
      </c>
      <c r="L263">
        <v>125</v>
      </c>
      <c r="M263">
        <v>128</v>
      </c>
      <c r="N263" t="s">
        <v>18</v>
      </c>
      <c r="O263" t="s">
        <v>86</v>
      </c>
      <c r="P263" t="s">
        <v>90</v>
      </c>
    </row>
    <row r="264" spans="1:16" x14ac:dyDescent="0.3">
      <c r="A264">
        <v>263</v>
      </c>
      <c r="B264" s="1">
        <v>40555</v>
      </c>
      <c r="C264">
        <v>9</v>
      </c>
      <c r="D264" t="b">
        <v>0</v>
      </c>
      <c r="E264" t="s">
        <v>26</v>
      </c>
      <c r="F264" t="s">
        <v>30</v>
      </c>
      <c r="G264">
        <v>0.16</v>
      </c>
      <c r="H264">
        <v>0.13639999999999999</v>
      </c>
      <c r="I264">
        <v>0.59</v>
      </c>
      <c r="J264">
        <v>0.32840000000000003</v>
      </c>
      <c r="K264">
        <v>3</v>
      </c>
      <c r="L264">
        <v>78</v>
      </c>
      <c r="M264">
        <v>81</v>
      </c>
      <c r="N264" t="s">
        <v>18</v>
      </c>
      <c r="O264" t="s">
        <v>86</v>
      </c>
      <c r="P264" t="s">
        <v>90</v>
      </c>
    </row>
    <row r="265" spans="1:16" x14ac:dyDescent="0.3">
      <c r="A265">
        <v>264</v>
      </c>
      <c r="B265" s="1">
        <v>40555</v>
      </c>
      <c r="C265">
        <v>10</v>
      </c>
      <c r="D265" t="b">
        <v>0</v>
      </c>
      <c r="E265" t="s">
        <v>26</v>
      </c>
      <c r="F265" t="s">
        <v>30</v>
      </c>
      <c r="G265">
        <v>0.18</v>
      </c>
      <c r="H265">
        <v>0.18179999999999999</v>
      </c>
      <c r="I265">
        <v>0.55000000000000004</v>
      </c>
      <c r="J265">
        <v>0.22389999999999999</v>
      </c>
      <c r="K265">
        <v>0</v>
      </c>
      <c r="L265">
        <v>39</v>
      </c>
      <c r="M265">
        <v>39</v>
      </c>
      <c r="N265" t="s">
        <v>18</v>
      </c>
      <c r="O265" t="s">
        <v>85</v>
      </c>
      <c r="P265" t="s">
        <v>90</v>
      </c>
    </row>
    <row r="266" spans="1:16" x14ac:dyDescent="0.3">
      <c r="A266">
        <v>265</v>
      </c>
      <c r="B266" s="1">
        <v>40555</v>
      </c>
      <c r="C266">
        <v>11</v>
      </c>
      <c r="D266" t="b">
        <v>0</v>
      </c>
      <c r="E266" t="s">
        <v>26</v>
      </c>
      <c r="F266" t="s">
        <v>30</v>
      </c>
      <c r="G266">
        <v>0.2</v>
      </c>
      <c r="H266">
        <v>0.18179999999999999</v>
      </c>
      <c r="I266">
        <v>0.51</v>
      </c>
      <c r="J266">
        <v>0.3881</v>
      </c>
      <c r="K266">
        <v>3</v>
      </c>
      <c r="L266">
        <v>32</v>
      </c>
      <c r="M266">
        <v>35</v>
      </c>
      <c r="N266" t="s">
        <v>18</v>
      </c>
      <c r="O266" t="s">
        <v>85</v>
      </c>
      <c r="P266" t="s">
        <v>90</v>
      </c>
    </row>
    <row r="267" spans="1:16" x14ac:dyDescent="0.3">
      <c r="A267">
        <v>266</v>
      </c>
      <c r="B267" s="1">
        <v>40555</v>
      </c>
      <c r="C267">
        <v>12</v>
      </c>
      <c r="D267" t="b">
        <v>0</v>
      </c>
      <c r="E267" t="s">
        <v>26</v>
      </c>
      <c r="F267" t="s">
        <v>30</v>
      </c>
      <c r="G267">
        <v>0.2</v>
      </c>
      <c r="H267">
        <v>0.1515</v>
      </c>
      <c r="I267">
        <v>0.47</v>
      </c>
      <c r="J267">
        <v>0.58209999999999995</v>
      </c>
      <c r="K267">
        <v>3</v>
      </c>
      <c r="L267">
        <v>52</v>
      </c>
      <c r="M267">
        <v>55</v>
      </c>
      <c r="N267" t="s">
        <v>18</v>
      </c>
      <c r="O267" t="s">
        <v>85</v>
      </c>
      <c r="P267" t="s">
        <v>90</v>
      </c>
    </row>
    <row r="268" spans="1:16" x14ac:dyDescent="0.3">
      <c r="A268">
        <v>267</v>
      </c>
      <c r="B268" s="1">
        <v>40555</v>
      </c>
      <c r="C268">
        <v>13</v>
      </c>
      <c r="D268" t="b">
        <v>0</v>
      </c>
      <c r="E268" t="s">
        <v>26</v>
      </c>
      <c r="F268" t="s">
        <v>30</v>
      </c>
      <c r="G268">
        <v>0.22</v>
      </c>
      <c r="H268">
        <v>0.19700000000000001</v>
      </c>
      <c r="I268">
        <v>0.44</v>
      </c>
      <c r="J268">
        <v>0.35820000000000002</v>
      </c>
      <c r="K268">
        <v>0</v>
      </c>
      <c r="L268">
        <v>49</v>
      </c>
      <c r="M268">
        <v>49</v>
      </c>
      <c r="N268" t="s">
        <v>18</v>
      </c>
      <c r="O268" t="s">
        <v>85</v>
      </c>
      <c r="P268" t="s">
        <v>90</v>
      </c>
    </row>
    <row r="269" spans="1:16" x14ac:dyDescent="0.3">
      <c r="A269">
        <v>268</v>
      </c>
      <c r="B269" s="1">
        <v>40555</v>
      </c>
      <c r="C269">
        <v>14</v>
      </c>
      <c r="D269" t="b">
        <v>0</v>
      </c>
      <c r="E269" t="s">
        <v>26</v>
      </c>
      <c r="F269" t="s">
        <v>30</v>
      </c>
      <c r="G269">
        <v>0.2</v>
      </c>
      <c r="H269">
        <v>0.18179999999999999</v>
      </c>
      <c r="I269">
        <v>0.47</v>
      </c>
      <c r="J269">
        <v>0.32840000000000003</v>
      </c>
      <c r="K269">
        <v>0</v>
      </c>
      <c r="L269">
        <v>44</v>
      </c>
      <c r="M269">
        <v>44</v>
      </c>
      <c r="N269" t="s">
        <v>18</v>
      </c>
      <c r="O269" t="s">
        <v>85</v>
      </c>
      <c r="P269" t="s">
        <v>90</v>
      </c>
    </row>
    <row r="270" spans="1:16" x14ac:dyDescent="0.3">
      <c r="A270">
        <v>269</v>
      </c>
      <c r="B270" s="1">
        <v>40555</v>
      </c>
      <c r="C270">
        <v>15</v>
      </c>
      <c r="D270" t="b">
        <v>0</v>
      </c>
      <c r="E270" t="s">
        <v>26</v>
      </c>
      <c r="F270" t="s">
        <v>30</v>
      </c>
      <c r="G270">
        <v>0.2</v>
      </c>
      <c r="H270">
        <v>0.16669999999999999</v>
      </c>
      <c r="I270">
        <v>0.47</v>
      </c>
      <c r="J270">
        <v>0.41789999999999999</v>
      </c>
      <c r="K270">
        <v>1</v>
      </c>
      <c r="L270">
        <v>48</v>
      </c>
      <c r="M270">
        <v>49</v>
      </c>
      <c r="N270" t="s">
        <v>18</v>
      </c>
      <c r="O270" t="s">
        <v>85</v>
      </c>
      <c r="P270" t="s">
        <v>90</v>
      </c>
    </row>
    <row r="271" spans="1:16" x14ac:dyDescent="0.3">
      <c r="A271">
        <v>270</v>
      </c>
      <c r="B271" s="1">
        <v>40555</v>
      </c>
      <c r="C271">
        <v>16</v>
      </c>
      <c r="D271" t="b">
        <v>0</v>
      </c>
      <c r="E271" t="s">
        <v>26</v>
      </c>
      <c r="F271" t="s">
        <v>30</v>
      </c>
      <c r="G271">
        <v>0.22</v>
      </c>
      <c r="H271">
        <v>0.19700000000000001</v>
      </c>
      <c r="I271">
        <v>0.44</v>
      </c>
      <c r="J271">
        <v>0.32840000000000003</v>
      </c>
      <c r="K271">
        <v>5</v>
      </c>
      <c r="L271">
        <v>63</v>
      </c>
      <c r="M271">
        <v>68</v>
      </c>
      <c r="N271" t="s">
        <v>18</v>
      </c>
      <c r="O271" t="s">
        <v>85</v>
      </c>
      <c r="P271" t="s">
        <v>90</v>
      </c>
    </row>
    <row r="272" spans="1:16" x14ac:dyDescent="0.3">
      <c r="A272">
        <v>271</v>
      </c>
      <c r="B272" s="1">
        <v>40555</v>
      </c>
      <c r="C272">
        <v>17</v>
      </c>
      <c r="D272" t="b">
        <v>0</v>
      </c>
      <c r="E272" t="s">
        <v>26</v>
      </c>
      <c r="F272" t="s">
        <v>30</v>
      </c>
      <c r="G272">
        <v>0.2</v>
      </c>
      <c r="H272">
        <v>0.18179999999999999</v>
      </c>
      <c r="I272">
        <v>0.47</v>
      </c>
      <c r="J272">
        <v>0.35820000000000002</v>
      </c>
      <c r="K272">
        <v>0</v>
      </c>
      <c r="L272">
        <v>139</v>
      </c>
      <c r="M272">
        <v>139</v>
      </c>
      <c r="N272" t="s">
        <v>18</v>
      </c>
      <c r="O272" t="s">
        <v>87</v>
      </c>
      <c r="P272" t="s">
        <v>90</v>
      </c>
    </row>
    <row r="273" spans="1:16" x14ac:dyDescent="0.3">
      <c r="A273">
        <v>272</v>
      </c>
      <c r="B273" s="1">
        <v>40555</v>
      </c>
      <c r="C273">
        <v>18</v>
      </c>
      <c r="D273" t="b">
        <v>0</v>
      </c>
      <c r="E273" t="s">
        <v>26</v>
      </c>
      <c r="F273" t="s">
        <v>30</v>
      </c>
      <c r="G273">
        <v>0.2</v>
      </c>
      <c r="H273">
        <v>0.1515</v>
      </c>
      <c r="I273">
        <v>0.47</v>
      </c>
      <c r="J273">
        <v>0.52239999999999998</v>
      </c>
      <c r="K273">
        <v>2</v>
      </c>
      <c r="L273">
        <v>135</v>
      </c>
      <c r="M273">
        <v>137</v>
      </c>
      <c r="N273" t="s">
        <v>18</v>
      </c>
      <c r="O273" t="s">
        <v>87</v>
      </c>
      <c r="P273" t="s">
        <v>90</v>
      </c>
    </row>
    <row r="274" spans="1:16" x14ac:dyDescent="0.3">
      <c r="A274">
        <v>273</v>
      </c>
      <c r="B274" s="1">
        <v>40555</v>
      </c>
      <c r="C274">
        <v>19</v>
      </c>
      <c r="D274" t="b">
        <v>0</v>
      </c>
      <c r="E274" t="s">
        <v>26</v>
      </c>
      <c r="F274" t="s">
        <v>30</v>
      </c>
      <c r="G274">
        <v>0.18</v>
      </c>
      <c r="H274">
        <v>0.1515</v>
      </c>
      <c r="I274">
        <v>0.47</v>
      </c>
      <c r="J274">
        <v>0.41789999999999999</v>
      </c>
      <c r="K274">
        <v>1</v>
      </c>
      <c r="L274">
        <v>82</v>
      </c>
      <c r="M274">
        <v>83</v>
      </c>
      <c r="N274" t="s">
        <v>18</v>
      </c>
      <c r="O274" t="s">
        <v>87</v>
      </c>
      <c r="P274" t="s">
        <v>90</v>
      </c>
    </row>
    <row r="275" spans="1:16" x14ac:dyDescent="0.3">
      <c r="A275">
        <v>274</v>
      </c>
      <c r="B275" s="1">
        <v>40555</v>
      </c>
      <c r="C275">
        <v>20</v>
      </c>
      <c r="D275" t="b">
        <v>0</v>
      </c>
      <c r="E275" t="s">
        <v>26</v>
      </c>
      <c r="F275" t="s">
        <v>30</v>
      </c>
      <c r="G275">
        <v>0.16</v>
      </c>
      <c r="H275">
        <v>0.13639999999999999</v>
      </c>
      <c r="I275">
        <v>0.5</v>
      </c>
      <c r="J275">
        <v>0.32840000000000003</v>
      </c>
      <c r="K275">
        <v>2</v>
      </c>
      <c r="L275">
        <v>54</v>
      </c>
      <c r="M275">
        <v>56</v>
      </c>
      <c r="N275" t="s">
        <v>18</v>
      </c>
      <c r="O275" t="s">
        <v>85</v>
      </c>
      <c r="P275" t="s">
        <v>90</v>
      </c>
    </row>
    <row r="276" spans="1:16" x14ac:dyDescent="0.3">
      <c r="A276">
        <v>275</v>
      </c>
      <c r="B276" s="1">
        <v>40555</v>
      </c>
      <c r="C276">
        <v>21</v>
      </c>
      <c r="D276" t="b">
        <v>0</v>
      </c>
      <c r="E276" t="s">
        <v>26</v>
      </c>
      <c r="F276" t="s">
        <v>30</v>
      </c>
      <c r="G276">
        <v>0.16</v>
      </c>
      <c r="H276">
        <v>0.13639999999999999</v>
      </c>
      <c r="I276">
        <v>0.55000000000000004</v>
      </c>
      <c r="J276">
        <v>0.32840000000000003</v>
      </c>
      <c r="K276">
        <v>0</v>
      </c>
      <c r="L276">
        <v>57</v>
      </c>
      <c r="M276">
        <v>57</v>
      </c>
      <c r="N276" t="s">
        <v>18</v>
      </c>
      <c r="O276" t="s">
        <v>85</v>
      </c>
      <c r="P276" t="s">
        <v>90</v>
      </c>
    </row>
    <row r="277" spans="1:16" x14ac:dyDescent="0.3">
      <c r="A277">
        <v>276</v>
      </c>
      <c r="B277" s="1">
        <v>40555</v>
      </c>
      <c r="C277">
        <v>22</v>
      </c>
      <c r="D277" t="b">
        <v>0</v>
      </c>
      <c r="E277" t="s">
        <v>26</v>
      </c>
      <c r="F277" t="s">
        <v>30</v>
      </c>
      <c r="G277">
        <v>0.16</v>
      </c>
      <c r="H277">
        <v>0.1212</v>
      </c>
      <c r="I277">
        <v>0.55000000000000004</v>
      </c>
      <c r="J277">
        <v>0.44779999999999998</v>
      </c>
      <c r="K277">
        <v>1</v>
      </c>
      <c r="L277">
        <v>32</v>
      </c>
      <c r="M277">
        <v>33</v>
      </c>
      <c r="N277" t="s">
        <v>18</v>
      </c>
      <c r="O277" t="s">
        <v>85</v>
      </c>
      <c r="P277" t="s">
        <v>90</v>
      </c>
    </row>
    <row r="278" spans="1:16" x14ac:dyDescent="0.3">
      <c r="A278">
        <v>277</v>
      </c>
      <c r="B278" s="1">
        <v>40555</v>
      </c>
      <c r="C278">
        <v>23</v>
      </c>
      <c r="D278" t="b">
        <v>0</v>
      </c>
      <c r="E278" t="s">
        <v>26</v>
      </c>
      <c r="F278" t="s">
        <v>30</v>
      </c>
      <c r="G278">
        <v>0.14000000000000001</v>
      </c>
      <c r="H278">
        <v>0.1061</v>
      </c>
      <c r="I278">
        <v>0.59</v>
      </c>
      <c r="J278">
        <v>0.41789999999999999</v>
      </c>
      <c r="K278">
        <v>1</v>
      </c>
      <c r="L278">
        <v>19</v>
      </c>
      <c r="M278">
        <v>20</v>
      </c>
      <c r="N278" t="s">
        <v>18</v>
      </c>
      <c r="O278" t="s">
        <v>85</v>
      </c>
      <c r="P278" t="s">
        <v>90</v>
      </c>
    </row>
    <row r="279" spans="1:16" x14ac:dyDescent="0.3">
      <c r="A279">
        <v>278</v>
      </c>
      <c r="B279" s="1">
        <v>40556</v>
      </c>
      <c r="C279">
        <v>0</v>
      </c>
      <c r="D279" t="b">
        <v>0</v>
      </c>
      <c r="E279" t="s">
        <v>27</v>
      </c>
      <c r="F279" t="s">
        <v>30</v>
      </c>
      <c r="G279">
        <v>0.14000000000000001</v>
      </c>
      <c r="H279">
        <v>0.1212</v>
      </c>
      <c r="I279">
        <v>0.59</v>
      </c>
      <c r="J279">
        <v>0.28360000000000002</v>
      </c>
      <c r="K279">
        <v>1</v>
      </c>
      <c r="L279">
        <v>6</v>
      </c>
      <c r="M279">
        <v>7</v>
      </c>
      <c r="N279" t="s">
        <v>18</v>
      </c>
      <c r="O279" t="s">
        <v>85</v>
      </c>
      <c r="P279" t="s">
        <v>90</v>
      </c>
    </row>
    <row r="280" spans="1:16" x14ac:dyDescent="0.3">
      <c r="A280">
        <v>279</v>
      </c>
      <c r="B280" s="1">
        <v>40556</v>
      </c>
      <c r="C280">
        <v>1</v>
      </c>
      <c r="D280" t="b">
        <v>0</v>
      </c>
      <c r="E280" t="s">
        <v>27</v>
      </c>
      <c r="F280" t="s">
        <v>30</v>
      </c>
      <c r="G280">
        <v>0.14000000000000001</v>
      </c>
      <c r="H280">
        <v>0.1212</v>
      </c>
      <c r="I280">
        <v>0.5</v>
      </c>
      <c r="J280">
        <v>0.28360000000000002</v>
      </c>
      <c r="K280">
        <v>0</v>
      </c>
      <c r="L280">
        <v>2</v>
      </c>
      <c r="M280">
        <v>2</v>
      </c>
      <c r="N280" t="s">
        <v>18</v>
      </c>
      <c r="O280" t="s">
        <v>85</v>
      </c>
      <c r="P280" t="s">
        <v>90</v>
      </c>
    </row>
    <row r="281" spans="1:16" x14ac:dyDescent="0.3">
      <c r="A281">
        <v>280</v>
      </c>
      <c r="B281" s="1">
        <v>40556</v>
      </c>
      <c r="C281">
        <v>2</v>
      </c>
      <c r="D281" t="b">
        <v>0</v>
      </c>
      <c r="E281" t="s">
        <v>27</v>
      </c>
      <c r="F281" t="s">
        <v>30</v>
      </c>
      <c r="G281">
        <v>0.14000000000000001</v>
      </c>
      <c r="H281">
        <v>0.1212</v>
      </c>
      <c r="I281">
        <v>0.5</v>
      </c>
      <c r="J281">
        <v>0.35820000000000002</v>
      </c>
      <c r="K281">
        <v>0</v>
      </c>
      <c r="L281">
        <v>2</v>
      </c>
      <c r="M281">
        <v>2</v>
      </c>
      <c r="N281" t="s">
        <v>18</v>
      </c>
      <c r="O281" t="s">
        <v>85</v>
      </c>
      <c r="P281" t="s">
        <v>90</v>
      </c>
    </row>
    <row r="282" spans="1:16" x14ac:dyDescent="0.3">
      <c r="A282">
        <v>281</v>
      </c>
      <c r="B282" s="1">
        <v>40556</v>
      </c>
      <c r="C282">
        <v>3</v>
      </c>
      <c r="D282" t="b">
        <v>0</v>
      </c>
      <c r="E282" t="s">
        <v>27</v>
      </c>
      <c r="F282" t="s">
        <v>30</v>
      </c>
      <c r="G282">
        <v>0.14000000000000001</v>
      </c>
      <c r="H282">
        <v>0.1212</v>
      </c>
      <c r="I282">
        <v>0.5</v>
      </c>
      <c r="J282">
        <v>0.32840000000000003</v>
      </c>
      <c r="K282">
        <v>0</v>
      </c>
      <c r="L282">
        <v>3</v>
      </c>
      <c r="M282">
        <v>3</v>
      </c>
      <c r="N282" t="s">
        <v>18</v>
      </c>
      <c r="O282" t="s">
        <v>85</v>
      </c>
      <c r="P282" t="s">
        <v>90</v>
      </c>
    </row>
    <row r="283" spans="1:16" x14ac:dyDescent="0.3">
      <c r="A283">
        <v>282</v>
      </c>
      <c r="B283" s="1">
        <v>40556</v>
      </c>
      <c r="C283">
        <v>4</v>
      </c>
      <c r="D283" t="b">
        <v>0</v>
      </c>
      <c r="E283" t="s">
        <v>27</v>
      </c>
      <c r="F283" t="s">
        <v>30</v>
      </c>
      <c r="G283">
        <v>0.14000000000000001</v>
      </c>
      <c r="H283">
        <v>0.1212</v>
      </c>
      <c r="I283">
        <v>0.5</v>
      </c>
      <c r="J283">
        <v>0.25369999999999998</v>
      </c>
      <c r="K283">
        <v>0</v>
      </c>
      <c r="L283">
        <v>4</v>
      </c>
      <c r="M283">
        <v>4</v>
      </c>
      <c r="N283" t="s">
        <v>18</v>
      </c>
      <c r="O283" t="s">
        <v>85</v>
      </c>
      <c r="P283" t="s">
        <v>90</v>
      </c>
    </row>
    <row r="284" spans="1:16" x14ac:dyDescent="0.3">
      <c r="A284">
        <v>283</v>
      </c>
      <c r="B284" s="1">
        <v>40556</v>
      </c>
      <c r="C284">
        <v>5</v>
      </c>
      <c r="D284" t="b">
        <v>0</v>
      </c>
      <c r="E284" t="s">
        <v>27</v>
      </c>
      <c r="F284" t="s">
        <v>30</v>
      </c>
      <c r="G284">
        <v>0.14000000000000001</v>
      </c>
      <c r="H284">
        <v>0.1212</v>
      </c>
      <c r="I284">
        <v>0.5</v>
      </c>
      <c r="J284">
        <v>0.29849999999999999</v>
      </c>
      <c r="K284">
        <v>0</v>
      </c>
      <c r="L284">
        <v>3</v>
      </c>
      <c r="M284">
        <v>3</v>
      </c>
      <c r="N284" t="s">
        <v>18</v>
      </c>
      <c r="O284" t="s">
        <v>85</v>
      </c>
      <c r="P284" t="s">
        <v>90</v>
      </c>
    </row>
    <row r="285" spans="1:16" x14ac:dyDescent="0.3">
      <c r="A285">
        <v>284</v>
      </c>
      <c r="B285" s="1">
        <v>40556</v>
      </c>
      <c r="C285">
        <v>6</v>
      </c>
      <c r="D285" t="b">
        <v>0</v>
      </c>
      <c r="E285" t="s">
        <v>27</v>
      </c>
      <c r="F285" t="s">
        <v>30</v>
      </c>
      <c r="G285">
        <v>0.12</v>
      </c>
      <c r="H285">
        <v>0.1515</v>
      </c>
      <c r="I285">
        <v>0.54</v>
      </c>
      <c r="J285">
        <v>0.1343</v>
      </c>
      <c r="K285">
        <v>0</v>
      </c>
      <c r="L285">
        <v>28</v>
      </c>
      <c r="M285">
        <v>28</v>
      </c>
      <c r="N285" t="s">
        <v>18</v>
      </c>
      <c r="O285" t="s">
        <v>85</v>
      </c>
      <c r="P285" t="s">
        <v>90</v>
      </c>
    </row>
    <row r="286" spans="1:16" x14ac:dyDescent="0.3">
      <c r="A286">
        <v>285</v>
      </c>
      <c r="B286" s="1">
        <v>40556</v>
      </c>
      <c r="C286">
        <v>7</v>
      </c>
      <c r="D286" t="b">
        <v>0</v>
      </c>
      <c r="E286" t="s">
        <v>27</v>
      </c>
      <c r="F286" t="s">
        <v>30</v>
      </c>
      <c r="G286">
        <v>0.12</v>
      </c>
      <c r="H286">
        <v>0.1515</v>
      </c>
      <c r="I286">
        <v>0.54</v>
      </c>
      <c r="J286">
        <v>0.1343</v>
      </c>
      <c r="K286">
        <v>0</v>
      </c>
      <c r="L286">
        <v>72</v>
      </c>
      <c r="M286">
        <v>72</v>
      </c>
      <c r="N286" t="s">
        <v>18</v>
      </c>
      <c r="O286" t="s">
        <v>86</v>
      </c>
      <c r="P286" t="s">
        <v>90</v>
      </c>
    </row>
    <row r="287" spans="1:16" x14ac:dyDescent="0.3">
      <c r="A287">
        <v>286</v>
      </c>
      <c r="B287" s="1">
        <v>40556</v>
      </c>
      <c r="C287">
        <v>8</v>
      </c>
      <c r="D287" t="b">
        <v>0</v>
      </c>
      <c r="E287" t="s">
        <v>27</v>
      </c>
      <c r="F287" t="s">
        <v>30</v>
      </c>
      <c r="G287">
        <v>0.14000000000000001</v>
      </c>
      <c r="H287">
        <v>0.13639999999999999</v>
      </c>
      <c r="I287">
        <v>0.5</v>
      </c>
      <c r="J287">
        <v>0.19400000000000001</v>
      </c>
      <c r="K287">
        <v>5</v>
      </c>
      <c r="L287">
        <v>197</v>
      </c>
      <c r="M287">
        <v>202</v>
      </c>
      <c r="N287" t="s">
        <v>18</v>
      </c>
      <c r="O287" t="s">
        <v>86</v>
      </c>
      <c r="P287" t="s">
        <v>90</v>
      </c>
    </row>
    <row r="288" spans="1:16" x14ac:dyDescent="0.3">
      <c r="A288">
        <v>287</v>
      </c>
      <c r="B288" s="1">
        <v>40556</v>
      </c>
      <c r="C288">
        <v>9</v>
      </c>
      <c r="D288" t="b">
        <v>0</v>
      </c>
      <c r="E288" t="s">
        <v>27</v>
      </c>
      <c r="F288" t="s">
        <v>30</v>
      </c>
      <c r="G288">
        <v>0.14000000000000001</v>
      </c>
      <c r="H288">
        <v>0.1212</v>
      </c>
      <c r="I288">
        <v>0.5</v>
      </c>
      <c r="J288">
        <v>0.32840000000000003</v>
      </c>
      <c r="K288">
        <v>2</v>
      </c>
      <c r="L288">
        <v>137</v>
      </c>
      <c r="M288">
        <v>139</v>
      </c>
      <c r="N288" t="s">
        <v>18</v>
      </c>
      <c r="O288" t="s">
        <v>86</v>
      </c>
      <c r="P288" t="s">
        <v>90</v>
      </c>
    </row>
    <row r="289" spans="1:16" x14ac:dyDescent="0.3">
      <c r="A289">
        <v>288</v>
      </c>
      <c r="B289" s="1">
        <v>40556</v>
      </c>
      <c r="C289">
        <v>10</v>
      </c>
      <c r="D289" t="b">
        <v>0</v>
      </c>
      <c r="E289" t="s">
        <v>27</v>
      </c>
      <c r="F289" t="s">
        <v>31</v>
      </c>
      <c r="G289">
        <v>0.16</v>
      </c>
      <c r="H289">
        <v>0.13639999999999999</v>
      </c>
      <c r="I289">
        <v>0.5</v>
      </c>
      <c r="J289">
        <v>0.35820000000000002</v>
      </c>
      <c r="K289">
        <v>2</v>
      </c>
      <c r="L289">
        <v>36</v>
      </c>
      <c r="M289">
        <v>38</v>
      </c>
      <c r="N289" t="s">
        <v>18</v>
      </c>
      <c r="O289" t="s">
        <v>85</v>
      </c>
      <c r="P289" t="s">
        <v>91</v>
      </c>
    </row>
    <row r="290" spans="1:16" x14ac:dyDescent="0.3">
      <c r="A290">
        <v>289</v>
      </c>
      <c r="B290" s="1">
        <v>40556</v>
      </c>
      <c r="C290">
        <v>11</v>
      </c>
      <c r="D290" t="b">
        <v>0</v>
      </c>
      <c r="E290" t="s">
        <v>27</v>
      </c>
      <c r="F290" t="s">
        <v>31</v>
      </c>
      <c r="G290">
        <v>0.2</v>
      </c>
      <c r="H290">
        <v>0.16669999999999999</v>
      </c>
      <c r="I290">
        <v>0.44</v>
      </c>
      <c r="J290">
        <v>0.44779999999999998</v>
      </c>
      <c r="K290">
        <v>4</v>
      </c>
      <c r="L290">
        <v>33</v>
      </c>
      <c r="M290">
        <v>37</v>
      </c>
      <c r="N290" t="s">
        <v>18</v>
      </c>
      <c r="O290" t="s">
        <v>85</v>
      </c>
      <c r="P290" t="s">
        <v>91</v>
      </c>
    </row>
    <row r="291" spans="1:16" x14ac:dyDescent="0.3">
      <c r="A291">
        <v>290</v>
      </c>
      <c r="B291" s="1">
        <v>40556</v>
      </c>
      <c r="C291">
        <v>12</v>
      </c>
      <c r="D291" t="b">
        <v>0</v>
      </c>
      <c r="E291" t="s">
        <v>27</v>
      </c>
      <c r="F291" t="s">
        <v>30</v>
      </c>
      <c r="G291">
        <v>0.2</v>
      </c>
      <c r="H291">
        <v>0.16669999999999999</v>
      </c>
      <c r="I291">
        <v>0.44</v>
      </c>
      <c r="J291">
        <v>0.41789999999999999</v>
      </c>
      <c r="K291">
        <v>3</v>
      </c>
      <c r="L291">
        <v>49</v>
      </c>
      <c r="M291">
        <v>52</v>
      </c>
      <c r="N291" t="s">
        <v>18</v>
      </c>
      <c r="O291" t="s">
        <v>85</v>
      </c>
      <c r="P291" t="s">
        <v>90</v>
      </c>
    </row>
    <row r="292" spans="1:16" x14ac:dyDescent="0.3">
      <c r="A292">
        <v>291</v>
      </c>
      <c r="B292" s="1">
        <v>40556</v>
      </c>
      <c r="C292">
        <v>13</v>
      </c>
      <c r="D292" t="b">
        <v>0</v>
      </c>
      <c r="E292" t="s">
        <v>27</v>
      </c>
      <c r="F292" t="s">
        <v>30</v>
      </c>
      <c r="G292">
        <v>0.22</v>
      </c>
      <c r="H292">
        <v>0.19700000000000001</v>
      </c>
      <c r="I292">
        <v>0.41</v>
      </c>
      <c r="J292">
        <v>0.44779999999999998</v>
      </c>
      <c r="K292">
        <v>2</v>
      </c>
      <c r="L292">
        <v>81</v>
      </c>
      <c r="M292">
        <v>83</v>
      </c>
      <c r="N292" t="s">
        <v>18</v>
      </c>
      <c r="O292" t="s">
        <v>85</v>
      </c>
      <c r="P292" t="s">
        <v>90</v>
      </c>
    </row>
    <row r="293" spans="1:16" x14ac:dyDescent="0.3">
      <c r="A293">
        <v>292</v>
      </c>
      <c r="B293" s="1">
        <v>40556</v>
      </c>
      <c r="C293">
        <v>14</v>
      </c>
      <c r="D293" t="b">
        <v>0</v>
      </c>
      <c r="E293" t="s">
        <v>27</v>
      </c>
      <c r="F293" t="s">
        <v>30</v>
      </c>
      <c r="G293">
        <v>0.22</v>
      </c>
      <c r="H293">
        <v>0.19700000000000001</v>
      </c>
      <c r="I293">
        <v>0.41</v>
      </c>
      <c r="J293">
        <v>0.3881</v>
      </c>
      <c r="K293">
        <v>3</v>
      </c>
      <c r="L293">
        <v>39</v>
      </c>
      <c r="M293">
        <v>42</v>
      </c>
      <c r="N293" t="s">
        <v>18</v>
      </c>
      <c r="O293" t="s">
        <v>85</v>
      </c>
      <c r="P293" t="s">
        <v>90</v>
      </c>
    </row>
    <row r="294" spans="1:16" x14ac:dyDescent="0.3">
      <c r="A294">
        <v>293</v>
      </c>
      <c r="B294" s="1">
        <v>40556</v>
      </c>
      <c r="C294">
        <v>15</v>
      </c>
      <c r="D294" t="b">
        <v>0</v>
      </c>
      <c r="E294" t="s">
        <v>27</v>
      </c>
      <c r="F294" t="s">
        <v>30</v>
      </c>
      <c r="G294">
        <v>0.24</v>
      </c>
      <c r="H294">
        <v>0.21210000000000001</v>
      </c>
      <c r="I294">
        <v>0.38</v>
      </c>
      <c r="J294">
        <v>0.29849999999999999</v>
      </c>
      <c r="K294">
        <v>5</v>
      </c>
      <c r="L294">
        <v>55</v>
      </c>
      <c r="M294">
        <v>60</v>
      </c>
      <c r="N294" t="s">
        <v>18</v>
      </c>
      <c r="O294" t="s">
        <v>85</v>
      </c>
      <c r="P294" t="s">
        <v>90</v>
      </c>
    </row>
    <row r="295" spans="1:16" x14ac:dyDescent="0.3">
      <c r="A295">
        <v>294</v>
      </c>
      <c r="B295" s="1">
        <v>40556</v>
      </c>
      <c r="C295">
        <v>16</v>
      </c>
      <c r="D295" t="b">
        <v>0</v>
      </c>
      <c r="E295" t="s">
        <v>27</v>
      </c>
      <c r="F295" t="s">
        <v>30</v>
      </c>
      <c r="G295">
        <v>0.24</v>
      </c>
      <c r="H295">
        <v>0.21210000000000001</v>
      </c>
      <c r="I295">
        <v>0.38</v>
      </c>
      <c r="J295">
        <v>0.35820000000000002</v>
      </c>
      <c r="K295">
        <v>2</v>
      </c>
      <c r="L295">
        <v>76</v>
      </c>
      <c r="M295">
        <v>78</v>
      </c>
      <c r="N295" t="s">
        <v>18</v>
      </c>
      <c r="O295" t="s">
        <v>85</v>
      </c>
      <c r="P295" t="s">
        <v>90</v>
      </c>
    </row>
    <row r="296" spans="1:16" x14ac:dyDescent="0.3">
      <c r="A296">
        <v>295</v>
      </c>
      <c r="B296" s="1">
        <v>40556</v>
      </c>
      <c r="C296">
        <v>17</v>
      </c>
      <c r="D296" t="b">
        <v>0</v>
      </c>
      <c r="E296" t="s">
        <v>27</v>
      </c>
      <c r="F296" t="s">
        <v>30</v>
      </c>
      <c r="G296">
        <v>0.2</v>
      </c>
      <c r="H296">
        <v>0.18179999999999999</v>
      </c>
      <c r="I296">
        <v>0.4</v>
      </c>
      <c r="J296">
        <v>0.28360000000000002</v>
      </c>
      <c r="K296">
        <v>4</v>
      </c>
      <c r="L296">
        <v>158</v>
      </c>
      <c r="M296">
        <v>162</v>
      </c>
      <c r="N296" t="s">
        <v>18</v>
      </c>
      <c r="O296" t="s">
        <v>87</v>
      </c>
      <c r="P296" t="s">
        <v>90</v>
      </c>
    </row>
    <row r="297" spans="1:16" x14ac:dyDescent="0.3">
      <c r="A297">
        <v>296</v>
      </c>
      <c r="B297" s="1">
        <v>40556</v>
      </c>
      <c r="C297">
        <v>18</v>
      </c>
      <c r="D297" t="b">
        <v>0</v>
      </c>
      <c r="E297" t="s">
        <v>27</v>
      </c>
      <c r="F297" t="s">
        <v>30</v>
      </c>
      <c r="G297">
        <v>0.2</v>
      </c>
      <c r="H297">
        <v>0.18179999999999999</v>
      </c>
      <c r="I297">
        <v>0.4</v>
      </c>
      <c r="J297">
        <v>0.32840000000000003</v>
      </c>
      <c r="K297">
        <v>3</v>
      </c>
      <c r="L297">
        <v>141</v>
      </c>
      <c r="M297">
        <v>144</v>
      </c>
      <c r="N297" t="s">
        <v>18</v>
      </c>
      <c r="O297" t="s">
        <v>87</v>
      </c>
      <c r="P297" t="s">
        <v>90</v>
      </c>
    </row>
    <row r="298" spans="1:16" x14ac:dyDescent="0.3">
      <c r="A298">
        <v>297</v>
      </c>
      <c r="B298" s="1">
        <v>40556</v>
      </c>
      <c r="C298">
        <v>19</v>
      </c>
      <c r="D298" t="b">
        <v>0</v>
      </c>
      <c r="E298" t="s">
        <v>27</v>
      </c>
      <c r="F298" t="s">
        <v>30</v>
      </c>
      <c r="G298">
        <v>0.16</v>
      </c>
      <c r="H298">
        <v>0.1515</v>
      </c>
      <c r="I298">
        <v>0.47</v>
      </c>
      <c r="J298">
        <v>0.25369999999999998</v>
      </c>
      <c r="K298">
        <v>1</v>
      </c>
      <c r="L298">
        <v>98</v>
      </c>
      <c r="M298">
        <v>99</v>
      </c>
      <c r="N298" t="s">
        <v>18</v>
      </c>
      <c r="O298" t="s">
        <v>87</v>
      </c>
      <c r="P298" t="s">
        <v>90</v>
      </c>
    </row>
    <row r="299" spans="1:16" x14ac:dyDescent="0.3">
      <c r="A299">
        <v>298</v>
      </c>
      <c r="B299" s="1">
        <v>40556</v>
      </c>
      <c r="C299">
        <v>20</v>
      </c>
      <c r="D299" t="b">
        <v>0</v>
      </c>
      <c r="E299" t="s">
        <v>27</v>
      </c>
      <c r="F299" t="s">
        <v>30</v>
      </c>
      <c r="G299">
        <v>0.16</v>
      </c>
      <c r="H299">
        <v>0.1515</v>
      </c>
      <c r="I299">
        <v>0.47</v>
      </c>
      <c r="J299">
        <v>0.22389999999999999</v>
      </c>
      <c r="K299">
        <v>0</v>
      </c>
      <c r="L299">
        <v>64</v>
      </c>
      <c r="M299">
        <v>64</v>
      </c>
      <c r="N299" t="s">
        <v>18</v>
      </c>
      <c r="O299" t="s">
        <v>85</v>
      </c>
      <c r="P299" t="s">
        <v>90</v>
      </c>
    </row>
    <row r="300" spans="1:16" x14ac:dyDescent="0.3">
      <c r="A300">
        <v>299</v>
      </c>
      <c r="B300" s="1">
        <v>40556</v>
      </c>
      <c r="C300">
        <v>21</v>
      </c>
      <c r="D300" t="b">
        <v>0</v>
      </c>
      <c r="E300" t="s">
        <v>27</v>
      </c>
      <c r="F300" t="s">
        <v>30</v>
      </c>
      <c r="G300">
        <v>0.14000000000000001</v>
      </c>
      <c r="H300">
        <v>0.1212</v>
      </c>
      <c r="I300">
        <v>0.46</v>
      </c>
      <c r="J300">
        <v>0.29849999999999999</v>
      </c>
      <c r="K300">
        <v>0</v>
      </c>
      <c r="L300">
        <v>40</v>
      </c>
      <c r="M300">
        <v>40</v>
      </c>
      <c r="N300" t="s">
        <v>18</v>
      </c>
      <c r="O300" t="s">
        <v>85</v>
      </c>
      <c r="P300" t="s">
        <v>90</v>
      </c>
    </row>
    <row r="301" spans="1:16" x14ac:dyDescent="0.3">
      <c r="A301">
        <v>300</v>
      </c>
      <c r="B301" s="1">
        <v>40556</v>
      </c>
      <c r="C301">
        <v>22</v>
      </c>
      <c r="D301" t="b">
        <v>0</v>
      </c>
      <c r="E301" t="s">
        <v>27</v>
      </c>
      <c r="F301" t="s">
        <v>30</v>
      </c>
      <c r="G301">
        <v>0.14000000000000001</v>
      </c>
      <c r="H301">
        <v>0.1212</v>
      </c>
      <c r="I301">
        <v>0.46</v>
      </c>
      <c r="J301">
        <v>0.32840000000000003</v>
      </c>
      <c r="K301">
        <v>0</v>
      </c>
      <c r="L301">
        <v>30</v>
      </c>
      <c r="M301">
        <v>30</v>
      </c>
      <c r="N301" t="s">
        <v>18</v>
      </c>
      <c r="O301" t="s">
        <v>85</v>
      </c>
      <c r="P301" t="s">
        <v>90</v>
      </c>
    </row>
    <row r="302" spans="1:16" x14ac:dyDescent="0.3">
      <c r="A302">
        <v>301</v>
      </c>
      <c r="B302" s="1">
        <v>40556</v>
      </c>
      <c r="C302">
        <v>23</v>
      </c>
      <c r="D302" t="b">
        <v>0</v>
      </c>
      <c r="E302" t="s">
        <v>27</v>
      </c>
      <c r="F302" t="s">
        <v>30</v>
      </c>
      <c r="G302">
        <v>0.12</v>
      </c>
      <c r="H302">
        <v>0.13639999999999999</v>
      </c>
      <c r="I302">
        <v>0.5</v>
      </c>
      <c r="J302">
        <v>0.19400000000000001</v>
      </c>
      <c r="K302">
        <v>1</v>
      </c>
      <c r="L302">
        <v>14</v>
      </c>
      <c r="M302">
        <v>15</v>
      </c>
      <c r="N302" t="s">
        <v>18</v>
      </c>
      <c r="O302" t="s">
        <v>85</v>
      </c>
      <c r="P302" t="s">
        <v>90</v>
      </c>
    </row>
    <row r="303" spans="1:16" x14ac:dyDescent="0.3">
      <c r="A303">
        <v>302</v>
      </c>
      <c r="B303" s="1">
        <v>40557</v>
      </c>
      <c r="C303">
        <v>0</v>
      </c>
      <c r="D303" t="b">
        <v>0</v>
      </c>
      <c r="E303" t="s">
        <v>28</v>
      </c>
      <c r="F303" t="s">
        <v>30</v>
      </c>
      <c r="G303">
        <v>0.12</v>
      </c>
      <c r="H303">
        <v>0.13639999999999999</v>
      </c>
      <c r="I303">
        <v>0.5</v>
      </c>
      <c r="J303">
        <v>0.19400000000000001</v>
      </c>
      <c r="K303">
        <v>0</v>
      </c>
      <c r="L303">
        <v>14</v>
      </c>
      <c r="M303">
        <v>14</v>
      </c>
      <c r="N303" t="s">
        <v>18</v>
      </c>
      <c r="O303" t="s">
        <v>85</v>
      </c>
      <c r="P303" t="s">
        <v>90</v>
      </c>
    </row>
    <row r="304" spans="1:16" x14ac:dyDescent="0.3">
      <c r="A304">
        <v>303</v>
      </c>
      <c r="B304" s="1">
        <v>40557</v>
      </c>
      <c r="C304">
        <v>1</v>
      </c>
      <c r="D304" t="b">
        <v>0</v>
      </c>
      <c r="E304" t="s">
        <v>28</v>
      </c>
      <c r="F304" t="s">
        <v>30</v>
      </c>
      <c r="G304">
        <v>0.1</v>
      </c>
      <c r="H304">
        <v>0.1212</v>
      </c>
      <c r="I304">
        <v>0.54</v>
      </c>
      <c r="J304">
        <v>0.16420000000000001</v>
      </c>
      <c r="K304">
        <v>0</v>
      </c>
      <c r="L304">
        <v>5</v>
      </c>
      <c r="M304">
        <v>5</v>
      </c>
      <c r="N304" t="s">
        <v>18</v>
      </c>
      <c r="O304" t="s">
        <v>85</v>
      </c>
      <c r="P304" t="s">
        <v>90</v>
      </c>
    </row>
    <row r="305" spans="1:16" x14ac:dyDescent="0.3">
      <c r="A305">
        <v>304</v>
      </c>
      <c r="B305" s="1">
        <v>40557</v>
      </c>
      <c r="C305">
        <v>2</v>
      </c>
      <c r="D305" t="b">
        <v>0</v>
      </c>
      <c r="E305" t="s">
        <v>28</v>
      </c>
      <c r="F305" t="s">
        <v>30</v>
      </c>
      <c r="G305">
        <v>0.1</v>
      </c>
      <c r="H305">
        <v>0.1212</v>
      </c>
      <c r="I305">
        <v>0.54</v>
      </c>
      <c r="J305">
        <v>0.1343</v>
      </c>
      <c r="K305">
        <v>0</v>
      </c>
      <c r="L305">
        <v>1</v>
      </c>
      <c r="M305">
        <v>1</v>
      </c>
      <c r="N305" t="s">
        <v>18</v>
      </c>
      <c r="O305" t="s">
        <v>85</v>
      </c>
      <c r="P305" t="s">
        <v>90</v>
      </c>
    </row>
    <row r="306" spans="1:16" x14ac:dyDescent="0.3">
      <c r="A306">
        <v>305</v>
      </c>
      <c r="B306" s="1">
        <v>40557</v>
      </c>
      <c r="C306">
        <v>3</v>
      </c>
      <c r="D306" t="b">
        <v>0</v>
      </c>
      <c r="E306" t="s">
        <v>28</v>
      </c>
      <c r="F306" t="s">
        <v>30</v>
      </c>
      <c r="G306">
        <v>0.1</v>
      </c>
      <c r="H306">
        <v>0.13639999999999999</v>
      </c>
      <c r="I306">
        <v>0.54</v>
      </c>
      <c r="J306">
        <v>0.1045</v>
      </c>
      <c r="K306">
        <v>0</v>
      </c>
      <c r="L306">
        <v>1</v>
      </c>
      <c r="M306">
        <v>1</v>
      </c>
      <c r="N306" t="s">
        <v>18</v>
      </c>
      <c r="O306" t="s">
        <v>85</v>
      </c>
      <c r="P306" t="s">
        <v>90</v>
      </c>
    </row>
    <row r="307" spans="1:16" x14ac:dyDescent="0.3">
      <c r="A307">
        <v>306</v>
      </c>
      <c r="B307" s="1">
        <v>40557</v>
      </c>
      <c r="C307">
        <v>5</v>
      </c>
      <c r="D307" t="b">
        <v>0</v>
      </c>
      <c r="E307" t="s">
        <v>28</v>
      </c>
      <c r="F307" t="s">
        <v>30</v>
      </c>
      <c r="G307">
        <v>0.1</v>
      </c>
      <c r="H307">
        <v>0.13639999999999999</v>
      </c>
      <c r="I307">
        <v>0.54</v>
      </c>
      <c r="J307">
        <v>8.9599999999999999E-2</v>
      </c>
      <c r="K307">
        <v>0</v>
      </c>
      <c r="L307">
        <v>8</v>
      </c>
      <c r="M307">
        <v>8</v>
      </c>
      <c r="N307" t="s">
        <v>18</v>
      </c>
      <c r="O307" t="s">
        <v>85</v>
      </c>
      <c r="P307" t="s">
        <v>90</v>
      </c>
    </row>
    <row r="308" spans="1:16" x14ac:dyDescent="0.3">
      <c r="A308">
        <v>307</v>
      </c>
      <c r="B308" s="1">
        <v>40557</v>
      </c>
      <c r="C308">
        <v>6</v>
      </c>
      <c r="D308" t="b">
        <v>0</v>
      </c>
      <c r="E308" t="s">
        <v>28</v>
      </c>
      <c r="F308" t="s">
        <v>30</v>
      </c>
      <c r="G308">
        <v>0.1</v>
      </c>
      <c r="H308">
        <v>0.18179999999999999</v>
      </c>
      <c r="I308">
        <v>0.54</v>
      </c>
      <c r="J308">
        <v>0</v>
      </c>
      <c r="K308">
        <v>0</v>
      </c>
      <c r="L308">
        <v>17</v>
      </c>
      <c r="M308">
        <v>17</v>
      </c>
      <c r="N308" t="s">
        <v>18</v>
      </c>
      <c r="O308" t="s">
        <v>85</v>
      </c>
      <c r="P308" t="s">
        <v>90</v>
      </c>
    </row>
    <row r="309" spans="1:16" x14ac:dyDescent="0.3">
      <c r="A309">
        <v>308</v>
      </c>
      <c r="B309" s="1">
        <v>40557</v>
      </c>
      <c r="C309">
        <v>7</v>
      </c>
      <c r="D309" t="b">
        <v>0</v>
      </c>
      <c r="E309" t="s">
        <v>28</v>
      </c>
      <c r="F309" t="s">
        <v>30</v>
      </c>
      <c r="G309">
        <v>0.1</v>
      </c>
      <c r="H309">
        <v>0.1212</v>
      </c>
      <c r="I309">
        <v>0.74</v>
      </c>
      <c r="J309">
        <v>0.16420000000000001</v>
      </c>
      <c r="K309">
        <v>0</v>
      </c>
      <c r="L309">
        <v>70</v>
      </c>
      <c r="M309">
        <v>70</v>
      </c>
      <c r="N309" t="s">
        <v>18</v>
      </c>
      <c r="O309" t="s">
        <v>86</v>
      </c>
      <c r="P309" t="s">
        <v>90</v>
      </c>
    </row>
    <row r="310" spans="1:16" x14ac:dyDescent="0.3">
      <c r="A310">
        <v>309</v>
      </c>
      <c r="B310" s="1">
        <v>40557</v>
      </c>
      <c r="C310">
        <v>8</v>
      </c>
      <c r="D310" t="b">
        <v>0</v>
      </c>
      <c r="E310" t="s">
        <v>28</v>
      </c>
      <c r="F310" t="s">
        <v>30</v>
      </c>
      <c r="G310">
        <v>0.12</v>
      </c>
      <c r="H310">
        <v>0.16669999999999999</v>
      </c>
      <c r="I310">
        <v>0.68</v>
      </c>
      <c r="J310">
        <v>0</v>
      </c>
      <c r="K310">
        <v>2</v>
      </c>
      <c r="L310">
        <v>156</v>
      </c>
      <c r="M310">
        <v>158</v>
      </c>
      <c r="N310" t="s">
        <v>18</v>
      </c>
      <c r="O310" t="s">
        <v>86</v>
      </c>
      <c r="P310" t="s">
        <v>90</v>
      </c>
    </row>
    <row r="311" spans="1:16" x14ac:dyDescent="0.3">
      <c r="A311">
        <v>310</v>
      </c>
      <c r="B311" s="1">
        <v>40557</v>
      </c>
      <c r="C311">
        <v>9</v>
      </c>
      <c r="D311" t="b">
        <v>0</v>
      </c>
      <c r="E311" t="s">
        <v>28</v>
      </c>
      <c r="F311" t="s">
        <v>30</v>
      </c>
      <c r="G311">
        <v>0.14000000000000001</v>
      </c>
      <c r="H311">
        <v>0.1515</v>
      </c>
      <c r="I311">
        <v>0.69</v>
      </c>
      <c r="J311">
        <v>0.1343</v>
      </c>
      <c r="K311">
        <v>0</v>
      </c>
      <c r="L311">
        <v>117</v>
      </c>
      <c r="M311">
        <v>117</v>
      </c>
      <c r="N311" t="s">
        <v>18</v>
      </c>
      <c r="O311" t="s">
        <v>86</v>
      </c>
      <c r="P311" t="s">
        <v>90</v>
      </c>
    </row>
    <row r="312" spans="1:16" x14ac:dyDescent="0.3">
      <c r="A312">
        <v>311</v>
      </c>
      <c r="B312" s="1">
        <v>40557</v>
      </c>
      <c r="C312">
        <v>10</v>
      </c>
      <c r="D312" t="b">
        <v>0</v>
      </c>
      <c r="E312" t="s">
        <v>28</v>
      </c>
      <c r="F312" t="s">
        <v>30</v>
      </c>
      <c r="G312">
        <v>0.18</v>
      </c>
      <c r="H312">
        <v>0.18179999999999999</v>
      </c>
      <c r="I312">
        <v>0.55000000000000004</v>
      </c>
      <c r="J312">
        <v>0.19400000000000001</v>
      </c>
      <c r="K312">
        <v>4</v>
      </c>
      <c r="L312">
        <v>40</v>
      </c>
      <c r="M312">
        <v>44</v>
      </c>
      <c r="N312" t="s">
        <v>18</v>
      </c>
      <c r="O312" t="s">
        <v>85</v>
      </c>
      <c r="P312" t="s">
        <v>90</v>
      </c>
    </row>
    <row r="313" spans="1:16" x14ac:dyDescent="0.3">
      <c r="A313">
        <v>312</v>
      </c>
      <c r="B313" s="1">
        <v>40557</v>
      </c>
      <c r="C313">
        <v>11</v>
      </c>
      <c r="D313" t="b">
        <v>0</v>
      </c>
      <c r="E313" t="s">
        <v>28</v>
      </c>
      <c r="F313" t="s">
        <v>30</v>
      </c>
      <c r="G313">
        <v>0.18</v>
      </c>
      <c r="H313">
        <v>0.16669999999999999</v>
      </c>
      <c r="I313">
        <v>0.51</v>
      </c>
      <c r="J313">
        <v>0.28360000000000002</v>
      </c>
      <c r="K313">
        <v>6</v>
      </c>
      <c r="L313">
        <v>47</v>
      </c>
      <c r="M313">
        <v>53</v>
      </c>
      <c r="N313" t="s">
        <v>18</v>
      </c>
      <c r="O313" t="s">
        <v>85</v>
      </c>
      <c r="P313" t="s">
        <v>90</v>
      </c>
    </row>
    <row r="314" spans="1:16" x14ac:dyDescent="0.3">
      <c r="A314">
        <v>313</v>
      </c>
      <c r="B314" s="1">
        <v>40557</v>
      </c>
      <c r="C314">
        <v>12</v>
      </c>
      <c r="D314" t="b">
        <v>0</v>
      </c>
      <c r="E314" t="s">
        <v>28</v>
      </c>
      <c r="F314" t="s">
        <v>30</v>
      </c>
      <c r="G314">
        <v>0.2</v>
      </c>
      <c r="H314">
        <v>0.19700000000000001</v>
      </c>
      <c r="I314">
        <v>0.44</v>
      </c>
      <c r="J314">
        <v>0.25369999999999998</v>
      </c>
      <c r="K314">
        <v>2</v>
      </c>
      <c r="L314">
        <v>59</v>
      </c>
      <c r="M314">
        <v>61</v>
      </c>
      <c r="N314" t="s">
        <v>18</v>
      </c>
      <c r="O314" t="s">
        <v>85</v>
      </c>
      <c r="P314" t="s">
        <v>90</v>
      </c>
    </row>
    <row r="315" spans="1:16" x14ac:dyDescent="0.3">
      <c r="A315">
        <v>314</v>
      </c>
      <c r="B315" s="1">
        <v>40557</v>
      </c>
      <c r="C315">
        <v>13</v>
      </c>
      <c r="D315" t="b">
        <v>0</v>
      </c>
      <c r="E315" t="s">
        <v>28</v>
      </c>
      <c r="F315" t="s">
        <v>30</v>
      </c>
      <c r="G315">
        <v>0.22</v>
      </c>
      <c r="H315">
        <v>0.19700000000000001</v>
      </c>
      <c r="I315">
        <v>0.37</v>
      </c>
      <c r="J315">
        <v>0.3881</v>
      </c>
      <c r="K315">
        <v>4</v>
      </c>
      <c r="L315">
        <v>73</v>
      </c>
      <c r="M315">
        <v>77</v>
      </c>
      <c r="N315" t="s">
        <v>18</v>
      </c>
      <c r="O315" t="s">
        <v>85</v>
      </c>
      <c r="P315" t="s">
        <v>90</v>
      </c>
    </row>
    <row r="316" spans="1:16" x14ac:dyDescent="0.3">
      <c r="A316">
        <v>315</v>
      </c>
      <c r="B316" s="1">
        <v>40557</v>
      </c>
      <c r="C316">
        <v>14</v>
      </c>
      <c r="D316" t="b">
        <v>0</v>
      </c>
      <c r="E316" t="s">
        <v>28</v>
      </c>
      <c r="F316" t="s">
        <v>30</v>
      </c>
      <c r="G316">
        <v>0.22</v>
      </c>
      <c r="H316">
        <v>0.21210000000000001</v>
      </c>
      <c r="I316">
        <v>0.41</v>
      </c>
      <c r="J316">
        <v>0.28360000000000002</v>
      </c>
      <c r="K316">
        <v>5</v>
      </c>
      <c r="L316">
        <v>59</v>
      </c>
      <c r="M316">
        <v>64</v>
      </c>
      <c r="N316" t="s">
        <v>18</v>
      </c>
      <c r="O316" t="s">
        <v>85</v>
      </c>
      <c r="P316" t="s">
        <v>90</v>
      </c>
    </row>
    <row r="317" spans="1:16" x14ac:dyDescent="0.3">
      <c r="A317">
        <v>316</v>
      </c>
      <c r="B317" s="1">
        <v>40557</v>
      </c>
      <c r="C317">
        <v>15</v>
      </c>
      <c r="D317" t="b">
        <v>0</v>
      </c>
      <c r="E317" t="s">
        <v>28</v>
      </c>
      <c r="F317" t="s">
        <v>30</v>
      </c>
      <c r="G317">
        <v>0.24</v>
      </c>
      <c r="H317">
        <v>0.2424</v>
      </c>
      <c r="I317">
        <v>0.38</v>
      </c>
      <c r="J317">
        <v>0.16420000000000001</v>
      </c>
      <c r="K317">
        <v>9</v>
      </c>
      <c r="L317">
        <v>59</v>
      </c>
      <c r="M317">
        <v>68</v>
      </c>
      <c r="N317" t="s">
        <v>18</v>
      </c>
      <c r="O317" t="s">
        <v>85</v>
      </c>
      <c r="P317" t="s">
        <v>90</v>
      </c>
    </row>
    <row r="318" spans="1:16" x14ac:dyDescent="0.3">
      <c r="A318">
        <v>317</v>
      </c>
      <c r="B318" s="1">
        <v>40557</v>
      </c>
      <c r="C318">
        <v>16</v>
      </c>
      <c r="D318" t="b">
        <v>0</v>
      </c>
      <c r="E318" t="s">
        <v>28</v>
      </c>
      <c r="F318" t="s">
        <v>30</v>
      </c>
      <c r="G318">
        <v>0.22</v>
      </c>
      <c r="H318">
        <v>0.2424</v>
      </c>
      <c r="I318">
        <v>0.41</v>
      </c>
      <c r="J318">
        <v>0.1045</v>
      </c>
      <c r="K318">
        <v>3</v>
      </c>
      <c r="L318">
        <v>87</v>
      </c>
      <c r="M318">
        <v>90</v>
      </c>
      <c r="N318" t="s">
        <v>18</v>
      </c>
      <c r="O318" t="s">
        <v>85</v>
      </c>
      <c r="P318" t="s">
        <v>90</v>
      </c>
    </row>
    <row r="319" spans="1:16" x14ac:dyDescent="0.3">
      <c r="A319">
        <v>318</v>
      </c>
      <c r="B319" s="1">
        <v>40557</v>
      </c>
      <c r="C319">
        <v>17</v>
      </c>
      <c r="D319" t="b">
        <v>0</v>
      </c>
      <c r="E319" t="s">
        <v>28</v>
      </c>
      <c r="F319" t="s">
        <v>30</v>
      </c>
      <c r="G319">
        <v>0.22</v>
      </c>
      <c r="H319">
        <v>0.2273</v>
      </c>
      <c r="I319">
        <v>0.41</v>
      </c>
      <c r="J319">
        <v>0.16420000000000001</v>
      </c>
      <c r="K319">
        <v>4</v>
      </c>
      <c r="L319">
        <v>155</v>
      </c>
      <c r="M319">
        <v>159</v>
      </c>
      <c r="N319" t="s">
        <v>18</v>
      </c>
      <c r="O319" t="s">
        <v>87</v>
      </c>
      <c r="P319" t="s">
        <v>90</v>
      </c>
    </row>
    <row r="320" spans="1:16" x14ac:dyDescent="0.3">
      <c r="A320">
        <v>319</v>
      </c>
      <c r="B320" s="1">
        <v>40557</v>
      </c>
      <c r="C320">
        <v>18</v>
      </c>
      <c r="D320" t="b">
        <v>0</v>
      </c>
      <c r="E320" t="s">
        <v>28</v>
      </c>
      <c r="F320" t="s">
        <v>30</v>
      </c>
      <c r="G320">
        <v>0.2</v>
      </c>
      <c r="H320">
        <v>0.2576</v>
      </c>
      <c r="I320">
        <v>0.47</v>
      </c>
      <c r="J320">
        <v>0</v>
      </c>
      <c r="K320">
        <v>5</v>
      </c>
      <c r="L320">
        <v>134</v>
      </c>
      <c r="M320">
        <v>139</v>
      </c>
      <c r="N320" t="s">
        <v>18</v>
      </c>
      <c r="O320" t="s">
        <v>87</v>
      </c>
      <c r="P320" t="s">
        <v>90</v>
      </c>
    </row>
    <row r="321" spans="1:16" x14ac:dyDescent="0.3">
      <c r="A321">
        <v>320</v>
      </c>
      <c r="B321" s="1">
        <v>40557</v>
      </c>
      <c r="C321">
        <v>19</v>
      </c>
      <c r="D321" t="b">
        <v>0</v>
      </c>
      <c r="E321" t="s">
        <v>28</v>
      </c>
      <c r="F321" t="s">
        <v>30</v>
      </c>
      <c r="G321">
        <v>0.16</v>
      </c>
      <c r="H321">
        <v>0.19700000000000001</v>
      </c>
      <c r="I321">
        <v>0.59</v>
      </c>
      <c r="J321">
        <v>8.9599999999999999E-2</v>
      </c>
      <c r="K321">
        <v>3</v>
      </c>
      <c r="L321">
        <v>89</v>
      </c>
      <c r="M321">
        <v>92</v>
      </c>
      <c r="N321" t="s">
        <v>18</v>
      </c>
      <c r="O321" t="s">
        <v>87</v>
      </c>
      <c r="P321" t="s">
        <v>90</v>
      </c>
    </row>
    <row r="322" spans="1:16" x14ac:dyDescent="0.3">
      <c r="A322">
        <v>321</v>
      </c>
      <c r="B322" s="1">
        <v>40557</v>
      </c>
      <c r="C322">
        <v>20</v>
      </c>
      <c r="D322" t="b">
        <v>0</v>
      </c>
      <c r="E322" t="s">
        <v>28</v>
      </c>
      <c r="F322" t="s">
        <v>30</v>
      </c>
      <c r="G322">
        <v>0.18</v>
      </c>
      <c r="H322">
        <v>0.2424</v>
      </c>
      <c r="I322">
        <v>0.59</v>
      </c>
      <c r="J322">
        <v>0</v>
      </c>
      <c r="K322">
        <v>0</v>
      </c>
      <c r="L322">
        <v>68</v>
      </c>
      <c r="M322">
        <v>68</v>
      </c>
      <c r="N322" t="s">
        <v>18</v>
      </c>
      <c r="O322" t="s">
        <v>85</v>
      </c>
      <c r="P322" t="s">
        <v>90</v>
      </c>
    </row>
    <row r="323" spans="1:16" x14ac:dyDescent="0.3">
      <c r="A323">
        <v>322</v>
      </c>
      <c r="B323" s="1">
        <v>40557</v>
      </c>
      <c r="C323">
        <v>21</v>
      </c>
      <c r="D323" t="b">
        <v>0</v>
      </c>
      <c r="E323" t="s">
        <v>28</v>
      </c>
      <c r="F323" t="s">
        <v>30</v>
      </c>
      <c r="G323">
        <v>0.16</v>
      </c>
      <c r="H323">
        <v>0.2273</v>
      </c>
      <c r="I323">
        <v>0.69</v>
      </c>
      <c r="J323">
        <v>0</v>
      </c>
      <c r="K323">
        <v>4</v>
      </c>
      <c r="L323">
        <v>48</v>
      </c>
      <c r="M323">
        <v>52</v>
      </c>
      <c r="N323" t="s">
        <v>18</v>
      </c>
      <c r="O323" t="s">
        <v>85</v>
      </c>
      <c r="P323" t="s">
        <v>90</v>
      </c>
    </row>
    <row r="324" spans="1:16" x14ac:dyDescent="0.3">
      <c r="A324">
        <v>323</v>
      </c>
      <c r="B324" s="1">
        <v>40557</v>
      </c>
      <c r="C324">
        <v>22</v>
      </c>
      <c r="D324" t="b">
        <v>0</v>
      </c>
      <c r="E324" t="s">
        <v>28</v>
      </c>
      <c r="F324" t="s">
        <v>31</v>
      </c>
      <c r="G324">
        <v>0.16</v>
      </c>
      <c r="H324">
        <v>0.2273</v>
      </c>
      <c r="I324">
        <v>0.69</v>
      </c>
      <c r="J324">
        <v>0</v>
      </c>
      <c r="K324">
        <v>2</v>
      </c>
      <c r="L324">
        <v>34</v>
      </c>
      <c r="M324">
        <v>36</v>
      </c>
      <c r="N324" t="s">
        <v>18</v>
      </c>
      <c r="O324" t="s">
        <v>85</v>
      </c>
      <c r="P324" t="s">
        <v>91</v>
      </c>
    </row>
    <row r="325" spans="1:16" x14ac:dyDescent="0.3">
      <c r="A325">
        <v>324</v>
      </c>
      <c r="B325" s="1">
        <v>40557</v>
      </c>
      <c r="C325">
        <v>23</v>
      </c>
      <c r="D325" t="b">
        <v>0</v>
      </c>
      <c r="E325" t="s">
        <v>28</v>
      </c>
      <c r="F325" t="s">
        <v>31</v>
      </c>
      <c r="G325">
        <v>0.18</v>
      </c>
      <c r="H325">
        <v>0.2424</v>
      </c>
      <c r="I325">
        <v>0.55000000000000004</v>
      </c>
      <c r="J325">
        <v>0</v>
      </c>
      <c r="K325">
        <v>1</v>
      </c>
      <c r="L325">
        <v>26</v>
      </c>
      <c r="M325">
        <v>27</v>
      </c>
      <c r="N325" t="s">
        <v>18</v>
      </c>
      <c r="O325" t="s">
        <v>85</v>
      </c>
      <c r="P325" t="s">
        <v>91</v>
      </c>
    </row>
    <row r="326" spans="1:16" x14ac:dyDescent="0.3">
      <c r="A326">
        <v>325</v>
      </c>
      <c r="B326" s="1">
        <v>40558</v>
      </c>
      <c r="C326">
        <v>0</v>
      </c>
      <c r="D326" t="b">
        <v>0</v>
      </c>
      <c r="E326" t="s">
        <v>29</v>
      </c>
      <c r="F326" t="s">
        <v>30</v>
      </c>
      <c r="G326">
        <v>0.18</v>
      </c>
      <c r="H326">
        <v>0.2424</v>
      </c>
      <c r="I326">
        <v>0.55000000000000004</v>
      </c>
      <c r="J326">
        <v>0</v>
      </c>
      <c r="K326">
        <v>3</v>
      </c>
      <c r="L326">
        <v>25</v>
      </c>
      <c r="M326">
        <v>28</v>
      </c>
      <c r="N326" t="s">
        <v>84</v>
      </c>
      <c r="O326" t="s">
        <v>85</v>
      </c>
      <c r="P326" t="s">
        <v>90</v>
      </c>
    </row>
    <row r="327" spans="1:16" x14ac:dyDescent="0.3">
      <c r="A327">
        <v>326</v>
      </c>
      <c r="B327" s="1">
        <v>40558</v>
      </c>
      <c r="C327">
        <v>1</v>
      </c>
      <c r="D327" t="b">
        <v>0</v>
      </c>
      <c r="E327" t="s">
        <v>29</v>
      </c>
      <c r="F327" t="s">
        <v>31</v>
      </c>
      <c r="G327">
        <v>0.16</v>
      </c>
      <c r="H327">
        <v>0.19700000000000001</v>
      </c>
      <c r="I327">
        <v>0.59</v>
      </c>
      <c r="J327">
        <v>8.9599999999999999E-2</v>
      </c>
      <c r="K327">
        <v>2</v>
      </c>
      <c r="L327">
        <v>18</v>
      </c>
      <c r="M327">
        <v>20</v>
      </c>
      <c r="N327" t="s">
        <v>84</v>
      </c>
      <c r="O327" t="s">
        <v>85</v>
      </c>
      <c r="P327" t="s">
        <v>91</v>
      </c>
    </row>
    <row r="328" spans="1:16" x14ac:dyDescent="0.3">
      <c r="A328">
        <v>327</v>
      </c>
      <c r="B328" s="1">
        <v>40558</v>
      </c>
      <c r="C328">
        <v>2</v>
      </c>
      <c r="D328" t="b">
        <v>0</v>
      </c>
      <c r="E328" t="s">
        <v>29</v>
      </c>
      <c r="F328" t="s">
        <v>31</v>
      </c>
      <c r="G328">
        <v>0.16</v>
      </c>
      <c r="H328">
        <v>0.19700000000000001</v>
      </c>
      <c r="I328">
        <v>0.59</v>
      </c>
      <c r="J328">
        <v>8.9599999999999999E-2</v>
      </c>
      <c r="K328">
        <v>0</v>
      </c>
      <c r="L328">
        <v>12</v>
      </c>
      <c r="M328">
        <v>12</v>
      </c>
      <c r="N328" t="s">
        <v>84</v>
      </c>
      <c r="O328" t="s">
        <v>85</v>
      </c>
      <c r="P328" t="s">
        <v>91</v>
      </c>
    </row>
    <row r="329" spans="1:16" x14ac:dyDescent="0.3">
      <c r="A329">
        <v>328</v>
      </c>
      <c r="B329" s="1">
        <v>40558</v>
      </c>
      <c r="C329">
        <v>3</v>
      </c>
      <c r="D329" t="b">
        <v>0</v>
      </c>
      <c r="E329" t="s">
        <v>29</v>
      </c>
      <c r="F329" t="s">
        <v>31</v>
      </c>
      <c r="G329">
        <v>0.16</v>
      </c>
      <c r="H329">
        <v>0.2273</v>
      </c>
      <c r="I329">
        <v>0.59</v>
      </c>
      <c r="J329">
        <v>0</v>
      </c>
      <c r="K329">
        <v>1</v>
      </c>
      <c r="L329">
        <v>7</v>
      </c>
      <c r="M329">
        <v>8</v>
      </c>
      <c r="N329" t="s">
        <v>84</v>
      </c>
      <c r="O329" t="s">
        <v>85</v>
      </c>
      <c r="P329" t="s">
        <v>91</v>
      </c>
    </row>
    <row r="330" spans="1:16" x14ac:dyDescent="0.3">
      <c r="A330">
        <v>329</v>
      </c>
      <c r="B330" s="1">
        <v>40558</v>
      </c>
      <c r="C330">
        <v>4</v>
      </c>
      <c r="D330" t="b">
        <v>0</v>
      </c>
      <c r="E330" t="s">
        <v>29</v>
      </c>
      <c r="F330" t="s">
        <v>31</v>
      </c>
      <c r="G330">
        <v>0.16</v>
      </c>
      <c r="H330">
        <v>0.2273</v>
      </c>
      <c r="I330">
        <v>0.59</v>
      </c>
      <c r="J330">
        <v>0</v>
      </c>
      <c r="K330">
        <v>0</v>
      </c>
      <c r="L330">
        <v>5</v>
      </c>
      <c r="M330">
        <v>5</v>
      </c>
      <c r="N330" t="s">
        <v>84</v>
      </c>
      <c r="O330" t="s">
        <v>85</v>
      </c>
      <c r="P330" t="s">
        <v>91</v>
      </c>
    </row>
    <row r="331" spans="1:16" x14ac:dyDescent="0.3">
      <c r="A331">
        <v>330</v>
      </c>
      <c r="B331" s="1">
        <v>40558</v>
      </c>
      <c r="C331">
        <v>5</v>
      </c>
      <c r="D331" t="b">
        <v>0</v>
      </c>
      <c r="E331" t="s">
        <v>29</v>
      </c>
      <c r="F331" t="s">
        <v>30</v>
      </c>
      <c r="G331">
        <v>0.16</v>
      </c>
      <c r="H331">
        <v>0.2273</v>
      </c>
      <c r="I331">
        <v>0.59</v>
      </c>
      <c r="J331">
        <v>0</v>
      </c>
      <c r="K331">
        <v>0</v>
      </c>
      <c r="L331">
        <v>1</v>
      </c>
      <c r="M331">
        <v>1</v>
      </c>
      <c r="N331" t="s">
        <v>84</v>
      </c>
      <c r="O331" t="s">
        <v>85</v>
      </c>
      <c r="P331" t="s">
        <v>90</v>
      </c>
    </row>
    <row r="332" spans="1:16" x14ac:dyDescent="0.3">
      <c r="A332">
        <v>331</v>
      </c>
      <c r="B332" s="1">
        <v>40558</v>
      </c>
      <c r="C332">
        <v>6</v>
      </c>
      <c r="D332" t="b">
        <v>0</v>
      </c>
      <c r="E332" t="s">
        <v>29</v>
      </c>
      <c r="F332" t="s">
        <v>30</v>
      </c>
      <c r="G332">
        <v>0.14000000000000001</v>
      </c>
      <c r="H332">
        <v>0.16669999999999999</v>
      </c>
      <c r="I332">
        <v>0.63</v>
      </c>
      <c r="J332">
        <v>0.1045</v>
      </c>
      <c r="K332">
        <v>1</v>
      </c>
      <c r="L332">
        <v>2</v>
      </c>
      <c r="M332">
        <v>3</v>
      </c>
      <c r="N332" t="s">
        <v>84</v>
      </c>
      <c r="O332" t="s">
        <v>85</v>
      </c>
      <c r="P332" t="s">
        <v>90</v>
      </c>
    </row>
    <row r="333" spans="1:16" x14ac:dyDescent="0.3">
      <c r="A333">
        <v>332</v>
      </c>
      <c r="B333" s="1">
        <v>40558</v>
      </c>
      <c r="C333">
        <v>7</v>
      </c>
      <c r="D333" t="b">
        <v>0</v>
      </c>
      <c r="E333" t="s">
        <v>29</v>
      </c>
      <c r="F333" t="s">
        <v>30</v>
      </c>
      <c r="G333">
        <v>0.14000000000000001</v>
      </c>
      <c r="H333">
        <v>0.21210000000000001</v>
      </c>
      <c r="I333">
        <v>0.63</v>
      </c>
      <c r="J333">
        <v>0</v>
      </c>
      <c r="K333">
        <v>1</v>
      </c>
      <c r="L333">
        <v>9</v>
      </c>
      <c r="M333">
        <v>10</v>
      </c>
      <c r="N333" t="s">
        <v>84</v>
      </c>
      <c r="O333" t="s">
        <v>86</v>
      </c>
      <c r="P333" t="s">
        <v>90</v>
      </c>
    </row>
    <row r="334" spans="1:16" x14ac:dyDescent="0.3">
      <c r="A334">
        <v>333</v>
      </c>
      <c r="B334" s="1">
        <v>40558</v>
      </c>
      <c r="C334">
        <v>8</v>
      </c>
      <c r="D334" t="b">
        <v>0</v>
      </c>
      <c r="E334" t="s">
        <v>29</v>
      </c>
      <c r="F334" t="s">
        <v>30</v>
      </c>
      <c r="G334">
        <v>0.14000000000000001</v>
      </c>
      <c r="H334">
        <v>0.1515</v>
      </c>
      <c r="I334">
        <v>0.63</v>
      </c>
      <c r="J334">
        <v>0.1343</v>
      </c>
      <c r="K334">
        <v>1</v>
      </c>
      <c r="L334">
        <v>22</v>
      </c>
      <c r="M334">
        <v>23</v>
      </c>
      <c r="N334" t="s">
        <v>84</v>
      </c>
      <c r="O334" t="s">
        <v>86</v>
      </c>
      <c r="P334" t="s">
        <v>90</v>
      </c>
    </row>
    <row r="335" spans="1:16" x14ac:dyDescent="0.3">
      <c r="A335">
        <v>334</v>
      </c>
      <c r="B335" s="1">
        <v>40558</v>
      </c>
      <c r="C335">
        <v>9</v>
      </c>
      <c r="D335" t="b">
        <v>0</v>
      </c>
      <c r="E335" t="s">
        <v>29</v>
      </c>
      <c r="F335" t="s">
        <v>30</v>
      </c>
      <c r="G335">
        <v>0.16</v>
      </c>
      <c r="H335">
        <v>0.18179999999999999</v>
      </c>
      <c r="I335">
        <v>0.64</v>
      </c>
      <c r="J335">
        <v>0.1343</v>
      </c>
      <c r="K335">
        <v>2</v>
      </c>
      <c r="L335">
        <v>31</v>
      </c>
      <c r="M335">
        <v>33</v>
      </c>
      <c r="N335" t="s">
        <v>84</v>
      </c>
      <c r="O335" t="s">
        <v>86</v>
      </c>
      <c r="P335" t="s">
        <v>90</v>
      </c>
    </row>
    <row r="336" spans="1:16" x14ac:dyDescent="0.3">
      <c r="A336">
        <v>335</v>
      </c>
      <c r="B336" s="1">
        <v>40558</v>
      </c>
      <c r="C336">
        <v>10</v>
      </c>
      <c r="D336" t="b">
        <v>0</v>
      </c>
      <c r="E336" t="s">
        <v>29</v>
      </c>
      <c r="F336" t="s">
        <v>30</v>
      </c>
      <c r="G336">
        <v>0.18</v>
      </c>
      <c r="H336">
        <v>0.19700000000000001</v>
      </c>
      <c r="I336">
        <v>0.59</v>
      </c>
      <c r="J336">
        <v>0.16420000000000001</v>
      </c>
      <c r="K336">
        <v>2</v>
      </c>
      <c r="L336">
        <v>57</v>
      </c>
      <c r="M336">
        <v>59</v>
      </c>
      <c r="N336" t="s">
        <v>84</v>
      </c>
      <c r="O336" t="s">
        <v>85</v>
      </c>
      <c r="P336" t="s">
        <v>90</v>
      </c>
    </row>
    <row r="337" spans="1:16" x14ac:dyDescent="0.3">
      <c r="A337">
        <v>336</v>
      </c>
      <c r="B337" s="1">
        <v>40558</v>
      </c>
      <c r="C337">
        <v>11</v>
      </c>
      <c r="D337" t="b">
        <v>0</v>
      </c>
      <c r="E337" t="s">
        <v>29</v>
      </c>
      <c r="F337" t="s">
        <v>30</v>
      </c>
      <c r="G337">
        <v>0.2</v>
      </c>
      <c r="H337">
        <v>0.19700000000000001</v>
      </c>
      <c r="I337">
        <v>0.55000000000000004</v>
      </c>
      <c r="J337">
        <v>0.22389999999999999</v>
      </c>
      <c r="K337">
        <v>18</v>
      </c>
      <c r="L337">
        <v>54</v>
      </c>
      <c r="M337">
        <v>72</v>
      </c>
      <c r="N337" t="s">
        <v>84</v>
      </c>
      <c r="O337" t="s">
        <v>85</v>
      </c>
      <c r="P337" t="s">
        <v>90</v>
      </c>
    </row>
    <row r="338" spans="1:16" x14ac:dyDescent="0.3">
      <c r="A338">
        <v>337</v>
      </c>
      <c r="B338" s="1">
        <v>40558</v>
      </c>
      <c r="C338">
        <v>12</v>
      </c>
      <c r="D338" t="b">
        <v>0</v>
      </c>
      <c r="E338" t="s">
        <v>29</v>
      </c>
      <c r="F338" t="s">
        <v>30</v>
      </c>
      <c r="G338">
        <v>0.24</v>
      </c>
      <c r="H338">
        <v>0.2273</v>
      </c>
      <c r="I338">
        <v>0.48</v>
      </c>
      <c r="J338">
        <v>0.22389999999999999</v>
      </c>
      <c r="K338">
        <v>15</v>
      </c>
      <c r="L338">
        <v>74</v>
      </c>
      <c r="M338">
        <v>89</v>
      </c>
      <c r="N338" t="s">
        <v>84</v>
      </c>
      <c r="O338" t="s">
        <v>85</v>
      </c>
      <c r="P338" t="s">
        <v>90</v>
      </c>
    </row>
    <row r="339" spans="1:16" x14ac:dyDescent="0.3">
      <c r="A339">
        <v>338</v>
      </c>
      <c r="B339" s="1">
        <v>40558</v>
      </c>
      <c r="C339">
        <v>13</v>
      </c>
      <c r="D339" t="b">
        <v>0</v>
      </c>
      <c r="E339" t="s">
        <v>29</v>
      </c>
      <c r="F339" t="s">
        <v>30</v>
      </c>
      <c r="G339">
        <v>0.28000000000000003</v>
      </c>
      <c r="H339">
        <v>0.2576</v>
      </c>
      <c r="I339">
        <v>0.38</v>
      </c>
      <c r="J339">
        <v>0.29849999999999999</v>
      </c>
      <c r="K339">
        <v>21</v>
      </c>
      <c r="L339">
        <v>80</v>
      </c>
      <c r="M339">
        <v>101</v>
      </c>
      <c r="N339" t="s">
        <v>84</v>
      </c>
      <c r="O339" t="s">
        <v>85</v>
      </c>
      <c r="P339" t="s">
        <v>90</v>
      </c>
    </row>
    <row r="340" spans="1:16" x14ac:dyDescent="0.3">
      <c r="A340">
        <v>339</v>
      </c>
      <c r="B340" s="1">
        <v>40558</v>
      </c>
      <c r="C340">
        <v>14</v>
      </c>
      <c r="D340" t="b">
        <v>0</v>
      </c>
      <c r="E340" t="s">
        <v>29</v>
      </c>
      <c r="F340" t="s">
        <v>30</v>
      </c>
      <c r="G340">
        <v>0.3</v>
      </c>
      <c r="H340">
        <v>0.28789999999999999</v>
      </c>
      <c r="I340">
        <v>0.39</v>
      </c>
      <c r="J340">
        <v>0.28360000000000002</v>
      </c>
      <c r="K340">
        <v>26</v>
      </c>
      <c r="L340">
        <v>92</v>
      </c>
      <c r="M340">
        <v>118</v>
      </c>
      <c r="N340" t="s">
        <v>84</v>
      </c>
      <c r="O340" t="s">
        <v>85</v>
      </c>
      <c r="P340" t="s">
        <v>90</v>
      </c>
    </row>
    <row r="341" spans="1:16" x14ac:dyDescent="0.3">
      <c r="A341">
        <v>340</v>
      </c>
      <c r="B341" s="1">
        <v>40558</v>
      </c>
      <c r="C341">
        <v>15</v>
      </c>
      <c r="D341" t="b">
        <v>0</v>
      </c>
      <c r="E341" t="s">
        <v>29</v>
      </c>
      <c r="F341" t="s">
        <v>31</v>
      </c>
      <c r="G341">
        <v>0.32</v>
      </c>
      <c r="H341">
        <v>0.31819999999999998</v>
      </c>
      <c r="I341">
        <v>0.36</v>
      </c>
      <c r="J341">
        <v>0.19400000000000001</v>
      </c>
      <c r="K341">
        <v>21</v>
      </c>
      <c r="L341">
        <v>108</v>
      </c>
      <c r="M341">
        <v>129</v>
      </c>
      <c r="N341" t="s">
        <v>84</v>
      </c>
      <c r="O341" t="s">
        <v>85</v>
      </c>
      <c r="P341" t="s">
        <v>91</v>
      </c>
    </row>
    <row r="342" spans="1:16" x14ac:dyDescent="0.3">
      <c r="A342">
        <v>341</v>
      </c>
      <c r="B342" s="1">
        <v>40558</v>
      </c>
      <c r="C342">
        <v>16</v>
      </c>
      <c r="D342" t="b">
        <v>0</v>
      </c>
      <c r="E342" t="s">
        <v>29</v>
      </c>
      <c r="F342" t="s">
        <v>31</v>
      </c>
      <c r="G342">
        <v>0.34</v>
      </c>
      <c r="H342">
        <v>0.33329999999999999</v>
      </c>
      <c r="I342">
        <v>0.34</v>
      </c>
      <c r="J342">
        <v>0.19400000000000001</v>
      </c>
      <c r="K342">
        <v>33</v>
      </c>
      <c r="L342">
        <v>95</v>
      </c>
      <c r="M342">
        <v>128</v>
      </c>
      <c r="N342" t="s">
        <v>84</v>
      </c>
      <c r="O342" t="s">
        <v>85</v>
      </c>
      <c r="P342" t="s">
        <v>91</v>
      </c>
    </row>
    <row r="343" spans="1:16" x14ac:dyDescent="0.3">
      <c r="A343">
        <v>342</v>
      </c>
      <c r="B343" s="1">
        <v>40558</v>
      </c>
      <c r="C343">
        <v>17</v>
      </c>
      <c r="D343" t="b">
        <v>0</v>
      </c>
      <c r="E343" t="s">
        <v>29</v>
      </c>
      <c r="F343" t="s">
        <v>31</v>
      </c>
      <c r="G343">
        <v>0.32</v>
      </c>
      <c r="H343">
        <v>0.30299999999999999</v>
      </c>
      <c r="I343">
        <v>0.36</v>
      </c>
      <c r="J343">
        <v>0.28360000000000002</v>
      </c>
      <c r="K343">
        <v>29</v>
      </c>
      <c r="L343">
        <v>54</v>
      </c>
      <c r="M343">
        <v>83</v>
      </c>
      <c r="N343" t="s">
        <v>84</v>
      </c>
      <c r="O343" t="s">
        <v>87</v>
      </c>
      <c r="P343" t="s">
        <v>91</v>
      </c>
    </row>
    <row r="344" spans="1:16" x14ac:dyDescent="0.3">
      <c r="A344">
        <v>343</v>
      </c>
      <c r="B344" s="1">
        <v>40558</v>
      </c>
      <c r="C344">
        <v>18</v>
      </c>
      <c r="D344" t="b">
        <v>0</v>
      </c>
      <c r="E344" t="s">
        <v>29</v>
      </c>
      <c r="F344" t="s">
        <v>31</v>
      </c>
      <c r="G344">
        <v>0.3</v>
      </c>
      <c r="H344">
        <v>0.28789999999999999</v>
      </c>
      <c r="I344">
        <v>0.45</v>
      </c>
      <c r="J344">
        <v>0.25369999999999998</v>
      </c>
      <c r="K344">
        <v>15</v>
      </c>
      <c r="L344">
        <v>69</v>
      </c>
      <c r="M344">
        <v>84</v>
      </c>
      <c r="N344" t="s">
        <v>84</v>
      </c>
      <c r="O344" t="s">
        <v>87</v>
      </c>
      <c r="P344" t="s">
        <v>91</v>
      </c>
    </row>
    <row r="345" spans="1:16" x14ac:dyDescent="0.3">
      <c r="A345">
        <v>344</v>
      </c>
      <c r="B345" s="1">
        <v>40558</v>
      </c>
      <c r="C345">
        <v>19</v>
      </c>
      <c r="D345" t="b">
        <v>0</v>
      </c>
      <c r="E345" t="s">
        <v>29</v>
      </c>
      <c r="F345" t="s">
        <v>31</v>
      </c>
      <c r="G345">
        <v>0.32</v>
      </c>
      <c r="H345">
        <v>0.30299999999999999</v>
      </c>
      <c r="I345">
        <v>0.39</v>
      </c>
      <c r="J345">
        <v>0.25369999999999998</v>
      </c>
      <c r="K345">
        <v>14</v>
      </c>
      <c r="L345">
        <v>60</v>
      </c>
      <c r="M345">
        <v>74</v>
      </c>
      <c r="N345" t="s">
        <v>84</v>
      </c>
      <c r="O345" t="s">
        <v>87</v>
      </c>
      <c r="P345" t="s">
        <v>91</v>
      </c>
    </row>
    <row r="346" spans="1:16" x14ac:dyDescent="0.3">
      <c r="A346">
        <v>345</v>
      </c>
      <c r="B346" s="1">
        <v>40558</v>
      </c>
      <c r="C346">
        <v>20</v>
      </c>
      <c r="D346" t="b">
        <v>0</v>
      </c>
      <c r="E346" t="s">
        <v>29</v>
      </c>
      <c r="F346" t="s">
        <v>31</v>
      </c>
      <c r="G346">
        <v>0.32</v>
      </c>
      <c r="H346">
        <v>0.30299999999999999</v>
      </c>
      <c r="I346">
        <v>0.39</v>
      </c>
      <c r="J346">
        <v>0.25369999999999998</v>
      </c>
      <c r="K346">
        <v>6</v>
      </c>
      <c r="L346">
        <v>35</v>
      </c>
      <c r="M346">
        <v>41</v>
      </c>
      <c r="N346" t="s">
        <v>84</v>
      </c>
      <c r="O346" t="s">
        <v>85</v>
      </c>
      <c r="P346" t="s">
        <v>91</v>
      </c>
    </row>
    <row r="347" spans="1:16" x14ac:dyDescent="0.3">
      <c r="A347">
        <v>346</v>
      </c>
      <c r="B347" s="1">
        <v>40558</v>
      </c>
      <c r="C347">
        <v>21</v>
      </c>
      <c r="D347" t="b">
        <v>0</v>
      </c>
      <c r="E347" t="s">
        <v>29</v>
      </c>
      <c r="F347" t="s">
        <v>31</v>
      </c>
      <c r="G347">
        <v>0.32</v>
      </c>
      <c r="H347">
        <v>0.30299999999999999</v>
      </c>
      <c r="I347">
        <v>0.39</v>
      </c>
      <c r="J347">
        <v>0.22389999999999999</v>
      </c>
      <c r="K347">
        <v>6</v>
      </c>
      <c r="L347">
        <v>51</v>
      </c>
      <c r="M347">
        <v>57</v>
      </c>
      <c r="N347" t="s">
        <v>84</v>
      </c>
      <c r="O347" t="s">
        <v>85</v>
      </c>
      <c r="P347" t="s">
        <v>91</v>
      </c>
    </row>
    <row r="348" spans="1:16" x14ac:dyDescent="0.3">
      <c r="A348">
        <v>347</v>
      </c>
      <c r="B348" s="1">
        <v>40558</v>
      </c>
      <c r="C348">
        <v>22</v>
      </c>
      <c r="D348" t="b">
        <v>0</v>
      </c>
      <c r="E348" t="s">
        <v>29</v>
      </c>
      <c r="F348" t="s">
        <v>31</v>
      </c>
      <c r="G348">
        <v>0.3</v>
      </c>
      <c r="H348">
        <v>0.31819999999999998</v>
      </c>
      <c r="I348">
        <v>0.42</v>
      </c>
      <c r="J348">
        <v>0.1045</v>
      </c>
      <c r="K348">
        <v>0</v>
      </c>
      <c r="L348">
        <v>26</v>
      </c>
      <c r="M348">
        <v>26</v>
      </c>
      <c r="N348" t="s">
        <v>84</v>
      </c>
      <c r="O348" t="s">
        <v>85</v>
      </c>
      <c r="P348" t="s">
        <v>91</v>
      </c>
    </row>
    <row r="349" spans="1:16" x14ac:dyDescent="0.3">
      <c r="A349">
        <v>348</v>
      </c>
      <c r="B349" s="1">
        <v>40558</v>
      </c>
      <c r="C349">
        <v>23</v>
      </c>
      <c r="D349" t="b">
        <v>0</v>
      </c>
      <c r="E349" t="s">
        <v>29</v>
      </c>
      <c r="F349" t="s">
        <v>30</v>
      </c>
      <c r="G349">
        <v>0.3</v>
      </c>
      <c r="H349">
        <v>0.28789999999999999</v>
      </c>
      <c r="I349">
        <v>0.45</v>
      </c>
      <c r="J349">
        <v>0.28360000000000002</v>
      </c>
      <c r="K349">
        <v>5</v>
      </c>
      <c r="L349">
        <v>39</v>
      </c>
      <c r="M349">
        <v>44</v>
      </c>
      <c r="N349" t="s">
        <v>84</v>
      </c>
      <c r="O349" t="s">
        <v>85</v>
      </c>
      <c r="P349" t="s">
        <v>90</v>
      </c>
    </row>
    <row r="350" spans="1:16" x14ac:dyDescent="0.3">
      <c r="A350">
        <v>349</v>
      </c>
      <c r="B350" s="1">
        <v>40559</v>
      </c>
      <c r="C350">
        <v>0</v>
      </c>
      <c r="D350" t="b">
        <v>0</v>
      </c>
      <c r="E350" t="s">
        <v>23</v>
      </c>
      <c r="F350" t="s">
        <v>30</v>
      </c>
      <c r="G350">
        <v>0.26</v>
      </c>
      <c r="H350">
        <v>0.30299999999999999</v>
      </c>
      <c r="I350">
        <v>0.56000000000000005</v>
      </c>
      <c r="J350">
        <v>0</v>
      </c>
      <c r="K350">
        <v>6</v>
      </c>
      <c r="L350">
        <v>33</v>
      </c>
      <c r="M350">
        <v>39</v>
      </c>
      <c r="N350" t="s">
        <v>84</v>
      </c>
      <c r="O350" t="s">
        <v>85</v>
      </c>
      <c r="P350" t="s">
        <v>90</v>
      </c>
    </row>
    <row r="351" spans="1:16" x14ac:dyDescent="0.3">
      <c r="A351">
        <v>350</v>
      </c>
      <c r="B351" s="1">
        <v>40559</v>
      </c>
      <c r="C351">
        <v>1</v>
      </c>
      <c r="D351" t="b">
        <v>0</v>
      </c>
      <c r="E351" t="s">
        <v>23</v>
      </c>
      <c r="F351" t="s">
        <v>30</v>
      </c>
      <c r="G351">
        <v>0.26</v>
      </c>
      <c r="H351">
        <v>0.2727</v>
      </c>
      <c r="I351">
        <v>0.56000000000000005</v>
      </c>
      <c r="J351">
        <v>0.1343</v>
      </c>
      <c r="K351">
        <v>4</v>
      </c>
      <c r="L351">
        <v>19</v>
      </c>
      <c r="M351">
        <v>23</v>
      </c>
      <c r="N351" t="s">
        <v>84</v>
      </c>
      <c r="O351" t="s">
        <v>85</v>
      </c>
      <c r="P351" t="s">
        <v>90</v>
      </c>
    </row>
    <row r="352" spans="1:16" x14ac:dyDescent="0.3">
      <c r="A352">
        <v>351</v>
      </c>
      <c r="B352" s="1">
        <v>40559</v>
      </c>
      <c r="C352">
        <v>2</v>
      </c>
      <c r="D352" t="b">
        <v>0</v>
      </c>
      <c r="E352" t="s">
        <v>23</v>
      </c>
      <c r="F352" t="s">
        <v>30</v>
      </c>
      <c r="G352">
        <v>0.26</v>
      </c>
      <c r="H352">
        <v>0.28789999999999999</v>
      </c>
      <c r="I352">
        <v>0.56000000000000005</v>
      </c>
      <c r="J352">
        <v>8.9599999999999999E-2</v>
      </c>
      <c r="K352">
        <v>3</v>
      </c>
      <c r="L352">
        <v>13</v>
      </c>
      <c r="M352">
        <v>16</v>
      </c>
      <c r="N352" t="s">
        <v>84</v>
      </c>
      <c r="O352" t="s">
        <v>85</v>
      </c>
      <c r="P352" t="s">
        <v>90</v>
      </c>
    </row>
    <row r="353" spans="1:16" x14ac:dyDescent="0.3">
      <c r="A353">
        <v>352</v>
      </c>
      <c r="B353" s="1">
        <v>40559</v>
      </c>
      <c r="C353">
        <v>3</v>
      </c>
      <c r="D353" t="b">
        <v>0</v>
      </c>
      <c r="E353" t="s">
        <v>23</v>
      </c>
      <c r="F353" t="s">
        <v>30</v>
      </c>
      <c r="G353">
        <v>0.22</v>
      </c>
      <c r="H353">
        <v>0.2727</v>
      </c>
      <c r="I353">
        <v>0.69</v>
      </c>
      <c r="J353">
        <v>0</v>
      </c>
      <c r="K353">
        <v>9</v>
      </c>
      <c r="L353">
        <v>6</v>
      </c>
      <c r="M353">
        <v>15</v>
      </c>
      <c r="N353" t="s">
        <v>84</v>
      </c>
      <c r="O353" t="s">
        <v>85</v>
      </c>
      <c r="P353" t="s">
        <v>90</v>
      </c>
    </row>
    <row r="354" spans="1:16" x14ac:dyDescent="0.3">
      <c r="A354">
        <v>353</v>
      </c>
      <c r="B354" s="1">
        <v>40559</v>
      </c>
      <c r="C354">
        <v>4</v>
      </c>
      <c r="D354" t="b">
        <v>0</v>
      </c>
      <c r="E354" t="s">
        <v>23</v>
      </c>
      <c r="F354" t="s">
        <v>30</v>
      </c>
      <c r="G354">
        <v>0.26</v>
      </c>
      <c r="H354">
        <v>0.2576</v>
      </c>
      <c r="I354">
        <v>0.56000000000000005</v>
      </c>
      <c r="J354">
        <v>0.16420000000000001</v>
      </c>
      <c r="K354">
        <v>0</v>
      </c>
      <c r="L354">
        <v>1</v>
      </c>
      <c r="M354">
        <v>1</v>
      </c>
      <c r="N354" t="s">
        <v>84</v>
      </c>
      <c r="O354" t="s">
        <v>85</v>
      </c>
      <c r="P354" t="s">
        <v>90</v>
      </c>
    </row>
    <row r="355" spans="1:16" x14ac:dyDescent="0.3">
      <c r="A355">
        <v>354</v>
      </c>
      <c r="B355" s="1">
        <v>40559</v>
      </c>
      <c r="C355">
        <v>5</v>
      </c>
      <c r="D355" t="b">
        <v>0</v>
      </c>
      <c r="E355" t="s">
        <v>23</v>
      </c>
      <c r="F355" t="s">
        <v>31</v>
      </c>
      <c r="G355">
        <v>0.26</v>
      </c>
      <c r="H355">
        <v>0.2576</v>
      </c>
      <c r="I355">
        <v>0.56000000000000005</v>
      </c>
      <c r="J355">
        <v>0.16420000000000001</v>
      </c>
      <c r="K355">
        <v>1</v>
      </c>
      <c r="L355">
        <v>1</v>
      </c>
      <c r="M355">
        <v>2</v>
      </c>
      <c r="N355" t="s">
        <v>84</v>
      </c>
      <c r="O355" t="s">
        <v>85</v>
      </c>
      <c r="P355" t="s">
        <v>91</v>
      </c>
    </row>
    <row r="356" spans="1:16" x14ac:dyDescent="0.3">
      <c r="A356">
        <v>355</v>
      </c>
      <c r="B356" s="1">
        <v>40559</v>
      </c>
      <c r="C356">
        <v>6</v>
      </c>
      <c r="D356" t="b">
        <v>0</v>
      </c>
      <c r="E356" t="s">
        <v>23</v>
      </c>
      <c r="F356" t="s">
        <v>31</v>
      </c>
      <c r="G356">
        <v>0.26</v>
      </c>
      <c r="H356">
        <v>0.2576</v>
      </c>
      <c r="I356">
        <v>0.56000000000000005</v>
      </c>
      <c r="J356">
        <v>0.16420000000000001</v>
      </c>
      <c r="K356">
        <v>0</v>
      </c>
      <c r="L356">
        <v>1</v>
      </c>
      <c r="M356">
        <v>1</v>
      </c>
      <c r="N356" t="s">
        <v>84</v>
      </c>
      <c r="O356" t="s">
        <v>85</v>
      </c>
      <c r="P356" t="s">
        <v>91</v>
      </c>
    </row>
    <row r="357" spans="1:16" x14ac:dyDescent="0.3">
      <c r="A357">
        <v>356</v>
      </c>
      <c r="B357" s="1">
        <v>40559</v>
      </c>
      <c r="C357">
        <v>7</v>
      </c>
      <c r="D357" t="b">
        <v>0</v>
      </c>
      <c r="E357" t="s">
        <v>23</v>
      </c>
      <c r="F357" t="s">
        <v>31</v>
      </c>
      <c r="G357">
        <v>0.24</v>
      </c>
      <c r="H357">
        <v>0.21210000000000001</v>
      </c>
      <c r="I357">
        <v>0.56000000000000005</v>
      </c>
      <c r="J357">
        <v>0.29849999999999999</v>
      </c>
      <c r="K357">
        <v>0</v>
      </c>
      <c r="L357">
        <v>3</v>
      </c>
      <c r="M357">
        <v>3</v>
      </c>
      <c r="N357" t="s">
        <v>84</v>
      </c>
      <c r="O357" t="s">
        <v>86</v>
      </c>
      <c r="P357" t="s">
        <v>91</v>
      </c>
    </row>
    <row r="358" spans="1:16" x14ac:dyDescent="0.3">
      <c r="A358">
        <v>357</v>
      </c>
      <c r="B358" s="1">
        <v>40559</v>
      </c>
      <c r="C358">
        <v>8</v>
      </c>
      <c r="D358" t="b">
        <v>0</v>
      </c>
      <c r="E358" t="s">
        <v>23</v>
      </c>
      <c r="F358" t="s">
        <v>30</v>
      </c>
      <c r="G358">
        <v>0.22</v>
      </c>
      <c r="H358">
        <v>0.21210000000000001</v>
      </c>
      <c r="I358">
        <v>0.55000000000000004</v>
      </c>
      <c r="J358">
        <v>0.28360000000000002</v>
      </c>
      <c r="K358">
        <v>0</v>
      </c>
      <c r="L358">
        <v>18</v>
      </c>
      <c r="M358">
        <v>18</v>
      </c>
      <c r="N358" t="s">
        <v>84</v>
      </c>
      <c r="O358" t="s">
        <v>86</v>
      </c>
      <c r="P358" t="s">
        <v>90</v>
      </c>
    </row>
    <row r="359" spans="1:16" x14ac:dyDescent="0.3">
      <c r="A359">
        <v>358</v>
      </c>
      <c r="B359" s="1">
        <v>40559</v>
      </c>
      <c r="C359">
        <v>9</v>
      </c>
      <c r="D359" t="b">
        <v>0</v>
      </c>
      <c r="E359" t="s">
        <v>23</v>
      </c>
      <c r="F359" t="s">
        <v>30</v>
      </c>
      <c r="G359">
        <v>0.22</v>
      </c>
      <c r="H359">
        <v>0.21210000000000001</v>
      </c>
      <c r="I359">
        <v>0.51</v>
      </c>
      <c r="J359">
        <v>0.25369999999999998</v>
      </c>
      <c r="K359">
        <v>3</v>
      </c>
      <c r="L359">
        <v>29</v>
      </c>
      <c r="M359">
        <v>32</v>
      </c>
      <c r="N359" t="s">
        <v>84</v>
      </c>
      <c r="O359" t="s">
        <v>86</v>
      </c>
      <c r="P359" t="s">
        <v>90</v>
      </c>
    </row>
    <row r="360" spans="1:16" x14ac:dyDescent="0.3">
      <c r="A360">
        <v>359</v>
      </c>
      <c r="B360" s="1">
        <v>40559</v>
      </c>
      <c r="C360">
        <v>10</v>
      </c>
      <c r="D360" t="b">
        <v>0</v>
      </c>
      <c r="E360" t="s">
        <v>23</v>
      </c>
      <c r="F360" t="s">
        <v>30</v>
      </c>
      <c r="G360">
        <v>0.22</v>
      </c>
      <c r="H360">
        <v>0.21210000000000001</v>
      </c>
      <c r="I360">
        <v>0.51</v>
      </c>
      <c r="J360">
        <v>0.28360000000000002</v>
      </c>
      <c r="K360">
        <v>8</v>
      </c>
      <c r="L360">
        <v>71</v>
      </c>
      <c r="M360">
        <v>79</v>
      </c>
      <c r="N360" t="s">
        <v>84</v>
      </c>
      <c r="O360" t="s">
        <v>85</v>
      </c>
      <c r="P360" t="s">
        <v>90</v>
      </c>
    </row>
    <row r="361" spans="1:16" x14ac:dyDescent="0.3">
      <c r="A361">
        <v>360</v>
      </c>
      <c r="B361" s="1">
        <v>40559</v>
      </c>
      <c r="C361">
        <v>11</v>
      </c>
      <c r="D361" t="b">
        <v>0</v>
      </c>
      <c r="E361" t="s">
        <v>23</v>
      </c>
      <c r="F361" t="s">
        <v>30</v>
      </c>
      <c r="G361">
        <v>0.24</v>
      </c>
      <c r="H361">
        <v>0.2273</v>
      </c>
      <c r="I361">
        <v>0.44</v>
      </c>
      <c r="J361">
        <v>0.25369999999999998</v>
      </c>
      <c r="K361">
        <v>23</v>
      </c>
      <c r="L361">
        <v>70</v>
      </c>
      <c r="M361">
        <v>93</v>
      </c>
      <c r="N361" t="s">
        <v>84</v>
      </c>
      <c r="O361" t="s">
        <v>85</v>
      </c>
      <c r="P361" t="s">
        <v>90</v>
      </c>
    </row>
    <row r="362" spans="1:16" x14ac:dyDescent="0.3">
      <c r="A362">
        <v>361</v>
      </c>
      <c r="B362" s="1">
        <v>40559</v>
      </c>
      <c r="C362">
        <v>12</v>
      </c>
      <c r="D362" t="b">
        <v>0</v>
      </c>
      <c r="E362" t="s">
        <v>23</v>
      </c>
      <c r="F362" t="s">
        <v>30</v>
      </c>
      <c r="G362">
        <v>0.24</v>
      </c>
      <c r="H362">
        <v>0.21210000000000001</v>
      </c>
      <c r="I362">
        <v>0.41</v>
      </c>
      <c r="J362">
        <v>0.28360000000000002</v>
      </c>
      <c r="K362">
        <v>29</v>
      </c>
      <c r="L362">
        <v>75</v>
      </c>
      <c r="M362">
        <v>104</v>
      </c>
      <c r="N362" t="s">
        <v>84</v>
      </c>
      <c r="O362" t="s">
        <v>85</v>
      </c>
      <c r="P362" t="s">
        <v>90</v>
      </c>
    </row>
    <row r="363" spans="1:16" x14ac:dyDescent="0.3">
      <c r="A363">
        <v>362</v>
      </c>
      <c r="B363" s="1">
        <v>40559</v>
      </c>
      <c r="C363">
        <v>13</v>
      </c>
      <c r="D363" t="b">
        <v>0</v>
      </c>
      <c r="E363" t="s">
        <v>23</v>
      </c>
      <c r="F363" t="s">
        <v>30</v>
      </c>
      <c r="G363">
        <v>0.26</v>
      </c>
      <c r="H363">
        <v>0.2273</v>
      </c>
      <c r="I363">
        <v>0.35</v>
      </c>
      <c r="J363">
        <v>0.29849999999999999</v>
      </c>
      <c r="K363">
        <v>23</v>
      </c>
      <c r="L363">
        <v>95</v>
      </c>
      <c r="M363">
        <v>118</v>
      </c>
      <c r="N363" t="s">
        <v>84</v>
      </c>
      <c r="O363" t="s">
        <v>85</v>
      </c>
      <c r="P363" t="s">
        <v>90</v>
      </c>
    </row>
    <row r="364" spans="1:16" x14ac:dyDescent="0.3">
      <c r="A364">
        <v>363</v>
      </c>
      <c r="B364" s="1">
        <v>40559</v>
      </c>
      <c r="C364">
        <v>14</v>
      </c>
      <c r="D364" t="b">
        <v>0</v>
      </c>
      <c r="E364" t="s">
        <v>23</v>
      </c>
      <c r="F364" t="s">
        <v>30</v>
      </c>
      <c r="G364">
        <v>0.28000000000000003</v>
      </c>
      <c r="H364">
        <v>0.2727</v>
      </c>
      <c r="I364">
        <v>0.36</v>
      </c>
      <c r="J364">
        <v>0.25369999999999998</v>
      </c>
      <c r="K364">
        <v>22</v>
      </c>
      <c r="L364">
        <v>69</v>
      </c>
      <c r="M364">
        <v>91</v>
      </c>
      <c r="N364" t="s">
        <v>84</v>
      </c>
      <c r="O364" t="s">
        <v>85</v>
      </c>
      <c r="P364" t="s">
        <v>90</v>
      </c>
    </row>
    <row r="365" spans="1:16" x14ac:dyDescent="0.3">
      <c r="A365">
        <v>364</v>
      </c>
      <c r="B365" s="1">
        <v>40559</v>
      </c>
      <c r="C365">
        <v>15</v>
      </c>
      <c r="D365" t="b">
        <v>0</v>
      </c>
      <c r="E365" t="s">
        <v>23</v>
      </c>
      <c r="F365" t="s">
        <v>30</v>
      </c>
      <c r="G365">
        <v>0.26</v>
      </c>
      <c r="H365">
        <v>0.2424</v>
      </c>
      <c r="I365">
        <v>0.38</v>
      </c>
      <c r="J365">
        <v>0.25369999999999998</v>
      </c>
      <c r="K365">
        <v>35</v>
      </c>
      <c r="L365">
        <v>78</v>
      </c>
      <c r="M365">
        <v>113</v>
      </c>
      <c r="N365" t="s">
        <v>84</v>
      </c>
      <c r="O365" t="s">
        <v>85</v>
      </c>
      <c r="P365" t="s">
        <v>90</v>
      </c>
    </row>
    <row r="366" spans="1:16" x14ac:dyDescent="0.3">
      <c r="A366">
        <v>365</v>
      </c>
      <c r="B366" s="1">
        <v>40559</v>
      </c>
      <c r="C366">
        <v>16</v>
      </c>
      <c r="D366" t="b">
        <v>0</v>
      </c>
      <c r="E366" t="s">
        <v>23</v>
      </c>
      <c r="F366" t="s">
        <v>30</v>
      </c>
      <c r="G366">
        <v>0.24</v>
      </c>
      <c r="H366">
        <v>0.2273</v>
      </c>
      <c r="I366">
        <v>0.38</v>
      </c>
      <c r="J366">
        <v>0.22389999999999999</v>
      </c>
      <c r="K366">
        <v>22</v>
      </c>
      <c r="L366">
        <v>77</v>
      </c>
      <c r="M366">
        <v>99</v>
      </c>
      <c r="N366" t="s">
        <v>84</v>
      </c>
      <c r="O366" t="s">
        <v>85</v>
      </c>
      <c r="P366" t="s">
        <v>90</v>
      </c>
    </row>
    <row r="367" spans="1:16" x14ac:dyDescent="0.3">
      <c r="A367">
        <v>366</v>
      </c>
      <c r="B367" s="1">
        <v>40559</v>
      </c>
      <c r="C367">
        <v>17</v>
      </c>
      <c r="D367" t="b">
        <v>0</v>
      </c>
      <c r="E367" t="s">
        <v>23</v>
      </c>
      <c r="F367" t="s">
        <v>30</v>
      </c>
      <c r="G367">
        <v>0.22</v>
      </c>
      <c r="H367">
        <v>0.21210000000000001</v>
      </c>
      <c r="I367">
        <v>0.37</v>
      </c>
      <c r="J367">
        <v>0.25369999999999998</v>
      </c>
      <c r="K367">
        <v>23</v>
      </c>
      <c r="L367">
        <v>82</v>
      </c>
      <c r="M367">
        <v>105</v>
      </c>
      <c r="N367" t="s">
        <v>84</v>
      </c>
      <c r="O367" t="s">
        <v>87</v>
      </c>
      <c r="P367" t="s">
        <v>90</v>
      </c>
    </row>
    <row r="368" spans="1:16" x14ac:dyDescent="0.3">
      <c r="A368">
        <v>367</v>
      </c>
      <c r="B368" s="1">
        <v>40559</v>
      </c>
      <c r="C368">
        <v>18</v>
      </c>
      <c r="D368" t="b">
        <v>0</v>
      </c>
      <c r="E368" t="s">
        <v>23</v>
      </c>
      <c r="F368" t="s">
        <v>30</v>
      </c>
      <c r="G368">
        <v>0.2</v>
      </c>
      <c r="H368">
        <v>0.21210000000000001</v>
      </c>
      <c r="I368">
        <v>0.4</v>
      </c>
      <c r="J368">
        <v>0.16420000000000001</v>
      </c>
      <c r="K368">
        <v>11</v>
      </c>
      <c r="L368">
        <v>56</v>
      </c>
      <c r="M368">
        <v>67</v>
      </c>
      <c r="N368" t="s">
        <v>84</v>
      </c>
      <c r="O368" t="s">
        <v>87</v>
      </c>
      <c r="P368" t="s">
        <v>90</v>
      </c>
    </row>
    <row r="369" spans="1:16" x14ac:dyDescent="0.3">
      <c r="A369">
        <v>368</v>
      </c>
      <c r="B369" s="1">
        <v>40559</v>
      </c>
      <c r="C369">
        <v>19</v>
      </c>
      <c r="D369" t="b">
        <v>0</v>
      </c>
      <c r="E369" t="s">
        <v>23</v>
      </c>
      <c r="F369" t="s">
        <v>30</v>
      </c>
      <c r="G369">
        <v>0.18</v>
      </c>
      <c r="H369">
        <v>0.19700000000000001</v>
      </c>
      <c r="I369">
        <v>0.47</v>
      </c>
      <c r="J369">
        <v>0.1343</v>
      </c>
      <c r="K369">
        <v>14</v>
      </c>
      <c r="L369">
        <v>47</v>
      </c>
      <c r="M369">
        <v>61</v>
      </c>
      <c r="N369" t="s">
        <v>84</v>
      </c>
      <c r="O369" t="s">
        <v>87</v>
      </c>
      <c r="P369" t="s">
        <v>90</v>
      </c>
    </row>
    <row r="370" spans="1:16" x14ac:dyDescent="0.3">
      <c r="A370">
        <v>369</v>
      </c>
      <c r="B370" s="1">
        <v>40559</v>
      </c>
      <c r="C370">
        <v>20</v>
      </c>
      <c r="D370" t="b">
        <v>0</v>
      </c>
      <c r="E370" t="s">
        <v>23</v>
      </c>
      <c r="F370" t="s">
        <v>30</v>
      </c>
      <c r="G370">
        <v>0.18</v>
      </c>
      <c r="H370">
        <v>0.19700000000000001</v>
      </c>
      <c r="I370">
        <v>0.47</v>
      </c>
      <c r="J370">
        <v>0.16420000000000001</v>
      </c>
      <c r="K370">
        <v>7</v>
      </c>
      <c r="L370">
        <v>50</v>
      </c>
      <c r="M370">
        <v>57</v>
      </c>
      <c r="N370" t="s">
        <v>84</v>
      </c>
      <c r="O370" t="s">
        <v>85</v>
      </c>
      <c r="P370" t="s">
        <v>90</v>
      </c>
    </row>
    <row r="371" spans="1:16" x14ac:dyDescent="0.3">
      <c r="A371">
        <v>370</v>
      </c>
      <c r="B371" s="1">
        <v>40559</v>
      </c>
      <c r="C371">
        <v>21</v>
      </c>
      <c r="D371" t="b">
        <v>0</v>
      </c>
      <c r="E371" t="s">
        <v>23</v>
      </c>
      <c r="F371" t="s">
        <v>30</v>
      </c>
      <c r="G371">
        <v>0.18</v>
      </c>
      <c r="H371">
        <v>0.19700000000000001</v>
      </c>
      <c r="I371">
        <v>0.51</v>
      </c>
      <c r="J371">
        <v>0.16420000000000001</v>
      </c>
      <c r="K371">
        <v>6</v>
      </c>
      <c r="L371">
        <v>22</v>
      </c>
      <c r="M371">
        <v>28</v>
      </c>
      <c r="N371" t="s">
        <v>84</v>
      </c>
      <c r="O371" t="s">
        <v>85</v>
      </c>
      <c r="P371" t="s">
        <v>90</v>
      </c>
    </row>
    <row r="372" spans="1:16" x14ac:dyDescent="0.3">
      <c r="A372">
        <v>371</v>
      </c>
      <c r="B372" s="1">
        <v>40559</v>
      </c>
      <c r="C372">
        <v>22</v>
      </c>
      <c r="D372" t="b">
        <v>0</v>
      </c>
      <c r="E372" t="s">
        <v>23</v>
      </c>
      <c r="F372" t="s">
        <v>31</v>
      </c>
      <c r="G372">
        <v>0.2</v>
      </c>
      <c r="H372">
        <v>0.21210000000000001</v>
      </c>
      <c r="I372">
        <v>0.49</v>
      </c>
      <c r="J372">
        <v>0.1343</v>
      </c>
      <c r="K372">
        <v>2</v>
      </c>
      <c r="L372">
        <v>19</v>
      </c>
      <c r="M372">
        <v>21</v>
      </c>
      <c r="N372" t="s">
        <v>84</v>
      </c>
      <c r="O372" t="s">
        <v>85</v>
      </c>
      <c r="P372" t="s">
        <v>91</v>
      </c>
    </row>
    <row r="373" spans="1:16" x14ac:dyDescent="0.3">
      <c r="A373">
        <v>372</v>
      </c>
      <c r="B373" s="1">
        <v>40559</v>
      </c>
      <c r="C373">
        <v>23</v>
      </c>
      <c r="D373" t="b">
        <v>0</v>
      </c>
      <c r="E373" t="s">
        <v>23</v>
      </c>
      <c r="F373" t="s">
        <v>31</v>
      </c>
      <c r="G373">
        <v>0.2</v>
      </c>
      <c r="H373">
        <v>0.2273</v>
      </c>
      <c r="I373">
        <v>0.4</v>
      </c>
      <c r="J373">
        <v>0.1045</v>
      </c>
      <c r="K373">
        <v>0</v>
      </c>
      <c r="L373">
        <v>18</v>
      </c>
      <c r="M373">
        <v>18</v>
      </c>
      <c r="N373" t="s">
        <v>84</v>
      </c>
      <c r="O373" t="s">
        <v>85</v>
      </c>
      <c r="P373" t="s">
        <v>91</v>
      </c>
    </row>
    <row r="374" spans="1:16" x14ac:dyDescent="0.3">
      <c r="A374">
        <v>373</v>
      </c>
      <c r="B374" s="1">
        <v>40560</v>
      </c>
      <c r="C374">
        <v>0</v>
      </c>
      <c r="D374" t="b">
        <v>1</v>
      </c>
      <c r="E374" t="s">
        <v>24</v>
      </c>
      <c r="F374" t="s">
        <v>31</v>
      </c>
      <c r="G374">
        <v>0.2</v>
      </c>
      <c r="H374">
        <v>0.19700000000000001</v>
      </c>
      <c r="I374">
        <v>0.47</v>
      </c>
      <c r="J374">
        <v>0.22389999999999999</v>
      </c>
      <c r="K374">
        <v>1</v>
      </c>
      <c r="L374">
        <v>16</v>
      </c>
      <c r="M374">
        <v>17</v>
      </c>
      <c r="N374" t="s">
        <v>18</v>
      </c>
      <c r="O374" t="s">
        <v>85</v>
      </c>
      <c r="P374" t="s">
        <v>91</v>
      </c>
    </row>
    <row r="375" spans="1:16" x14ac:dyDescent="0.3">
      <c r="A375">
        <v>374</v>
      </c>
      <c r="B375" s="1">
        <v>40560</v>
      </c>
      <c r="C375">
        <v>1</v>
      </c>
      <c r="D375" t="b">
        <v>1</v>
      </c>
      <c r="E375" t="s">
        <v>24</v>
      </c>
      <c r="F375" t="s">
        <v>31</v>
      </c>
      <c r="G375">
        <v>0.2</v>
      </c>
      <c r="H375">
        <v>0.19700000000000001</v>
      </c>
      <c r="I375">
        <v>0.44</v>
      </c>
      <c r="J375">
        <v>0.19400000000000001</v>
      </c>
      <c r="K375">
        <v>1</v>
      </c>
      <c r="L375">
        <v>15</v>
      </c>
      <c r="M375">
        <v>16</v>
      </c>
      <c r="N375" t="s">
        <v>18</v>
      </c>
      <c r="O375" t="s">
        <v>85</v>
      </c>
      <c r="P375" t="s">
        <v>91</v>
      </c>
    </row>
    <row r="376" spans="1:16" x14ac:dyDescent="0.3">
      <c r="A376">
        <v>375</v>
      </c>
      <c r="B376" s="1">
        <v>40560</v>
      </c>
      <c r="C376">
        <v>2</v>
      </c>
      <c r="D376" t="b">
        <v>1</v>
      </c>
      <c r="E376" t="s">
        <v>24</v>
      </c>
      <c r="F376" t="s">
        <v>31</v>
      </c>
      <c r="G376">
        <v>0.18</v>
      </c>
      <c r="H376">
        <v>0.16669999999999999</v>
      </c>
      <c r="I376">
        <v>0.43</v>
      </c>
      <c r="J376">
        <v>0.25369999999999998</v>
      </c>
      <c r="K376">
        <v>0</v>
      </c>
      <c r="L376">
        <v>8</v>
      </c>
      <c r="M376">
        <v>8</v>
      </c>
      <c r="N376" t="s">
        <v>18</v>
      </c>
      <c r="O376" t="s">
        <v>85</v>
      </c>
      <c r="P376" t="s">
        <v>91</v>
      </c>
    </row>
    <row r="377" spans="1:16" x14ac:dyDescent="0.3">
      <c r="A377">
        <v>376</v>
      </c>
      <c r="B377" s="1">
        <v>40560</v>
      </c>
      <c r="C377">
        <v>3</v>
      </c>
      <c r="D377" t="b">
        <v>1</v>
      </c>
      <c r="E377" t="s">
        <v>24</v>
      </c>
      <c r="F377" t="s">
        <v>31</v>
      </c>
      <c r="G377">
        <v>0.18</v>
      </c>
      <c r="H377">
        <v>0.18179999999999999</v>
      </c>
      <c r="I377">
        <v>0.43</v>
      </c>
      <c r="J377">
        <v>0.19400000000000001</v>
      </c>
      <c r="K377">
        <v>0</v>
      </c>
      <c r="L377">
        <v>2</v>
      </c>
      <c r="M377">
        <v>2</v>
      </c>
      <c r="N377" t="s">
        <v>18</v>
      </c>
      <c r="O377" t="s">
        <v>85</v>
      </c>
      <c r="P377" t="s">
        <v>91</v>
      </c>
    </row>
    <row r="378" spans="1:16" x14ac:dyDescent="0.3">
      <c r="A378">
        <v>377</v>
      </c>
      <c r="B378" s="1">
        <v>40560</v>
      </c>
      <c r="C378">
        <v>4</v>
      </c>
      <c r="D378" t="b">
        <v>1</v>
      </c>
      <c r="E378" t="s">
        <v>24</v>
      </c>
      <c r="F378" t="s">
        <v>31</v>
      </c>
      <c r="G378">
        <v>0.18</v>
      </c>
      <c r="H378">
        <v>0.19700000000000001</v>
      </c>
      <c r="I378">
        <v>0.43</v>
      </c>
      <c r="J378">
        <v>0.1343</v>
      </c>
      <c r="K378">
        <v>1</v>
      </c>
      <c r="L378">
        <v>2</v>
      </c>
      <c r="M378">
        <v>3</v>
      </c>
      <c r="N378" t="s">
        <v>18</v>
      </c>
      <c r="O378" t="s">
        <v>85</v>
      </c>
      <c r="P378" t="s">
        <v>91</v>
      </c>
    </row>
    <row r="379" spans="1:16" x14ac:dyDescent="0.3">
      <c r="A379">
        <v>378</v>
      </c>
      <c r="B379" s="1">
        <v>40560</v>
      </c>
      <c r="C379">
        <v>5</v>
      </c>
      <c r="D379" t="b">
        <v>1</v>
      </c>
      <c r="E379" t="s">
        <v>24</v>
      </c>
      <c r="F379" t="s">
        <v>31</v>
      </c>
      <c r="G379">
        <v>0.18</v>
      </c>
      <c r="H379">
        <v>0.19700000000000001</v>
      </c>
      <c r="I379">
        <v>0.43</v>
      </c>
      <c r="J379">
        <v>0.16420000000000001</v>
      </c>
      <c r="K379">
        <v>0</v>
      </c>
      <c r="L379">
        <v>1</v>
      </c>
      <c r="M379">
        <v>1</v>
      </c>
      <c r="N379" t="s">
        <v>18</v>
      </c>
      <c r="O379" t="s">
        <v>85</v>
      </c>
      <c r="P379" t="s">
        <v>91</v>
      </c>
    </row>
    <row r="380" spans="1:16" x14ac:dyDescent="0.3">
      <c r="A380">
        <v>379</v>
      </c>
      <c r="B380" s="1">
        <v>40560</v>
      </c>
      <c r="C380">
        <v>6</v>
      </c>
      <c r="D380" t="b">
        <v>1</v>
      </c>
      <c r="E380" t="s">
        <v>24</v>
      </c>
      <c r="F380" t="s">
        <v>31</v>
      </c>
      <c r="G380">
        <v>0.18</v>
      </c>
      <c r="H380">
        <v>0.18179999999999999</v>
      </c>
      <c r="I380">
        <v>0.43</v>
      </c>
      <c r="J380">
        <v>0.19400000000000001</v>
      </c>
      <c r="K380">
        <v>0</v>
      </c>
      <c r="L380">
        <v>5</v>
      </c>
      <c r="M380">
        <v>5</v>
      </c>
      <c r="N380" t="s">
        <v>18</v>
      </c>
      <c r="O380" t="s">
        <v>85</v>
      </c>
      <c r="P380" t="s">
        <v>91</v>
      </c>
    </row>
    <row r="381" spans="1:16" x14ac:dyDescent="0.3">
      <c r="A381">
        <v>380</v>
      </c>
      <c r="B381" s="1">
        <v>40560</v>
      </c>
      <c r="C381">
        <v>7</v>
      </c>
      <c r="D381" t="b">
        <v>1</v>
      </c>
      <c r="E381" t="s">
        <v>24</v>
      </c>
      <c r="F381" t="s">
        <v>31</v>
      </c>
      <c r="G381">
        <v>0.16</v>
      </c>
      <c r="H381">
        <v>0.18179999999999999</v>
      </c>
      <c r="I381">
        <v>0.5</v>
      </c>
      <c r="J381">
        <v>0.1343</v>
      </c>
      <c r="K381">
        <v>4</v>
      </c>
      <c r="L381">
        <v>9</v>
      </c>
      <c r="M381">
        <v>13</v>
      </c>
      <c r="N381" t="s">
        <v>18</v>
      </c>
      <c r="O381" t="s">
        <v>86</v>
      </c>
      <c r="P381" t="s">
        <v>91</v>
      </c>
    </row>
    <row r="382" spans="1:16" x14ac:dyDescent="0.3">
      <c r="A382">
        <v>381</v>
      </c>
      <c r="B382" s="1">
        <v>40560</v>
      </c>
      <c r="C382">
        <v>8</v>
      </c>
      <c r="D382" t="b">
        <v>1</v>
      </c>
      <c r="E382" t="s">
        <v>24</v>
      </c>
      <c r="F382" t="s">
        <v>31</v>
      </c>
      <c r="G382">
        <v>0.16</v>
      </c>
      <c r="H382">
        <v>0.1515</v>
      </c>
      <c r="I382">
        <v>0.47</v>
      </c>
      <c r="J382">
        <v>0.22389999999999999</v>
      </c>
      <c r="K382">
        <v>3</v>
      </c>
      <c r="L382">
        <v>30</v>
      </c>
      <c r="M382">
        <v>33</v>
      </c>
      <c r="N382" t="s">
        <v>18</v>
      </c>
      <c r="O382" t="s">
        <v>86</v>
      </c>
      <c r="P382" t="s">
        <v>91</v>
      </c>
    </row>
    <row r="383" spans="1:16" x14ac:dyDescent="0.3">
      <c r="A383">
        <v>382</v>
      </c>
      <c r="B383" s="1">
        <v>40560</v>
      </c>
      <c r="C383">
        <v>9</v>
      </c>
      <c r="D383" t="b">
        <v>1</v>
      </c>
      <c r="E383" t="s">
        <v>24</v>
      </c>
      <c r="F383" t="s">
        <v>31</v>
      </c>
      <c r="G383">
        <v>0.16</v>
      </c>
      <c r="H383">
        <v>0.1515</v>
      </c>
      <c r="I383">
        <v>0.47</v>
      </c>
      <c r="J383">
        <v>0.22389999999999999</v>
      </c>
      <c r="K383">
        <v>8</v>
      </c>
      <c r="L383">
        <v>39</v>
      </c>
      <c r="M383">
        <v>47</v>
      </c>
      <c r="N383" t="s">
        <v>18</v>
      </c>
      <c r="O383" t="s">
        <v>86</v>
      </c>
      <c r="P383" t="s">
        <v>91</v>
      </c>
    </row>
    <row r="384" spans="1:16" x14ac:dyDescent="0.3">
      <c r="A384">
        <v>383</v>
      </c>
      <c r="B384" s="1">
        <v>40560</v>
      </c>
      <c r="C384">
        <v>10</v>
      </c>
      <c r="D384" t="b">
        <v>1</v>
      </c>
      <c r="E384" t="s">
        <v>24</v>
      </c>
      <c r="F384" t="s">
        <v>31</v>
      </c>
      <c r="G384">
        <v>0.16</v>
      </c>
      <c r="H384">
        <v>0.1515</v>
      </c>
      <c r="I384">
        <v>0.5</v>
      </c>
      <c r="J384">
        <v>0.25369999999999998</v>
      </c>
      <c r="K384">
        <v>7</v>
      </c>
      <c r="L384">
        <v>50</v>
      </c>
      <c r="M384">
        <v>57</v>
      </c>
      <c r="N384" t="s">
        <v>18</v>
      </c>
      <c r="O384" t="s">
        <v>85</v>
      </c>
      <c r="P384" t="s">
        <v>91</v>
      </c>
    </row>
    <row r="385" spans="1:16" x14ac:dyDescent="0.3">
      <c r="A385">
        <v>384</v>
      </c>
      <c r="B385" s="1">
        <v>40560</v>
      </c>
      <c r="C385">
        <v>11</v>
      </c>
      <c r="D385" t="b">
        <v>1</v>
      </c>
      <c r="E385" t="s">
        <v>24</v>
      </c>
      <c r="F385" t="s">
        <v>31</v>
      </c>
      <c r="G385">
        <v>0.16</v>
      </c>
      <c r="H385">
        <v>0.1515</v>
      </c>
      <c r="I385">
        <v>0.55000000000000004</v>
      </c>
      <c r="J385">
        <v>0.19400000000000001</v>
      </c>
      <c r="K385">
        <v>9</v>
      </c>
      <c r="L385">
        <v>55</v>
      </c>
      <c r="M385">
        <v>64</v>
      </c>
      <c r="N385" t="s">
        <v>18</v>
      </c>
      <c r="O385" t="s">
        <v>85</v>
      </c>
      <c r="P385" t="s">
        <v>91</v>
      </c>
    </row>
    <row r="386" spans="1:16" x14ac:dyDescent="0.3">
      <c r="A386">
        <v>385</v>
      </c>
      <c r="B386" s="1">
        <v>40560</v>
      </c>
      <c r="C386">
        <v>12</v>
      </c>
      <c r="D386" t="b">
        <v>1</v>
      </c>
      <c r="E386" t="s">
        <v>24</v>
      </c>
      <c r="F386" t="s">
        <v>31</v>
      </c>
      <c r="G386">
        <v>0.18</v>
      </c>
      <c r="H386">
        <v>0.19700000000000001</v>
      </c>
      <c r="I386">
        <v>0.47</v>
      </c>
      <c r="J386">
        <v>0.1343</v>
      </c>
      <c r="K386">
        <v>10</v>
      </c>
      <c r="L386">
        <v>70</v>
      </c>
      <c r="M386">
        <v>80</v>
      </c>
      <c r="N386" t="s">
        <v>18</v>
      </c>
      <c r="O386" t="s">
        <v>85</v>
      </c>
      <c r="P386" t="s">
        <v>91</v>
      </c>
    </row>
    <row r="387" spans="1:16" x14ac:dyDescent="0.3">
      <c r="A387">
        <v>386</v>
      </c>
      <c r="B387" s="1">
        <v>40560</v>
      </c>
      <c r="C387">
        <v>13</v>
      </c>
      <c r="D387" t="b">
        <v>1</v>
      </c>
      <c r="E387" t="s">
        <v>24</v>
      </c>
      <c r="F387" t="s">
        <v>31</v>
      </c>
      <c r="G387">
        <v>0.18</v>
      </c>
      <c r="H387">
        <v>0.19700000000000001</v>
      </c>
      <c r="I387">
        <v>0.47</v>
      </c>
      <c r="J387">
        <v>0.1343</v>
      </c>
      <c r="K387">
        <v>13</v>
      </c>
      <c r="L387">
        <v>80</v>
      </c>
      <c r="M387">
        <v>93</v>
      </c>
      <c r="N387" t="s">
        <v>18</v>
      </c>
      <c r="O387" t="s">
        <v>85</v>
      </c>
      <c r="P387" t="s">
        <v>91</v>
      </c>
    </row>
    <row r="388" spans="1:16" x14ac:dyDescent="0.3">
      <c r="A388">
        <v>387</v>
      </c>
      <c r="B388" s="1">
        <v>40560</v>
      </c>
      <c r="C388">
        <v>14</v>
      </c>
      <c r="D388" t="b">
        <v>1</v>
      </c>
      <c r="E388" t="s">
        <v>24</v>
      </c>
      <c r="F388" t="s">
        <v>31</v>
      </c>
      <c r="G388">
        <v>0.18</v>
      </c>
      <c r="H388">
        <v>0.21210000000000001</v>
      </c>
      <c r="I388">
        <v>0.43</v>
      </c>
      <c r="J388">
        <v>0.1045</v>
      </c>
      <c r="K388">
        <v>12</v>
      </c>
      <c r="L388">
        <v>74</v>
      </c>
      <c r="M388">
        <v>86</v>
      </c>
      <c r="N388" t="s">
        <v>18</v>
      </c>
      <c r="O388" t="s">
        <v>85</v>
      </c>
      <c r="P388" t="s">
        <v>91</v>
      </c>
    </row>
    <row r="389" spans="1:16" x14ac:dyDescent="0.3">
      <c r="A389">
        <v>388</v>
      </c>
      <c r="B389" s="1">
        <v>40560</v>
      </c>
      <c r="C389">
        <v>15</v>
      </c>
      <c r="D389" t="b">
        <v>1</v>
      </c>
      <c r="E389" t="s">
        <v>24</v>
      </c>
      <c r="F389" t="s">
        <v>31</v>
      </c>
      <c r="G389">
        <v>0.2</v>
      </c>
      <c r="H389">
        <v>0.21210000000000001</v>
      </c>
      <c r="I389">
        <v>0.47</v>
      </c>
      <c r="J389">
        <v>0.16420000000000001</v>
      </c>
      <c r="K389">
        <v>21</v>
      </c>
      <c r="L389">
        <v>72</v>
      </c>
      <c r="M389">
        <v>93</v>
      </c>
      <c r="N389" t="s">
        <v>18</v>
      </c>
      <c r="O389" t="s">
        <v>85</v>
      </c>
      <c r="P389" t="s">
        <v>91</v>
      </c>
    </row>
    <row r="390" spans="1:16" x14ac:dyDescent="0.3">
      <c r="A390">
        <v>389</v>
      </c>
      <c r="B390" s="1">
        <v>40560</v>
      </c>
      <c r="C390">
        <v>16</v>
      </c>
      <c r="D390" t="b">
        <v>1</v>
      </c>
      <c r="E390" t="s">
        <v>24</v>
      </c>
      <c r="F390" t="s">
        <v>31</v>
      </c>
      <c r="G390">
        <v>0.2</v>
      </c>
      <c r="H390">
        <v>0.21210000000000001</v>
      </c>
      <c r="I390">
        <v>0.47</v>
      </c>
      <c r="J390">
        <v>0.16420000000000001</v>
      </c>
      <c r="K390">
        <v>6</v>
      </c>
      <c r="L390">
        <v>76</v>
      </c>
      <c r="M390">
        <v>82</v>
      </c>
      <c r="N390" t="s">
        <v>18</v>
      </c>
      <c r="O390" t="s">
        <v>85</v>
      </c>
      <c r="P390" t="s">
        <v>91</v>
      </c>
    </row>
    <row r="391" spans="1:16" x14ac:dyDescent="0.3">
      <c r="A391">
        <v>390</v>
      </c>
      <c r="B391" s="1">
        <v>40560</v>
      </c>
      <c r="C391">
        <v>17</v>
      </c>
      <c r="D391" t="b">
        <v>1</v>
      </c>
      <c r="E391" t="s">
        <v>24</v>
      </c>
      <c r="F391" t="s">
        <v>30</v>
      </c>
      <c r="G391">
        <v>0.2</v>
      </c>
      <c r="H391">
        <v>0.19700000000000001</v>
      </c>
      <c r="I391">
        <v>0.51</v>
      </c>
      <c r="J391">
        <v>0.19400000000000001</v>
      </c>
      <c r="K391">
        <v>4</v>
      </c>
      <c r="L391">
        <v>67</v>
      </c>
      <c r="M391">
        <v>71</v>
      </c>
      <c r="N391" t="s">
        <v>18</v>
      </c>
      <c r="O391" t="s">
        <v>87</v>
      </c>
      <c r="P391" t="s">
        <v>90</v>
      </c>
    </row>
    <row r="392" spans="1:16" x14ac:dyDescent="0.3">
      <c r="A392">
        <v>391</v>
      </c>
      <c r="B392" s="1">
        <v>40560</v>
      </c>
      <c r="C392">
        <v>18</v>
      </c>
      <c r="D392" t="b">
        <v>1</v>
      </c>
      <c r="E392" t="s">
        <v>24</v>
      </c>
      <c r="F392" t="s">
        <v>31</v>
      </c>
      <c r="G392">
        <v>0.18</v>
      </c>
      <c r="H392">
        <v>0.16669999999999999</v>
      </c>
      <c r="I392">
        <v>0.55000000000000004</v>
      </c>
      <c r="J392">
        <v>0.25369999999999998</v>
      </c>
      <c r="K392">
        <v>7</v>
      </c>
      <c r="L392">
        <v>85</v>
      </c>
      <c r="M392">
        <v>92</v>
      </c>
      <c r="N392" t="s">
        <v>18</v>
      </c>
      <c r="O392" t="s">
        <v>87</v>
      </c>
      <c r="P392" t="s">
        <v>91</v>
      </c>
    </row>
    <row r="393" spans="1:16" x14ac:dyDescent="0.3">
      <c r="A393">
        <v>392</v>
      </c>
      <c r="B393" s="1">
        <v>40560</v>
      </c>
      <c r="C393">
        <v>19</v>
      </c>
      <c r="D393" t="b">
        <v>1</v>
      </c>
      <c r="E393" t="s">
        <v>24</v>
      </c>
      <c r="F393" t="s">
        <v>32</v>
      </c>
      <c r="G393">
        <v>0.18</v>
      </c>
      <c r="H393">
        <v>0.18179999999999999</v>
      </c>
      <c r="I393">
        <v>0.59</v>
      </c>
      <c r="J393">
        <v>0.19400000000000001</v>
      </c>
      <c r="K393">
        <v>2</v>
      </c>
      <c r="L393">
        <v>58</v>
      </c>
      <c r="M393">
        <v>60</v>
      </c>
      <c r="N393" t="s">
        <v>18</v>
      </c>
      <c r="O393" t="s">
        <v>87</v>
      </c>
      <c r="P393" t="s">
        <v>92</v>
      </c>
    </row>
    <row r="394" spans="1:16" x14ac:dyDescent="0.3">
      <c r="A394">
        <v>393</v>
      </c>
      <c r="B394" s="1">
        <v>40560</v>
      </c>
      <c r="C394">
        <v>20</v>
      </c>
      <c r="D394" t="b">
        <v>1</v>
      </c>
      <c r="E394" t="s">
        <v>24</v>
      </c>
      <c r="F394" t="s">
        <v>32</v>
      </c>
      <c r="G394">
        <v>0.16</v>
      </c>
      <c r="H394">
        <v>0.1515</v>
      </c>
      <c r="I394">
        <v>0.8</v>
      </c>
      <c r="J394">
        <v>0.19400000000000001</v>
      </c>
      <c r="K394">
        <v>4</v>
      </c>
      <c r="L394">
        <v>29</v>
      </c>
      <c r="M394">
        <v>33</v>
      </c>
      <c r="N394" t="s">
        <v>18</v>
      </c>
      <c r="O394" t="s">
        <v>85</v>
      </c>
      <c r="P394" t="s">
        <v>92</v>
      </c>
    </row>
    <row r="395" spans="1:16" x14ac:dyDescent="0.3">
      <c r="A395">
        <v>394</v>
      </c>
      <c r="B395" s="1">
        <v>40560</v>
      </c>
      <c r="C395">
        <v>21</v>
      </c>
      <c r="D395" t="b">
        <v>1</v>
      </c>
      <c r="E395" t="s">
        <v>24</v>
      </c>
      <c r="F395" t="s">
        <v>32</v>
      </c>
      <c r="G395">
        <v>0.16</v>
      </c>
      <c r="H395">
        <v>0.1515</v>
      </c>
      <c r="I395">
        <v>0.8</v>
      </c>
      <c r="J395">
        <v>0.19400000000000001</v>
      </c>
      <c r="K395">
        <v>3</v>
      </c>
      <c r="L395">
        <v>24</v>
      </c>
      <c r="M395">
        <v>27</v>
      </c>
      <c r="N395" t="s">
        <v>18</v>
      </c>
      <c r="O395" t="s">
        <v>85</v>
      </c>
      <c r="P395" t="s">
        <v>92</v>
      </c>
    </row>
    <row r="396" spans="1:16" x14ac:dyDescent="0.3">
      <c r="A396">
        <v>395</v>
      </c>
      <c r="B396" s="1">
        <v>40560</v>
      </c>
      <c r="C396">
        <v>22</v>
      </c>
      <c r="D396" t="b">
        <v>1</v>
      </c>
      <c r="E396" t="s">
        <v>24</v>
      </c>
      <c r="F396" t="s">
        <v>32</v>
      </c>
      <c r="G396">
        <v>0.14000000000000001</v>
      </c>
      <c r="H396">
        <v>0.1212</v>
      </c>
      <c r="I396">
        <v>0.93</v>
      </c>
      <c r="J396">
        <v>0.25369999999999998</v>
      </c>
      <c r="K396">
        <v>0</v>
      </c>
      <c r="L396">
        <v>13</v>
      </c>
      <c r="M396">
        <v>13</v>
      </c>
      <c r="N396" t="s">
        <v>18</v>
      </c>
      <c r="O396" t="s">
        <v>85</v>
      </c>
      <c r="P396" t="s">
        <v>92</v>
      </c>
    </row>
    <row r="397" spans="1:16" x14ac:dyDescent="0.3">
      <c r="A397">
        <v>396</v>
      </c>
      <c r="B397" s="1">
        <v>40560</v>
      </c>
      <c r="C397">
        <v>23</v>
      </c>
      <c r="D397" t="b">
        <v>1</v>
      </c>
      <c r="E397" t="s">
        <v>24</v>
      </c>
      <c r="F397" t="s">
        <v>32</v>
      </c>
      <c r="G397">
        <v>0.16</v>
      </c>
      <c r="H397">
        <v>0.13639999999999999</v>
      </c>
      <c r="I397">
        <v>0.86</v>
      </c>
      <c r="J397">
        <v>0.28360000000000002</v>
      </c>
      <c r="K397">
        <v>1</v>
      </c>
      <c r="L397">
        <v>3</v>
      </c>
      <c r="M397">
        <v>4</v>
      </c>
      <c r="N397" t="s">
        <v>18</v>
      </c>
      <c r="O397" t="s">
        <v>85</v>
      </c>
      <c r="P397" t="s">
        <v>92</v>
      </c>
    </row>
    <row r="398" spans="1:16" x14ac:dyDescent="0.3">
      <c r="A398">
        <v>397</v>
      </c>
      <c r="B398" s="1">
        <v>40561</v>
      </c>
      <c r="C398">
        <v>12</v>
      </c>
      <c r="D398" t="b">
        <v>0</v>
      </c>
      <c r="E398" t="s">
        <v>25</v>
      </c>
      <c r="F398" t="s">
        <v>31</v>
      </c>
      <c r="G398">
        <v>0.2</v>
      </c>
      <c r="H398">
        <v>0.18179999999999999</v>
      </c>
      <c r="I398">
        <v>0.86</v>
      </c>
      <c r="J398">
        <v>0.32840000000000003</v>
      </c>
      <c r="K398">
        <v>0</v>
      </c>
      <c r="L398">
        <v>3</v>
      </c>
      <c r="M398">
        <v>3</v>
      </c>
      <c r="N398" t="s">
        <v>18</v>
      </c>
      <c r="O398" t="s">
        <v>85</v>
      </c>
      <c r="P398" t="s">
        <v>91</v>
      </c>
    </row>
    <row r="399" spans="1:16" x14ac:dyDescent="0.3">
      <c r="A399">
        <v>398</v>
      </c>
      <c r="B399" s="1">
        <v>40561</v>
      </c>
      <c r="C399">
        <v>13</v>
      </c>
      <c r="D399" t="b">
        <v>0</v>
      </c>
      <c r="E399" t="s">
        <v>25</v>
      </c>
      <c r="F399" t="s">
        <v>31</v>
      </c>
      <c r="G399">
        <v>0.2</v>
      </c>
      <c r="H399">
        <v>0.19700000000000001</v>
      </c>
      <c r="I399">
        <v>0.86</v>
      </c>
      <c r="J399">
        <v>0.22389999999999999</v>
      </c>
      <c r="K399">
        <v>0</v>
      </c>
      <c r="L399">
        <v>22</v>
      </c>
      <c r="M399">
        <v>22</v>
      </c>
      <c r="N399" t="s">
        <v>18</v>
      </c>
      <c r="O399" t="s">
        <v>85</v>
      </c>
      <c r="P399" t="s">
        <v>91</v>
      </c>
    </row>
    <row r="400" spans="1:16" x14ac:dyDescent="0.3">
      <c r="A400">
        <v>399</v>
      </c>
      <c r="B400" s="1">
        <v>40561</v>
      </c>
      <c r="C400">
        <v>14</v>
      </c>
      <c r="D400" t="b">
        <v>0</v>
      </c>
      <c r="E400" t="s">
        <v>25</v>
      </c>
      <c r="F400" t="s">
        <v>31</v>
      </c>
      <c r="G400">
        <v>0.22</v>
      </c>
      <c r="H400">
        <v>0.2273</v>
      </c>
      <c r="I400">
        <v>0.8</v>
      </c>
      <c r="J400">
        <v>0.16420000000000001</v>
      </c>
      <c r="K400">
        <v>2</v>
      </c>
      <c r="L400">
        <v>26</v>
      </c>
      <c r="M400">
        <v>28</v>
      </c>
      <c r="N400" t="s">
        <v>18</v>
      </c>
      <c r="O400" t="s">
        <v>85</v>
      </c>
      <c r="P400" t="s">
        <v>91</v>
      </c>
    </row>
    <row r="401" spans="1:16" x14ac:dyDescent="0.3">
      <c r="A401">
        <v>400</v>
      </c>
      <c r="B401" s="1">
        <v>40561</v>
      </c>
      <c r="C401">
        <v>15</v>
      </c>
      <c r="D401" t="b">
        <v>0</v>
      </c>
      <c r="E401" t="s">
        <v>25</v>
      </c>
      <c r="F401" t="s">
        <v>31</v>
      </c>
      <c r="G401">
        <v>0.22</v>
      </c>
      <c r="H401">
        <v>0.2273</v>
      </c>
      <c r="I401">
        <v>0.87</v>
      </c>
      <c r="J401">
        <v>0.16420000000000001</v>
      </c>
      <c r="K401">
        <v>3</v>
      </c>
      <c r="L401">
        <v>32</v>
      </c>
      <c r="M401">
        <v>35</v>
      </c>
      <c r="N401" t="s">
        <v>18</v>
      </c>
      <c r="O401" t="s">
        <v>85</v>
      </c>
      <c r="P401" t="s">
        <v>91</v>
      </c>
    </row>
    <row r="402" spans="1:16" x14ac:dyDescent="0.3">
      <c r="A402">
        <v>401</v>
      </c>
      <c r="B402" s="1">
        <v>40561</v>
      </c>
      <c r="C402">
        <v>16</v>
      </c>
      <c r="D402" t="b">
        <v>0</v>
      </c>
      <c r="E402" t="s">
        <v>25</v>
      </c>
      <c r="F402" t="s">
        <v>31</v>
      </c>
      <c r="G402">
        <v>0.22</v>
      </c>
      <c r="H402">
        <v>0.2273</v>
      </c>
      <c r="I402">
        <v>0.87</v>
      </c>
      <c r="J402">
        <v>0.19400000000000001</v>
      </c>
      <c r="K402">
        <v>0</v>
      </c>
      <c r="L402">
        <v>61</v>
      </c>
      <c r="M402">
        <v>61</v>
      </c>
      <c r="N402" t="s">
        <v>18</v>
      </c>
      <c r="O402" t="s">
        <v>85</v>
      </c>
      <c r="P402" t="s">
        <v>91</v>
      </c>
    </row>
    <row r="403" spans="1:16" x14ac:dyDescent="0.3">
      <c r="A403">
        <v>402</v>
      </c>
      <c r="B403" s="1">
        <v>40561</v>
      </c>
      <c r="C403">
        <v>17</v>
      </c>
      <c r="D403" t="b">
        <v>0</v>
      </c>
      <c r="E403" t="s">
        <v>25</v>
      </c>
      <c r="F403" t="s">
        <v>31</v>
      </c>
      <c r="G403">
        <v>0.22</v>
      </c>
      <c r="H403">
        <v>0.2273</v>
      </c>
      <c r="I403">
        <v>0.82</v>
      </c>
      <c r="J403">
        <v>0.19400000000000001</v>
      </c>
      <c r="K403">
        <v>1</v>
      </c>
      <c r="L403">
        <v>124</v>
      </c>
      <c r="M403">
        <v>125</v>
      </c>
      <c r="N403" t="s">
        <v>18</v>
      </c>
      <c r="O403" t="s">
        <v>87</v>
      </c>
      <c r="P403" t="s">
        <v>91</v>
      </c>
    </row>
    <row r="404" spans="1:16" x14ac:dyDescent="0.3">
      <c r="A404">
        <v>403</v>
      </c>
      <c r="B404" s="1">
        <v>40561</v>
      </c>
      <c r="C404">
        <v>18</v>
      </c>
      <c r="D404" t="b">
        <v>0</v>
      </c>
      <c r="E404" t="s">
        <v>25</v>
      </c>
      <c r="F404" t="s">
        <v>31</v>
      </c>
      <c r="G404">
        <v>0.22</v>
      </c>
      <c r="H404">
        <v>0.2273</v>
      </c>
      <c r="I404">
        <v>0.8</v>
      </c>
      <c r="J404">
        <v>0.16420000000000001</v>
      </c>
      <c r="K404">
        <v>1</v>
      </c>
      <c r="L404">
        <v>132</v>
      </c>
      <c r="M404">
        <v>133</v>
      </c>
      <c r="N404" t="s">
        <v>18</v>
      </c>
      <c r="O404" t="s">
        <v>87</v>
      </c>
      <c r="P404" t="s">
        <v>91</v>
      </c>
    </row>
    <row r="405" spans="1:16" x14ac:dyDescent="0.3">
      <c r="A405">
        <v>404</v>
      </c>
      <c r="B405" s="1">
        <v>40561</v>
      </c>
      <c r="C405">
        <v>19</v>
      </c>
      <c r="D405" t="b">
        <v>0</v>
      </c>
      <c r="E405" t="s">
        <v>25</v>
      </c>
      <c r="F405" t="s">
        <v>31</v>
      </c>
      <c r="G405">
        <v>0.22</v>
      </c>
      <c r="H405">
        <v>0.2273</v>
      </c>
      <c r="I405">
        <v>0.8</v>
      </c>
      <c r="J405">
        <v>0.1343</v>
      </c>
      <c r="K405">
        <v>1</v>
      </c>
      <c r="L405">
        <v>98</v>
      </c>
      <c r="M405">
        <v>99</v>
      </c>
      <c r="N405" t="s">
        <v>18</v>
      </c>
      <c r="O405" t="s">
        <v>87</v>
      </c>
      <c r="P405" t="s">
        <v>91</v>
      </c>
    </row>
    <row r="406" spans="1:16" x14ac:dyDescent="0.3">
      <c r="A406">
        <v>405</v>
      </c>
      <c r="B406" s="1">
        <v>40561</v>
      </c>
      <c r="C406">
        <v>20</v>
      </c>
      <c r="D406" t="b">
        <v>0</v>
      </c>
      <c r="E406" t="s">
        <v>25</v>
      </c>
      <c r="F406" t="s">
        <v>31</v>
      </c>
      <c r="G406">
        <v>0.22</v>
      </c>
      <c r="H406">
        <v>0.2727</v>
      </c>
      <c r="I406">
        <v>0.87</v>
      </c>
      <c r="J406">
        <v>0</v>
      </c>
      <c r="K406">
        <v>0</v>
      </c>
      <c r="L406">
        <v>83</v>
      </c>
      <c r="M406">
        <v>83</v>
      </c>
      <c r="N406" t="s">
        <v>18</v>
      </c>
      <c r="O406" t="s">
        <v>85</v>
      </c>
      <c r="P406" t="s">
        <v>91</v>
      </c>
    </row>
    <row r="407" spans="1:16" x14ac:dyDescent="0.3">
      <c r="A407">
        <v>406</v>
      </c>
      <c r="B407" s="1">
        <v>40561</v>
      </c>
      <c r="C407">
        <v>21</v>
      </c>
      <c r="D407" t="b">
        <v>0</v>
      </c>
      <c r="E407" t="s">
        <v>25</v>
      </c>
      <c r="F407" t="s">
        <v>31</v>
      </c>
      <c r="G407">
        <v>0.22</v>
      </c>
      <c r="H407">
        <v>0.2424</v>
      </c>
      <c r="I407">
        <v>0.93</v>
      </c>
      <c r="J407">
        <v>0.1045</v>
      </c>
      <c r="K407">
        <v>0</v>
      </c>
      <c r="L407">
        <v>41</v>
      </c>
      <c r="M407">
        <v>41</v>
      </c>
      <c r="N407" t="s">
        <v>18</v>
      </c>
      <c r="O407" t="s">
        <v>85</v>
      </c>
      <c r="P407" t="s">
        <v>91</v>
      </c>
    </row>
    <row r="408" spans="1:16" x14ac:dyDescent="0.3">
      <c r="A408">
        <v>407</v>
      </c>
      <c r="B408" s="1">
        <v>40561</v>
      </c>
      <c r="C408">
        <v>22</v>
      </c>
      <c r="D408" t="b">
        <v>0</v>
      </c>
      <c r="E408" t="s">
        <v>25</v>
      </c>
      <c r="F408" t="s">
        <v>31</v>
      </c>
      <c r="G408">
        <v>0.22</v>
      </c>
      <c r="H408">
        <v>0.2576</v>
      </c>
      <c r="I408">
        <v>0.93</v>
      </c>
      <c r="J408">
        <v>8.9599999999999999E-2</v>
      </c>
      <c r="K408">
        <v>0</v>
      </c>
      <c r="L408">
        <v>33</v>
      </c>
      <c r="M408">
        <v>33</v>
      </c>
      <c r="N408" t="s">
        <v>18</v>
      </c>
      <c r="O408" t="s">
        <v>85</v>
      </c>
      <c r="P408" t="s">
        <v>91</v>
      </c>
    </row>
    <row r="409" spans="1:16" x14ac:dyDescent="0.3">
      <c r="A409">
        <v>408</v>
      </c>
      <c r="B409" s="1">
        <v>40561</v>
      </c>
      <c r="C409">
        <v>23</v>
      </c>
      <c r="D409" t="b">
        <v>0</v>
      </c>
      <c r="E409" t="s">
        <v>25</v>
      </c>
      <c r="F409" t="s">
        <v>31</v>
      </c>
      <c r="G409">
        <v>0.22</v>
      </c>
      <c r="H409">
        <v>0.2727</v>
      </c>
      <c r="I409">
        <v>0.93</v>
      </c>
      <c r="J409">
        <v>0</v>
      </c>
      <c r="K409">
        <v>1</v>
      </c>
      <c r="L409">
        <v>19</v>
      </c>
      <c r="M409">
        <v>20</v>
      </c>
      <c r="N409" t="s">
        <v>18</v>
      </c>
      <c r="O409" t="s">
        <v>85</v>
      </c>
      <c r="P409" t="s">
        <v>91</v>
      </c>
    </row>
    <row r="410" spans="1:16" x14ac:dyDescent="0.3">
      <c r="A410">
        <v>409</v>
      </c>
      <c r="B410" s="1">
        <v>40562</v>
      </c>
      <c r="C410">
        <v>0</v>
      </c>
      <c r="D410" t="b">
        <v>0</v>
      </c>
      <c r="E410" t="s">
        <v>26</v>
      </c>
      <c r="F410" t="s">
        <v>31</v>
      </c>
      <c r="G410">
        <v>0.22</v>
      </c>
      <c r="H410">
        <v>0.2727</v>
      </c>
      <c r="I410">
        <v>0.93</v>
      </c>
      <c r="J410">
        <v>0</v>
      </c>
      <c r="K410">
        <v>0</v>
      </c>
      <c r="L410">
        <v>3</v>
      </c>
      <c r="M410">
        <v>3</v>
      </c>
      <c r="N410" t="s">
        <v>18</v>
      </c>
      <c r="O410" t="s">
        <v>85</v>
      </c>
      <c r="P410" t="s">
        <v>91</v>
      </c>
    </row>
    <row r="411" spans="1:16" x14ac:dyDescent="0.3">
      <c r="A411">
        <v>410</v>
      </c>
      <c r="B411" s="1">
        <v>40562</v>
      </c>
      <c r="C411">
        <v>1</v>
      </c>
      <c r="D411" t="b">
        <v>0</v>
      </c>
      <c r="E411" t="s">
        <v>26</v>
      </c>
      <c r="F411" t="s">
        <v>32</v>
      </c>
      <c r="G411">
        <v>0.22</v>
      </c>
      <c r="H411">
        <v>0.2273</v>
      </c>
      <c r="I411">
        <v>0.93</v>
      </c>
      <c r="J411">
        <v>0.1343</v>
      </c>
      <c r="K411">
        <v>1</v>
      </c>
      <c r="L411">
        <v>6</v>
      </c>
      <c r="M411">
        <v>7</v>
      </c>
      <c r="N411" t="s">
        <v>18</v>
      </c>
      <c r="O411" t="s">
        <v>85</v>
      </c>
      <c r="P411" t="s">
        <v>92</v>
      </c>
    </row>
    <row r="412" spans="1:16" x14ac:dyDescent="0.3">
      <c r="A412">
        <v>411</v>
      </c>
      <c r="B412" s="1">
        <v>40562</v>
      </c>
      <c r="C412">
        <v>2</v>
      </c>
      <c r="D412" t="b">
        <v>0</v>
      </c>
      <c r="E412" t="s">
        <v>26</v>
      </c>
      <c r="F412" t="s">
        <v>32</v>
      </c>
      <c r="G412">
        <v>0.22</v>
      </c>
      <c r="H412">
        <v>0.2273</v>
      </c>
      <c r="I412">
        <v>0.93</v>
      </c>
      <c r="J412">
        <v>0.1343</v>
      </c>
      <c r="K412">
        <v>0</v>
      </c>
      <c r="L412">
        <v>3</v>
      </c>
      <c r="M412">
        <v>3</v>
      </c>
      <c r="N412" t="s">
        <v>18</v>
      </c>
      <c r="O412" t="s">
        <v>85</v>
      </c>
      <c r="P412" t="s">
        <v>92</v>
      </c>
    </row>
    <row r="413" spans="1:16" x14ac:dyDescent="0.3">
      <c r="A413">
        <v>412</v>
      </c>
      <c r="B413" s="1">
        <v>40562</v>
      </c>
      <c r="C413">
        <v>4</v>
      </c>
      <c r="D413" t="b">
        <v>0</v>
      </c>
      <c r="E413" t="s">
        <v>26</v>
      </c>
      <c r="F413" t="s">
        <v>32</v>
      </c>
      <c r="G413">
        <v>0.22</v>
      </c>
      <c r="H413">
        <v>0.2273</v>
      </c>
      <c r="I413">
        <v>0.93</v>
      </c>
      <c r="J413">
        <v>0.1343</v>
      </c>
      <c r="K413">
        <v>1</v>
      </c>
      <c r="L413">
        <v>1</v>
      </c>
      <c r="M413">
        <v>2</v>
      </c>
      <c r="N413" t="s">
        <v>18</v>
      </c>
      <c r="O413" t="s">
        <v>85</v>
      </c>
      <c r="P413" t="s">
        <v>92</v>
      </c>
    </row>
    <row r="414" spans="1:16" x14ac:dyDescent="0.3">
      <c r="A414">
        <v>413</v>
      </c>
      <c r="B414" s="1">
        <v>40562</v>
      </c>
      <c r="C414">
        <v>5</v>
      </c>
      <c r="D414" t="b">
        <v>0</v>
      </c>
      <c r="E414" t="s">
        <v>26</v>
      </c>
      <c r="F414" t="s">
        <v>31</v>
      </c>
      <c r="G414">
        <v>0.22</v>
      </c>
      <c r="H414">
        <v>0.2576</v>
      </c>
      <c r="I414">
        <v>0.93</v>
      </c>
      <c r="J414">
        <v>8.9599999999999999E-2</v>
      </c>
      <c r="K414">
        <v>0</v>
      </c>
      <c r="L414">
        <v>7</v>
      </c>
      <c r="M414">
        <v>7</v>
      </c>
      <c r="N414" t="s">
        <v>18</v>
      </c>
      <c r="O414" t="s">
        <v>85</v>
      </c>
      <c r="P414" t="s">
        <v>91</v>
      </c>
    </row>
    <row r="415" spans="1:16" x14ac:dyDescent="0.3">
      <c r="A415">
        <v>414</v>
      </c>
      <c r="B415" s="1">
        <v>40562</v>
      </c>
      <c r="C415">
        <v>6</v>
      </c>
      <c r="D415" t="b">
        <v>0</v>
      </c>
      <c r="E415" t="s">
        <v>26</v>
      </c>
      <c r="F415" t="s">
        <v>31</v>
      </c>
      <c r="G415">
        <v>0.22</v>
      </c>
      <c r="H415">
        <v>0.2576</v>
      </c>
      <c r="I415">
        <v>0.93</v>
      </c>
      <c r="J415">
        <v>8.9599999999999999E-2</v>
      </c>
      <c r="K415">
        <v>0</v>
      </c>
      <c r="L415">
        <v>32</v>
      </c>
      <c r="M415">
        <v>32</v>
      </c>
      <c r="N415" t="s">
        <v>18</v>
      </c>
      <c r="O415" t="s">
        <v>85</v>
      </c>
      <c r="P415" t="s">
        <v>91</v>
      </c>
    </row>
    <row r="416" spans="1:16" x14ac:dyDescent="0.3">
      <c r="A416">
        <v>415</v>
      </c>
      <c r="B416" s="1">
        <v>40562</v>
      </c>
      <c r="C416">
        <v>7</v>
      </c>
      <c r="D416" t="b">
        <v>0</v>
      </c>
      <c r="E416" t="s">
        <v>26</v>
      </c>
      <c r="F416" t="s">
        <v>31</v>
      </c>
      <c r="G416">
        <v>0.24</v>
      </c>
      <c r="H416">
        <v>0.2576</v>
      </c>
      <c r="I416">
        <v>0.92</v>
      </c>
      <c r="J416">
        <v>0.1045</v>
      </c>
      <c r="K416">
        <v>1</v>
      </c>
      <c r="L416">
        <v>89</v>
      </c>
      <c r="M416">
        <v>90</v>
      </c>
      <c r="N416" t="s">
        <v>18</v>
      </c>
      <c r="O416" t="s">
        <v>86</v>
      </c>
      <c r="P416" t="s">
        <v>91</v>
      </c>
    </row>
    <row r="417" spans="1:16" x14ac:dyDescent="0.3">
      <c r="A417">
        <v>416</v>
      </c>
      <c r="B417" s="1">
        <v>40562</v>
      </c>
      <c r="C417">
        <v>8</v>
      </c>
      <c r="D417" t="b">
        <v>0</v>
      </c>
      <c r="E417" t="s">
        <v>26</v>
      </c>
      <c r="F417" t="s">
        <v>31</v>
      </c>
      <c r="G417">
        <v>0.24</v>
      </c>
      <c r="H417">
        <v>0.2576</v>
      </c>
      <c r="I417">
        <v>0.93</v>
      </c>
      <c r="J417">
        <v>0.1045</v>
      </c>
      <c r="K417">
        <v>1</v>
      </c>
      <c r="L417">
        <v>196</v>
      </c>
      <c r="M417">
        <v>197</v>
      </c>
      <c r="N417" t="s">
        <v>18</v>
      </c>
      <c r="O417" t="s">
        <v>86</v>
      </c>
      <c r="P417" t="s">
        <v>91</v>
      </c>
    </row>
    <row r="418" spans="1:16" x14ac:dyDescent="0.3">
      <c r="A418">
        <v>417</v>
      </c>
      <c r="B418" s="1">
        <v>40562</v>
      </c>
      <c r="C418">
        <v>9</v>
      </c>
      <c r="D418" t="b">
        <v>0</v>
      </c>
      <c r="E418" t="s">
        <v>26</v>
      </c>
      <c r="F418" t="s">
        <v>31</v>
      </c>
      <c r="G418">
        <v>0.24</v>
      </c>
      <c r="H418">
        <v>0.2576</v>
      </c>
      <c r="I418">
        <v>0.93</v>
      </c>
      <c r="J418">
        <v>0.1045</v>
      </c>
      <c r="K418">
        <v>2</v>
      </c>
      <c r="L418">
        <v>107</v>
      </c>
      <c r="M418">
        <v>109</v>
      </c>
      <c r="N418" t="s">
        <v>18</v>
      </c>
      <c r="O418" t="s">
        <v>86</v>
      </c>
      <c r="P418" t="s">
        <v>91</v>
      </c>
    </row>
    <row r="419" spans="1:16" x14ac:dyDescent="0.3">
      <c r="A419">
        <v>418</v>
      </c>
      <c r="B419" s="1">
        <v>40562</v>
      </c>
      <c r="C419">
        <v>10</v>
      </c>
      <c r="D419" t="b">
        <v>0</v>
      </c>
      <c r="E419" t="s">
        <v>26</v>
      </c>
      <c r="F419" t="s">
        <v>31</v>
      </c>
      <c r="G419">
        <v>0.26</v>
      </c>
      <c r="H419">
        <v>0.2727</v>
      </c>
      <c r="I419">
        <v>0.93</v>
      </c>
      <c r="J419">
        <v>0.1343</v>
      </c>
      <c r="K419">
        <v>1</v>
      </c>
      <c r="L419">
        <v>46</v>
      </c>
      <c r="M419">
        <v>47</v>
      </c>
      <c r="N419" t="s">
        <v>18</v>
      </c>
      <c r="O419" t="s">
        <v>85</v>
      </c>
      <c r="P419" t="s">
        <v>91</v>
      </c>
    </row>
    <row r="420" spans="1:16" x14ac:dyDescent="0.3">
      <c r="A420">
        <v>419</v>
      </c>
      <c r="B420" s="1">
        <v>40562</v>
      </c>
      <c r="C420">
        <v>11</v>
      </c>
      <c r="D420" t="b">
        <v>0</v>
      </c>
      <c r="E420" t="s">
        <v>26</v>
      </c>
      <c r="F420" t="s">
        <v>31</v>
      </c>
      <c r="G420">
        <v>0.28000000000000003</v>
      </c>
      <c r="H420">
        <v>0.30299999999999999</v>
      </c>
      <c r="I420">
        <v>0.87</v>
      </c>
      <c r="J420">
        <v>8.9599999999999999E-2</v>
      </c>
      <c r="K420">
        <v>5</v>
      </c>
      <c r="L420">
        <v>47</v>
      </c>
      <c r="M420">
        <v>52</v>
      </c>
      <c r="N420" t="s">
        <v>18</v>
      </c>
      <c r="O420" t="s">
        <v>85</v>
      </c>
      <c r="P420" t="s">
        <v>91</v>
      </c>
    </row>
    <row r="421" spans="1:16" x14ac:dyDescent="0.3">
      <c r="A421">
        <v>420</v>
      </c>
      <c r="B421" s="1">
        <v>40562</v>
      </c>
      <c r="C421">
        <v>12</v>
      </c>
      <c r="D421" t="b">
        <v>0</v>
      </c>
      <c r="E421" t="s">
        <v>26</v>
      </c>
      <c r="F421" t="s">
        <v>31</v>
      </c>
      <c r="G421">
        <v>0.3</v>
      </c>
      <c r="H421">
        <v>0.31819999999999998</v>
      </c>
      <c r="I421">
        <v>0.81</v>
      </c>
      <c r="J421">
        <v>8.9599999999999999E-2</v>
      </c>
      <c r="K421">
        <v>5</v>
      </c>
      <c r="L421">
        <v>65</v>
      </c>
      <c r="M421">
        <v>70</v>
      </c>
      <c r="N421" t="s">
        <v>18</v>
      </c>
      <c r="O421" t="s">
        <v>85</v>
      </c>
      <c r="P421" t="s">
        <v>91</v>
      </c>
    </row>
    <row r="422" spans="1:16" x14ac:dyDescent="0.3">
      <c r="A422">
        <v>421</v>
      </c>
      <c r="B422" s="1">
        <v>40562</v>
      </c>
      <c r="C422">
        <v>13</v>
      </c>
      <c r="D422" t="b">
        <v>0</v>
      </c>
      <c r="E422" t="s">
        <v>26</v>
      </c>
      <c r="F422" t="s">
        <v>30</v>
      </c>
      <c r="G422">
        <v>0.4</v>
      </c>
      <c r="H422">
        <v>0.40910000000000002</v>
      </c>
      <c r="I422">
        <v>0.62</v>
      </c>
      <c r="J422">
        <v>0.28360000000000002</v>
      </c>
      <c r="K422">
        <v>11</v>
      </c>
      <c r="L422">
        <v>67</v>
      </c>
      <c r="M422">
        <v>78</v>
      </c>
      <c r="N422" t="s">
        <v>18</v>
      </c>
      <c r="O422" t="s">
        <v>85</v>
      </c>
      <c r="P422" t="s">
        <v>90</v>
      </c>
    </row>
    <row r="423" spans="1:16" x14ac:dyDescent="0.3">
      <c r="A423">
        <v>422</v>
      </c>
      <c r="B423" s="1">
        <v>40562</v>
      </c>
      <c r="C423">
        <v>14</v>
      </c>
      <c r="D423" t="b">
        <v>0</v>
      </c>
      <c r="E423" t="s">
        <v>26</v>
      </c>
      <c r="F423" t="s">
        <v>30</v>
      </c>
      <c r="G423">
        <v>0.4</v>
      </c>
      <c r="H423">
        <v>0.40910000000000002</v>
      </c>
      <c r="I423">
        <v>0.57999999999999996</v>
      </c>
      <c r="J423">
        <v>0.25369999999999998</v>
      </c>
      <c r="K423">
        <v>7</v>
      </c>
      <c r="L423">
        <v>68</v>
      </c>
      <c r="M423">
        <v>75</v>
      </c>
      <c r="N423" t="s">
        <v>18</v>
      </c>
      <c r="O423" t="s">
        <v>85</v>
      </c>
      <c r="P423" t="s">
        <v>90</v>
      </c>
    </row>
    <row r="424" spans="1:16" x14ac:dyDescent="0.3">
      <c r="A424">
        <v>423</v>
      </c>
      <c r="B424" s="1">
        <v>40562</v>
      </c>
      <c r="C424">
        <v>15</v>
      </c>
      <c r="D424" t="b">
        <v>0</v>
      </c>
      <c r="E424" t="s">
        <v>26</v>
      </c>
      <c r="F424" t="s">
        <v>30</v>
      </c>
      <c r="G424">
        <v>0.4</v>
      </c>
      <c r="H424">
        <v>0.40910000000000002</v>
      </c>
      <c r="I424">
        <v>0.54</v>
      </c>
      <c r="J424">
        <v>0.28360000000000002</v>
      </c>
      <c r="K424">
        <v>4</v>
      </c>
      <c r="L424">
        <v>78</v>
      </c>
      <c r="M424">
        <v>82</v>
      </c>
      <c r="N424" t="s">
        <v>18</v>
      </c>
      <c r="O424" t="s">
        <v>85</v>
      </c>
      <c r="P424" t="s">
        <v>90</v>
      </c>
    </row>
    <row r="425" spans="1:16" x14ac:dyDescent="0.3">
      <c r="A425">
        <v>424</v>
      </c>
      <c r="B425" s="1">
        <v>40562</v>
      </c>
      <c r="C425">
        <v>16</v>
      </c>
      <c r="D425" t="b">
        <v>0</v>
      </c>
      <c r="E425" t="s">
        <v>26</v>
      </c>
      <c r="F425" t="s">
        <v>30</v>
      </c>
      <c r="G425">
        <v>0.38</v>
      </c>
      <c r="H425">
        <v>0.39389999999999997</v>
      </c>
      <c r="I425">
        <v>0.57999999999999996</v>
      </c>
      <c r="J425">
        <v>0.3881</v>
      </c>
      <c r="K425">
        <v>10</v>
      </c>
      <c r="L425">
        <v>94</v>
      </c>
      <c r="M425">
        <v>104</v>
      </c>
      <c r="N425" t="s">
        <v>18</v>
      </c>
      <c r="O425" t="s">
        <v>85</v>
      </c>
      <c r="P425" t="s">
        <v>90</v>
      </c>
    </row>
    <row r="426" spans="1:16" x14ac:dyDescent="0.3">
      <c r="A426">
        <v>425</v>
      </c>
      <c r="B426" s="1">
        <v>40562</v>
      </c>
      <c r="C426">
        <v>17</v>
      </c>
      <c r="D426" t="b">
        <v>0</v>
      </c>
      <c r="E426" t="s">
        <v>26</v>
      </c>
      <c r="F426" t="s">
        <v>30</v>
      </c>
      <c r="G426">
        <v>0.36</v>
      </c>
      <c r="H426">
        <v>0.33329999999999999</v>
      </c>
      <c r="I426">
        <v>0.56999999999999995</v>
      </c>
      <c r="J426">
        <v>0.32840000000000003</v>
      </c>
      <c r="K426">
        <v>7</v>
      </c>
      <c r="L426">
        <v>190</v>
      </c>
      <c r="M426">
        <v>197</v>
      </c>
      <c r="N426" t="s">
        <v>18</v>
      </c>
      <c r="O426" t="s">
        <v>87</v>
      </c>
      <c r="P426" t="s">
        <v>90</v>
      </c>
    </row>
    <row r="427" spans="1:16" x14ac:dyDescent="0.3">
      <c r="A427">
        <v>426</v>
      </c>
      <c r="B427" s="1">
        <v>40562</v>
      </c>
      <c r="C427">
        <v>18</v>
      </c>
      <c r="D427" t="b">
        <v>0</v>
      </c>
      <c r="E427" t="s">
        <v>26</v>
      </c>
      <c r="F427" t="s">
        <v>30</v>
      </c>
      <c r="G427">
        <v>0.34</v>
      </c>
      <c r="H427">
        <v>0.31819999999999998</v>
      </c>
      <c r="I427">
        <v>0.61</v>
      </c>
      <c r="J427">
        <v>0.28360000000000002</v>
      </c>
      <c r="K427">
        <v>5</v>
      </c>
      <c r="L427">
        <v>156</v>
      </c>
      <c r="M427">
        <v>161</v>
      </c>
      <c r="N427" t="s">
        <v>18</v>
      </c>
      <c r="O427" t="s">
        <v>87</v>
      </c>
      <c r="P427" t="s">
        <v>90</v>
      </c>
    </row>
    <row r="428" spans="1:16" x14ac:dyDescent="0.3">
      <c r="A428">
        <v>427</v>
      </c>
      <c r="B428" s="1">
        <v>40562</v>
      </c>
      <c r="C428">
        <v>19</v>
      </c>
      <c r="D428" t="b">
        <v>0</v>
      </c>
      <c r="E428" t="s">
        <v>26</v>
      </c>
      <c r="F428" t="s">
        <v>30</v>
      </c>
      <c r="G428">
        <v>0.32</v>
      </c>
      <c r="H428">
        <v>0.28789999999999999</v>
      </c>
      <c r="I428">
        <v>0.56999999999999995</v>
      </c>
      <c r="J428">
        <v>0.41789999999999999</v>
      </c>
      <c r="K428">
        <v>4</v>
      </c>
      <c r="L428">
        <v>108</v>
      </c>
      <c r="M428">
        <v>112</v>
      </c>
      <c r="N428" t="s">
        <v>18</v>
      </c>
      <c r="O428" t="s">
        <v>87</v>
      </c>
      <c r="P428" t="s">
        <v>90</v>
      </c>
    </row>
    <row r="429" spans="1:16" x14ac:dyDescent="0.3">
      <c r="A429">
        <v>428</v>
      </c>
      <c r="B429" s="1">
        <v>40562</v>
      </c>
      <c r="C429">
        <v>20</v>
      </c>
      <c r="D429" t="b">
        <v>0</v>
      </c>
      <c r="E429" t="s">
        <v>26</v>
      </c>
      <c r="F429" t="s">
        <v>30</v>
      </c>
      <c r="G429">
        <v>0.32</v>
      </c>
      <c r="H429">
        <v>0.30299999999999999</v>
      </c>
      <c r="I429">
        <v>0.49</v>
      </c>
      <c r="J429">
        <v>0.29849999999999999</v>
      </c>
      <c r="K429">
        <v>2</v>
      </c>
      <c r="L429">
        <v>74</v>
      </c>
      <c r="M429">
        <v>76</v>
      </c>
      <c r="N429" t="s">
        <v>18</v>
      </c>
      <c r="O429" t="s">
        <v>85</v>
      </c>
      <c r="P429" t="s">
        <v>90</v>
      </c>
    </row>
    <row r="430" spans="1:16" x14ac:dyDescent="0.3">
      <c r="A430">
        <v>429</v>
      </c>
      <c r="B430" s="1">
        <v>40562</v>
      </c>
      <c r="C430">
        <v>21</v>
      </c>
      <c r="D430" t="b">
        <v>0</v>
      </c>
      <c r="E430" t="s">
        <v>26</v>
      </c>
      <c r="F430" t="s">
        <v>30</v>
      </c>
      <c r="G430">
        <v>0.32</v>
      </c>
      <c r="H430">
        <v>0.28789999999999999</v>
      </c>
      <c r="I430">
        <v>0.49</v>
      </c>
      <c r="J430">
        <v>0.41789999999999999</v>
      </c>
      <c r="K430">
        <v>4</v>
      </c>
      <c r="L430">
        <v>55</v>
      </c>
      <c r="M430">
        <v>59</v>
      </c>
      <c r="N430" t="s">
        <v>18</v>
      </c>
      <c r="O430" t="s">
        <v>85</v>
      </c>
      <c r="P430" t="s">
        <v>90</v>
      </c>
    </row>
    <row r="431" spans="1:16" x14ac:dyDescent="0.3">
      <c r="A431">
        <v>430</v>
      </c>
      <c r="B431" s="1">
        <v>40562</v>
      </c>
      <c r="C431">
        <v>22</v>
      </c>
      <c r="D431" t="b">
        <v>0</v>
      </c>
      <c r="E431" t="s">
        <v>26</v>
      </c>
      <c r="F431" t="s">
        <v>30</v>
      </c>
      <c r="G431">
        <v>0.3</v>
      </c>
      <c r="H431">
        <v>0.30299999999999999</v>
      </c>
      <c r="I431">
        <v>0.52</v>
      </c>
      <c r="J431">
        <v>0.16420000000000001</v>
      </c>
      <c r="K431">
        <v>6</v>
      </c>
      <c r="L431">
        <v>53</v>
      </c>
      <c r="M431">
        <v>59</v>
      </c>
      <c r="N431" t="s">
        <v>18</v>
      </c>
      <c r="O431" t="s">
        <v>85</v>
      </c>
      <c r="P431" t="s">
        <v>90</v>
      </c>
    </row>
    <row r="432" spans="1:16" x14ac:dyDescent="0.3">
      <c r="A432">
        <v>431</v>
      </c>
      <c r="B432" s="1">
        <v>40562</v>
      </c>
      <c r="C432">
        <v>23</v>
      </c>
      <c r="D432" t="b">
        <v>0</v>
      </c>
      <c r="E432" t="s">
        <v>26</v>
      </c>
      <c r="F432" t="s">
        <v>30</v>
      </c>
      <c r="G432">
        <v>0.3</v>
      </c>
      <c r="H432">
        <v>0.2727</v>
      </c>
      <c r="I432">
        <v>0.52</v>
      </c>
      <c r="J432">
        <v>0.4627</v>
      </c>
      <c r="K432">
        <v>1</v>
      </c>
      <c r="L432">
        <v>27</v>
      </c>
      <c r="M432">
        <v>28</v>
      </c>
      <c r="N432" t="s">
        <v>18</v>
      </c>
      <c r="O432" t="s">
        <v>85</v>
      </c>
      <c r="P432" t="s">
        <v>90</v>
      </c>
    </row>
    <row r="433" spans="1:16" x14ac:dyDescent="0.3">
      <c r="A433">
        <v>432</v>
      </c>
      <c r="B433" s="1">
        <v>40563</v>
      </c>
      <c r="C433">
        <v>0</v>
      </c>
      <c r="D433" t="b">
        <v>0</v>
      </c>
      <c r="E433" t="s">
        <v>27</v>
      </c>
      <c r="F433" t="s">
        <v>30</v>
      </c>
      <c r="G433">
        <v>0.26</v>
      </c>
      <c r="H433">
        <v>0.2273</v>
      </c>
      <c r="I433">
        <v>0.56000000000000005</v>
      </c>
      <c r="J433">
        <v>0.3881</v>
      </c>
      <c r="K433">
        <v>5</v>
      </c>
      <c r="L433">
        <v>8</v>
      </c>
      <c r="M433">
        <v>13</v>
      </c>
      <c r="N433" t="s">
        <v>18</v>
      </c>
      <c r="O433" t="s">
        <v>85</v>
      </c>
      <c r="P433" t="s">
        <v>90</v>
      </c>
    </row>
    <row r="434" spans="1:16" x14ac:dyDescent="0.3">
      <c r="A434">
        <v>433</v>
      </c>
      <c r="B434" s="1">
        <v>40563</v>
      </c>
      <c r="C434">
        <v>1</v>
      </c>
      <c r="D434" t="b">
        <v>0</v>
      </c>
      <c r="E434" t="s">
        <v>27</v>
      </c>
      <c r="F434" t="s">
        <v>30</v>
      </c>
      <c r="G434">
        <v>0.26</v>
      </c>
      <c r="H434">
        <v>0.2727</v>
      </c>
      <c r="I434">
        <v>0.56000000000000005</v>
      </c>
      <c r="J434">
        <v>0</v>
      </c>
      <c r="K434">
        <v>2</v>
      </c>
      <c r="L434">
        <v>3</v>
      </c>
      <c r="M434">
        <v>5</v>
      </c>
      <c r="N434" t="s">
        <v>18</v>
      </c>
      <c r="O434" t="s">
        <v>85</v>
      </c>
      <c r="P434" t="s">
        <v>90</v>
      </c>
    </row>
    <row r="435" spans="1:16" x14ac:dyDescent="0.3">
      <c r="A435">
        <v>434</v>
      </c>
      <c r="B435" s="1">
        <v>40563</v>
      </c>
      <c r="C435">
        <v>2</v>
      </c>
      <c r="D435" t="b">
        <v>0</v>
      </c>
      <c r="E435" t="s">
        <v>27</v>
      </c>
      <c r="F435" t="s">
        <v>30</v>
      </c>
      <c r="G435">
        <v>0.26</v>
      </c>
      <c r="H435">
        <v>0.2727</v>
      </c>
      <c r="I435">
        <v>0.56000000000000005</v>
      </c>
      <c r="J435">
        <v>0</v>
      </c>
      <c r="K435">
        <v>0</v>
      </c>
      <c r="L435">
        <v>2</v>
      </c>
      <c r="M435">
        <v>2</v>
      </c>
      <c r="N435" t="s">
        <v>18</v>
      </c>
      <c r="O435" t="s">
        <v>85</v>
      </c>
      <c r="P435" t="s">
        <v>90</v>
      </c>
    </row>
    <row r="436" spans="1:16" x14ac:dyDescent="0.3">
      <c r="A436">
        <v>435</v>
      </c>
      <c r="B436" s="1">
        <v>40563</v>
      </c>
      <c r="C436">
        <v>3</v>
      </c>
      <c r="D436" t="b">
        <v>0</v>
      </c>
      <c r="E436" t="s">
        <v>27</v>
      </c>
      <c r="F436" t="s">
        <v>30</v>
      </c>
      <c r="G436">
        <v>0.26</v>
      </c>
      <c r="H436">
        <v>0.2576</v>
      </c>
      <c r="I436">
        <v>0.56000000000000005</v>
      </c>
      <c r="J436">
        <v>0.16420000000000001</v>
      </c>
      <c r="K436">
        <v>0</v>
      </c>
      <c r="L436">
        <v>1</v>
      </c>
      <c r="M436">
        <v>1</v>
      </c>
      <c r="N436" t="s">
        <v>18</v>
      </c>
      <c r="O436" t="s">
        <v>85</v>
      </c>
      <c r="P436" t="s">
        <v>90</v>
      </c>
    </row>
    <row r="437" spans="1:16" x14ac:dyDescent="0.3">
      <c r="A437">
        <v>436</v>
      </c>
      <c r="B437" s="1">
        <v>40563</v>
      </c>
      <c r="C437">
        <v>4</v>
      </c>
      <c r="D437" t="b">
        <v>0</v>
      </c>
      <c r="E437" t="s">
        <v>27</v>
      </c>
      <c r="F437" t="s">
        <v>30</v>
      </c>
      <c r="G437">
        <v>0.26</v>
      </c>
      <c r="H437">
        <v>0.2576</v>
      </c>
      <c r="I437">
        <v>0.56000000000000005</v>
      </c>
      <c r="J437">
        <v>0.16420000000000001</v>
      </c>
      <c r="K437">
        <v>0</v>
      </c>
      <c r="L437">
        <v>1</v>
      </c>
      <c r="M437">
        <v>1</v>
      </c>
      <c r="N437" t="s">
        <v>18</v>
      </c>
      <c r="O437" t="s">
        <v>85</v>
      </c>
      <c r="P437" t="s">
        <v>90</v>
      </c>
    </row>
    <row r="438" spans="1:16" x14ac:dyDescent="0.3">
      <c r="A438">
        <v>437</v>
      </c>
      <c r="B438" s="1">
        <v>40563</v>
      </c>
      <c r="C438">
        <v>5</v>
      </c>
      <c r="D438" t="b">
        <v>0</v>
      </c>
      <c r="E438" t="s">
        <v>27</v>
      </c>
      <c r="F438" t="s">
        <v>30</v>
      </c>
      <c r="G438">
        <v>0.24</v>
      </c>
      <c r="H438">
        <v>0.2273</v>
      </c>
      <c r="I438">
        <v>0.6</v>
      </c>
      <c r="J438">
        <v>0.22389999999999999</v>
      </c>
      <c r="K438">
        <v>0</v>
      </c>
      <c r="L438">
        <v>6</v>
      </c>
      <c r="M438">
        <v>6</v>
      </c>
      <c r="N438" t="s">
        <v>18</v>
      </c>
      <c r="O438" t="s">
        <v>85</v>
      </c>
      <c r="P438" t="s">
        <v>90</v>
      </c>
    </row>
    <row r="439" spans="1:16" x14ac:dyDescent="0.3">
      <c r="A439">
        <v>438</v>
      </c>
      <c r="B439" s="1">
        <v>40563</v>
      </c>
      <c r="C439">
        <v>6</v>
      </c>
      <c r="D439" t="b">
        <v>0</v>
      </c>
      <c r="E439" t="s">
        <v>27</v>
      </c>
      <c r="F439" t="s">
        <v>30</v>
      </c>
      <c r="G439">
        <v>0.22</v>
      </c>
      <c r="H439">
        <v>0.21210000000000001</v>
      </c>
      <c r="I439">
        <v>0.6</v>
      </c>
      <c r="J439">
        <v>0.22389999999999999</v>
      </c>
      <c r="K439">
        <v>0</v>
      </c>
      <c r="L439">
        <v>35</v>
      </c>
      <c r="M439">
        <v>35</v>
      </c>
      <c r="N439" t="s">
        <v>18</v>
      </c>
      <c r="O439" t="s">
        <v>85</v>
      </c>
      <c r="P439" t="s">
        <v>90</v>
      </c>
    </row>
    <row r="440" spans="1:16" x14ac:dyDescent="0.3">
      <c r="A440">
        <v>439</v>
      </c>
      <c r="B440" s="1">
        <v>40563</v>
      </c>
      <c r="C440">
        <v>7</v>
      </c>
      <c r="D440" t="b">
        <v>0</v>
      </c>
      <c r="E440" t="s">
        <v>27</v>
      </c>
      <c r="F440" t="s">
        <v>30</v>
      </c>
      <c r="G440">
        <v>0.22</v>
      </c>
      <c r="H440">
        <v>0.21210000000000001</v>
      </c>
      <c r="I440">
        <v>0.55000000000000004</v>
      </c>
      <c r="J440">
        <v>0.22389999999999999</v>
      </c>
      <c r="K440">
        <v>1</v>
      </c>
      <c r="L440">
        <v>100</v>
      </c>
      <c r="M440">
        <v>101</v>
      </c>
      <c r="N440" t="s">
        <v>18</v>
      </c>
      <c r="O440" t="s">
        <v>86</v>
      </c>
      <c r="P440" t="s">
        <v>90</v>
      </c>
    </row>
    <row r="441" spans="1:16" x14ac:dyDescent="0.3">
      <c r="A441">
        <v>440</v>
      </c>
      <c r="B441" s="1">
        <v>40563</v>
      </c>
      <c r="C441">
        <v>8</v>
      </c>
      <c r="D441" t="b">
        <v>0</v>
      </c>
      <c r="E441" t="s">
        <v>27</v>
      </c>
      <c r="F441" t="s">
        <v>30</v>
      </c>
      <c r="G441">
        <v>0.22</v>
      </c>
      <c r="H441">
        <v>0.21210000000000001</v>
      </c>
      <c r="I441">
        <v>0.55000000000000004</v>
      </c>
      <c r="J441">
        <v>0.28360000000000002</v>
      </c>
      <c r="K441">
        <v>2</v>
      </c>
      <c r="L441">
        <v>247</v>
      </c>
      <c r="M441">
        <v>249</v>
      </c>
      <c r="N441" t="s">
        <v>18</v>
      </c>
      <c r="O441" t="s">
        <v>86</v>
      </c>
      <c r="P441" t="s">
        <v>90</v>
      </c>
    </row>
    <row r="442" spans="1:16" x14ac:dyDescent="0.3">
      <c r="A442">
        <v>441</v>
      </c>
      <c r="B442" s="1">
        <v>40563</v>
      </c>
      <c r="C442">
        <v>9</v>
      </c>
      <c r="D442" t="b">
        <v>0</v>
      </c>
      <c r="E442" t="s">
        <v>27</v>
      </c>
      <c r="F442" t="s">
        <v>31</v>
      </c>
      <c r="G442">
        <v>0.24</v>
      </c>
      <c r="H442">
        <v>0.2273</v>
      </c>
      <c r="I442">
        <v>0.52</v>
      </c>
      <c r="J442">
        <v>0.22389999999999999</v>
      </c>
      <c r="K442">
        <v>3</v>
      </c>
      <c r="L442">
        <v>140</v>
      </c>
      <c r="M442">
        <v>143</v>
      </c>
      <c r="N442" t="s">
        <v>18</v>
      </c>
      <c r="O442" t="s">
        <v>86</v>
      </c>
      <c r="P442" t="s">
        <v>91</v>
      </c>
    </row>
    <row r="443" spans="1:16" x14ac:dyDescent="0.3">
      <c r="A443">
        <v>442</v>
      </c>
      <c r="B443" s="1">
        <v>40563</v>
      </c>
      <c r="C443">
        <v>10</v>
      </c>
      <c r="D443" t="b">
        <v>0</v>
      </c>
      <c r="E443" t="s">
        <v>27</v>
      </c>
      <c r="F443" t="s">
        <v>30</v>
      </c>
      <c r="G443">
        <v>0.26</v>
      </c>
      <c r="H443">
        <v>0.2273</v>
      </c>
      <c r="I443">
        <v>0.48</v>
      </c>
      <c r="J443">
        <v>0.29849999999999999</v>
      </c>
      <c r="K443">
        <v>1</v>
      </c>
      <c r="L443">
        <v>56</v>
      </c>
      <c r="M443">
        <v>57</v>
      </c>
      <c r="N443" t="s">
        <v>18</v>
      </c>
      <c r="O443" t="s">
        <v>85</v>
      </c>
      <c r="P443" t="s">
        <v>90</v>
      </c>
    </row>
    <row r="444" spans="1:16" x14ac:dyDescent="0.3">
      <c r="A444">
        <v>443</v>
      </c>
      <c r="B444" s="1">
        <v>40563</v>
      </c>
      <c r="C444">
        <v>11</v>
      </c>
      <c r="D444" t="b">
        <v>0</v>
      </c>
      <c r="E444" t="s">
        <v>27</v>
      </c>
      <c r="F444" t="s">
        <v>31</v>
      </c>
      <c r="G444">
        <v>0.28000000000000003</v>
      </c>
      <c r="H444">
        <v>0.2727</v>
      </c>
      <c r="I444">
        <v>0.45</v>
      </c>
      <c r="J444">
        <v>0.16420000000000001</v>
      </c>
      <c r="K444">
        <v>5</v>
      </c>
      <c r="L444">
        <v>63</v>
      </c>
      <c r="M444">
        <v>68</v>
      </c>
      <c r="N444" t="s">
        <v>18</v>
      </c>
      <c r="O444" t="s">
        <v>85</v>
      </c>
      <c r="P444" t="s">
        <v>91</v>
      </c>
    </row>
    <row r="445" spans="1:16" x14ac:dyDescent="0.3">
      <c r="A445">
        <v>444</v>
      </c>
      <c r="B445" s="1">
        <v>40563</v>
      </c>
      <c r="C445">
        <v>12</v>
      </c>
      <c r="D445" t="b">
        <v>0</v>
      </c>
      <c r="E445" t="s">
        <v>27</v>
      </c>
      <c r="F445" t="s">
        <v>31</v>
      </c>
      <c r="G445">
        <v>0.3</v>
      </c>
      <c r="H445">
        <v>0.33329999999999999</v>
      </c>
      <c r="I445">
        <v>0.42</v>
      </c>
      <c r="J445">
        <v>0</v>
      </c>
      <c r="K445">
        <v>7</v>
      </c>
      <c r="L445">
        <v>77</v>
      </c>
      <c r="M445">
        <v>84</v>
      </c>
      <c r="N445" t="s">
        <v>18</v>
      </c>
      <c r="O445" t="s">
        <v>85</v>
      </c>
      <c r="P445" t="s">
        <v>91</v>
      </c>
    </row>
    <row r="446" spans="1:16" x14ac:dyDescent="0.3">
      <c r="A446">
        <v>445</v>
      </c>
      <c r="B446" s="1">
        <v>40563</v>
      </c>
      <c r="C446">
        <v>13</v>
      </c>
      <c r="D446" t="b">
        <v>0</v>
      </c>
      <c r="E446" t="s">
        <v>27</v>
      </c>
      <c r="F446" t="s">
        <v>31</v>
      </c>
      <c r="G446">
        <v>0.28000000000000003</v>
      </c>
      <c r="H446">
        <v>0.28789999999999999</v>
      </c>
      <c r="I446">
        <v>0.45</v>
      </c>
      <c r="J446">
        <v>0.1045</v>
      </c>
      <c r="K446">
        <v>12</v>
      </c>
      <c r="L446">
        <v>86</v>
      </c>
      <c r="M446">
        <v>98</v>
      </c>
      <c r="N446" t="s">
        <v>18</v>
      </c>
      <c r="O446" t="s">
        <v>85</v>
      </c>
      <c r="P446" t="s">
        <v>91</v>
      </c>
    </row>
    <row r="447" spans="1:16" x14ac:dyDescent="0.3">
      <c r="A447">
        <v>446</v>
      </c>
      <c r="B447" s="1">
        <v>40563</v>
      </c>
      <c r="C447">
        <v>14</v>
      </c>
      <c r="D447" t="b">
        <v>0</v>
      </c>
      <c r="E447" t="s">
        <v>27</v>
      </c>
      <c r="F447" t="s">
        <v>31</v>
      </c>
      <c r="G447">
        <v>0.3</v>
      </c>
      <c r="H447">
        <v>0.30299999999999999</v>
      </c>
      <c r="I447">
        <v>0.45</v>
      </c>
      <c r="J447">
        <v>0.1343</v>
      </c>
      <c r="K447">
        <v>6</v>
      </c>
      <c r="L447">
        <v>75</v>
      </c>
      <c r="M447">
        <v>81</v>
      </c>
      <c r="N447" t="s">
        <v>18</v>
      </c>
      <c r="O447" t="s">
        <v>85</v>
      </c>
      <c r="P447" t="s">
        <v>91</v>
      </c>
    </row>
    <row r="448" spans="1:16" x14ac:dyDescent="0.3">
      <c r="A448">
        <v>447</v>
      </c>
      <c r="B448" s="1">
        <v>40563</v>
      </c>
      <c r="C448">
        <v>15</v>
      </c>
      <c r="D448" t="b">
        <v>0</v>
      </c>
      <c r="E448" t="s">
        <v>27</v>
      </c>
      <c r="F448" t="s">
        <v>31</v>
      </c>
      <c r="G448">
        <v>0.32</v>
      </c>
      <c r="H448">
        <v>0.31819999999999998</v>
      </c>
      <c r="I448">
        <v>0.45</v>
      </c>
      <c r="J448">
        <v>0.19400000000000001</v>
      </c>
      <c r="K448">
        <v>8</v>
      </c>
      <c r="L448">
        <v>62</v>
      </c>
      <c r="M448">
        <v>70</v>
      </c>
      <c r="N448" t="s">
        <v>18</v>
      </c>
      <c r="O448" t="s">
        <v>85</v>
      </c>
      <c r="P448" t="s">
        <v>91</v>
      </c>
    </row>
    <row r="449" spans="1:16" x14ac:dyDescent="0.3">
      <c r="A449">
        <v>448</v>
      </c>
      <c r="B449" s="1">
        <v>40563</v>
      </c>
      <c r="C449">
        <v>16</v>
      </c>
      <c r="D449" t="b">
        <v>0</v>
      </c>
      <c r="E449" t="s">
        <v>27</v>
      </c>
      <c r="F449" t="s">
        <v>31</v>
      </c>
      <c r="G449">
        <v>0.3</v>
      </c>
      <c r="H449">
        <v>0.30299999999999999</v>
      </c>
      <c r="I449">
        <v>0.49</v>
      </c>
      <c r="J449">
        <v>0.1343</v>
      </c>
      <c r="K449">
        <v>8</v>
      </c>
      <c r="L449">
        <v>83</v>
      </c>
      <c r="M449">
        <v>91</v>
      </c>
      <c r="N449" t="s">
        <v>18</v>
      </c>
      <c r="O449" t="s">
        <v>85</v>
      </c>
      <c r="P449" t="s">
        <v>91</v>
      </c>
    </row>
    <row r="450" spans="1:16" x14ac:dyDescent="0.3">
      <c r="A450">
        <v>449</v>
      </c>
      <c r="B450" s="1">
        <v>40563</v>
      </c>
      <c r="C450">
        <v>17</v>
      </c>
      <c r="D450" t="b">
        <v>0</v>
      </c>
      <c r="E450" t="s">
        <v>27</v>
      </c>
      <c r="F450" t="s">
        <v>31</v>
      </c>
      <c r="G450">
        <v>0.3</v>
      </c>
      <c r="H450">
        <v>0.31819999999999998</v>
      </c>
      <c r="I450">
        <v>0.49</v>
      </c>
      <c r="J450">
        <v>0.1045</v>
      </c>
      <c r="K450">
        <v>8</v>
      </c>
      <c r="L450">
        <v>207</v>
      </c>
      <c r="M450">
        <v>215</v>
      </c>
      <c r="N450" t="s">
        <v>18</v>
      </c>
      <c r="O450" t="s">
        <v>87</v>
      </c>
      <c r="P450" t="s">
        <v>91</v>
      </c>
    </row>
    <row r="451" spans="1:16" x14ac:dyDescent="0.3">
      <c r="A451">
        <v>450</v>
      </c>
      <c r="B451" s="1">
        <v>40563</v>
      </c>
      <c r="C451">
        <v>18</v>
      </c>
      <c r="D451" t="b">
        <v>0</v>
      </c>
      <c r="E451" t="s">
        <v>27</v>
      </c>
      <c r="F451" t="s">
        <v>31</v>
      </c>
      <c r="G451">
        <v>0.26</v>
      </c>
      <c r="H451">
        <v>0.2576</v>
      </c>
      <c r="I451">
        <v>0.56000000000000005</v>
      </c>
      <c r="J451">
        <v>0.19400000000000001</v>
      </c>
      <c r="K451">
        <v>1</v>
      </c>
      <c r="L451">
        <v>184</v>
      </c>
      <c r="M451">
        <v>185</v>
      </c>
      <c r="N451" t="s">
        <v>18</v>
      </c>
      <c r="O451" t="s">
        <v>87</v>
      </c>
      <c r="P451" t="s">
        <v>91</v>
      </c>
    </row>
    <row r="452" spans="1:16" x14ac:dyDescent="0.3">
      <c r="A452">
        <v>451</v>
      </c>
      <c r="B452" s="1">
        <v>40563</v>
      </c>
      <c r="C452">
        <v>19</v>
      </c>
      <c r="D452" t="b">
        <v>0</v>
      </c>
      <c r="E452" t="s">
        <v>27</v>
      </c>
      <c r="F452" t="s">
        <v>30</v>
      </c>
      <c r="G452">
        <v>0.26</v>
      </c>
      <c r="H452">
        <v>0.2273</v>
      </c>
      <c r="I452">
        <v>0.56000000000000005</v>
      </c>
      <c r="J452">
        <v>0.32840000000000003</v>
      </c>
      <c r="K452">
        <v>6</v>
      </c>
      <c r="L452">
        <v>146</v>
      </c>
      <c r="M452">
        <v>152</v>
      </c>
      <c r="N452" t="s">
        <v>18</v>
      </c>
      <c r="O452" t="s">
        <v>87</v>
      </c>
      <c r="P452" t="s">
        <v>90</v>
      </c>
    </row>
    <row r="453" spans="1:16" x14ac:dyDescent="0.3">
      <c r="A453">
        <v>452</v>
      </c>
      <c r="B453" s="1">
        <v>40563</v>
      </c>
      <c r="C453">
        <v>20</v>
      </c>
      <c r="D453" t="b">
        <v>0</v>
      </c>
      <c r="E453" t="s">
        <v>27</v>
      </c>
      <c r="F453" t="s">
        <v>31</v>
      </c>
      <c r="G453">
        <v>0.26</v>
      </c>
      <c r="H453">
        <v>0.2424</v>
      </c>
      <c r="I453">
        <v>0.6</v>
      </c>
      <c r="J453">
        <v>0.28360000000000002</v>
      </c>
      <c r="K453">
        <v>2</v>
      </c>
      <c r="L453">
        <v>124</v>
      </c>
      <c r="M453">
        <v>126</v>
      </c>
      <c r="N453" t="s">
        <v>18</v>
      </c>
      <c r="O453" t="s">
        <v>85</v>
      </c>
      <c r="P453" t="s">
        <v>91</v>
      </c>
    </row>
    <row r="454" spans="1:16" x14ac:dyDescent="0.3">
      <c r="A454">
        <v>453</v>
      </c>
      <c r="B454" s="1">
        <v>40563</v>
      </c>
      <c r="C454">
        <v>21</v>
      </c>
      <c r="D454" t="b">
        <v>0</v>
      </c>
      <c r="E454" t="s">
        <v>27</v>
      </c>
      <c r="F454" t="s">
        <v>31</v>
      </c>
      <c r="G454">
        <v>0.24</v>
      </c>
      <c r="H454">
        <v>0.2273</v>
      </c>
      <c r="I454">
        <v>0.6</v>
      </c>
      <c r="J454">
        <v>0.25369999999999998</v>
      </c>
      <c r="K454">
        <v>3</v>
      </c>
      <c r="L454">
        <v>54</v>
      </c>
      <c r="M454">
        <v>57</v>
      </c>
      <c r="N454" t="s">
        <v>18</v>
      </c>
      <c r="O454" t="s">
        <v>85</v>
      </c>
      <c r="P454" t="s">
        <v>91</v>
      </c>
    </row>
    <row r="455" spans="1:16" x14ac:dyDescent="0.3">
      <c r="A455">
        <v>454</v>
      </c>
      <c r="B455" s="1">
        <v>40563</v>
      </c>
      <c r="C455">
        <v>22</v>
      </c>
      <c r="D455" t="b">
        <v>0</v>
      </c>
      <c r="E455" t="s">
        <v>27</v>
      </c>
      <c r="F455" t="s">
        <v>31</v>
      </c>
      <c r="G455">
        <v>0.24</v>
      </c>
      <c r="H455">
        <v>0.21210000000000001</v>
      </c>
      <c r="I455">
        <v>0.65</v>
      </c>
      <c r="J455">
        <v>0.28360000000000002</v>
      </c>
      <c r="K455">
        <v>0</v>
      </c>
      <c r="L455">
        <v>56</v>
      </c>
      <c r="M455">
        <v>56</v>
      </c>
      <c r="N455" t="s">
        <v>18</v>
      </c>
      <c r="O455" t="s">
        <v>85</v>
      </c>
      <c r="P455" t="s">
        <v>91</v>
      </c>
    </row>
    <row r="456" spans="1:16" x14ac:dyDescent="0.3">
      <c r="A456">
        <v>455</v>
      </c>
      <c r="B456" s="1">
        <v>40563</v>
      </c>
      <c r="C456">
        <v>23</v>
      </c>
      <c r="D456" t="b">
        <v>0</v>
      </c>
      <c r="E456" t="s">
        <v>27</v>
      </c>
      <c r="F456" t="s">
        <v>31</v>
      </c>
      <c r="G456">
        <v>0.24</v>
      </c>
      <c r="H456">
        <v>0.21210000000000001</v>
      </c>
      <c r="I456">
        <v>0.65</v>
      </c>
      <c r="J456">
        <v>0.32840000000000003</v>
      </c>
      <c r="K456">
        <v>3</v>
      </c>
      <c r="L456">
        <v>28</v>
      </c>
      <c r="M456">
        <v>31</v>
      </c>
      <c r="N456" t="s">
        <v>18</v>
      </c>
      <c r="O456" t="s">
        <v>85</v>
      </c>
      <c r="P456" t="s">
        <v>91</v>
      </c>
    </row>
    <row r="457" spans="1:16" x14ac:dyDescent="0.3">
      <c r="A457">
        <v>456</v>
      </c>
      <c r="B457" s="1">
        <v>40564</v>
      </c>
      <c r="C457">
        <v>0</v>
      </c>
      <c r="D457" t="b">
        <v>0</v>
      </c>
      <c r="E457" t="s">
        <v>28</v>
      </c>
      <c r="F457" t="s">
        <v>31</v>
      </c>
      <c r="G457">
        <v>0.24</v>
      </c>
      <c r="H457">
        <v>0.2273</v>
      </c>
      <c r="I457">
        <v>0.7</v>
      </c>
      <c r="J457">
        <v>0.25369999999999998</v>
      </c>
      <c r="K457">
        <v>1</v>
      </c>
      <c r="L457">
        <v>20</v>
      </c>
      <c r="M457">
        <v>21</v>
      </c>
      <c r="N457" t="s">
        <v>18</v>
      </c>
      <c r="O457" t="s">
        <v>85</v>
      </c>
      <c r="P457" t="s">
        <v>91</v>
      </c>
    </row>
    <row r="458" spans="1:16" x14ac:dyDescent="0.3">
      <c r="A458">
        <v>457</v>
      </c>
      <c r="B458" s="1">
        <v>40564</v>
      </c>
      <c r="C458">
        <v>1</v>
      </c>
      <c r="D458" t="b">
        <v>0</v>
      </c>
      <c r="E458" t="s">
        <v>28</v>
      </c>
      <c r="F458" t="s">
        <v>31</v>
      </c>
      <c r="G458">
        <v>0.24</v>
      </c>
      <c r="H458">
        <v>0.2273</v>
      </c>
      <c r="I458">
        <v>0.7</v>
      </c>
      <c r="J458">
        <v>0.25369999999999998</v>
      </c>
      <c r="K458">
        <v>0</v>
      </c>
      <c r="L458">
        <v>6</v>
      </c>
      <c r="M458">
        <v>6</v>
      </c>
      <c r="N458" t="s">
        <v>18</v>
      </c>
      <c r="O458" t="s">
        <v>85</v>
      </c>
      <c r="P458" t="s">
        <v>91</v>
      </c>
    </row>
    <row r="459" spans="1:16" x14ac:dyDescent="0.3">
      <c r="A459">
        <v>458</v>
      </c>
      <c r="B459" s="1">
        <v>40564</v>
      </c>
      <c r="C459">
        <v>2</v>
      </c>
      <c r="D459" t="b">
        <v>0</v>
      </c>
      <c r="E459" t="s">
        <v>28</v>
      </c>
      <c r="F459" t="s">
        <v>32</v>
      </c>
      <c r="G459">
        <v>0.24</v>
      </c>
      <c r="H459">
        <v>0.2424</v>
      </c>
      <c r="I459">
        <v>0.75</v>
      </c>
      <c r="J459">
        <v>0.16420000000000001</v>
      </c>
      <c r="K459">
        <v>0</v>
      </c>
      <c r="L459">
        <v>2</v>
      </c>
      <c r="M459">
        <v>2</v>
      </c>
      <c r="N459" t="s">
        <v>18</v>
      </c>
      <c r="O459" t="s">
        <v>85</v>
      </c>
      <c r="P459" t="s">
        <v>92</v>
      </c>
    </row>
    <row r="460" spans="1:16" x14ac:dyDescent="0.3">
      <c r="A460">
        <v>459</v>
      </c>
      <c r="B460" s="1">
        <v>40564</v>
      </c>
      <c r="C460">
        <v>3</v>
      </c>
      <c r="D460" t="b">
        <v>0</v>
      </c>
      <c r="E460" t="s">
        <v>28</v>
      </c>
      <c r="F460" t="s">
        <v>32</v>
      </c>
      <c r="G460">
        <v>0.22</v>
      </c>
      <c r="H460">
        <v>0.21210000000000001</v>
      </c>
      <c r="I460">
        <v>0.8</v>
      </c>
      <c r="J460">
        <v>0.29849999999999999</v>
      </c>
      <c r="K460">
        <v>0</v>
      </c>
      <c r="L460">
        <v>1</v>
      </c>
      <c r="M460">
        <v>1</v>
      </c>
      <c r="N460" t="s">
        <v>18</v>
      </c>
      <c r="O460" t="s">
        <v>85</v>
      </c>
      <c r="P460" t="s">
        <v>92</v>
      </c>
    </row>
    <row r="461" spans="1:16" x14ac:dyDescent="0.3">
      <c r="A461">
        <v>460</v>
      </c>
      <c r="B461" s="1">
        <v>40564</v>
      </c>
      <c r="C461">
        <v>4</v>
      </c>
      <c r="D461" t="b">
        <v>0</v>
      </c>
      <c r="E461" t="s">
        <v>28</v>
      </c>
      <c r="F461" t="s">
        <v>31</v>
      </c>
      <c r="G461">
        <v>0.22</v>
      </c>
      <c r="H461">
        <v>0.2576</v>
      </c>
      <c r="I461">
        <v>0.87</v>
      </c>
      <c r="J461">
        <v>8.9599999999999999E-2</v>
      </c>
      <c r="K461">
        <v>0</v>
      </c>
      <c r="L461">
        <v>1</v>
      </c>
      <c r="M461">
        <v>1</v>
      </c>
      <c r="N461" t="s">
        <v>18</v>
      </c>
      <c r="O461" t="s">
        <v>85</v>
      </c>
      <c r="P461" t="s">
        <v>91</v>
      </c>
    </row>
    <row r="462" spans="1:16" x14ac:dyDescent="0.3">
      <c r="A462">
        <v>461</v>
      </c>
      <c r="B462" s="1">
        <v>40564</v>
      </c>
      <c r="C462">
        <v>5</v>
      </c>
      <c r="D462" t="b">
        <v>0</v>
      </c>
      <c r="E462" t="s">
        <v>28</v>
      </c>
      <c r="F462" t="s">
        <v>30</v>
      </c>
      <c r="G462">
        <v>0.24</v>
      </c>
      <c r="H462">
        <v>0.19700000000000001</v>
      </c>
      <c r="I462">
        <v>0.6</v>
      </c>
      <c r="J462">
        <v>0.41789999999999999</v>
      </c>
      <c r="K462">
        <v>1</v>
      </c>
      <c r="L462">
        <v>4</v>
      </c>
      <c r="M462">
        <v>5</v>
      </c>
      <c r="N462" t="s">
        <v>18</v>
      </c>
      <c r="O462" t="s">
        <v>85</v>
      </c>
      <c r="P462" t="s">
        <v>90</v>
      </c>
    </row>
    <row r="463" spans="1:16" x14ac:dyDescent="0.3">
      <c r="A463">
        <v>462</v>
      </c>
      <c r="B463" s="1">
        <v>40564</v>
      </c>
      <c r="C463">
        <v>6</v>
      </c>
      <c r="D463" t="b">
        <v>0</v>
      </c>
      <c r="E463" t="s">
        <v>28</v>
      </c>
      <c r="F463" t="s">
        <v>30</v>
      </c>
      <c r="G463">
        <v>0.22</v>
      </c>
      <c r="H463">
        <v>0.21210000000000001</v>
      </c>
      <c r="I463">
        <v>0.55000000000000004</v>
      </c>
      <c r="J463">
        <v>0.25369999999999998</v>
      </c>
      <c r="K463">
        <v>0</v>
      </c>
      <c r="L463">
        <v>27</v>
      </c>
      <c r="M463">
        <v>27</v>
      </c>
      <c r="N463" t="s">
        <v>18</v>
      </c>
      <c r="O463" t="s">
        <v>85</v>
      </c>
      <c r="P463" t="s">
        <v>90</v>
      </c>
    </row>
    <row r="464" spans="1:16" x14ac:dyDescent="0.3">
      <c r="A464">
        <v>463</v>
      </c>
      <c r="B464" s="1">
        <v>40564</v>
      </c>
      <c r="C464">
        <v>7</v>
      </c>
      <c r="D464" t="b">
        <v>0</v>
      </c>
      <c r="E464" t="s">
        <v>28</v>
      </c>
      <c r="F464" t="s">
        <v>30</v>
      </c>
      <c r="G464">
        <v>0.2</v>
      </c>
      <c r="H464">
        <v>0.18179999999999999</v>
      </c>
      <c r="I464">
        <v>0.51</v>
      </c>
      <c r="J464">
        <v>0.28360000000000002</v>
      </c>
      <c r="K464">
        <v>2</v>
      </c>
      <c r="L464">
        <v>66</v>
      </c>
      <c r="M464">
        <v>68</v>
      </c>
      <c r="N464" t="s">
        <v>18</v>
      </c>
      <c r="O464" t="s">
        <v>86</v>
      </c>
      <c r="P464" t="s">
        <v>90</v>
      </c>
    </row>
    <row r="465" spans="1:16" x14ac:dyDescent="0.3">
      <c r="A465">
        <v>464</v>
      </c>
      <c r="B465" s="1">
        <v>40564</v>
      </c>
      <c r="C465">
        <v>8</v>
      </c>
      <c r="D465" t="b">
        <v>0</v>
      </c>
      <c r="E465" t="s">
        <v>28</v>
      </c>
      <c r="F465" t="s">
        <v>30</v>
      </c>
      <c r="G465">
        <v>0.2</v>
      </c>
      <c r="H465">
        <v>0.18179999999999999</v>
      </c>
      <c r="I465">
        <v>0.47</v>
      </c>
      <c r="J465">
        <v>0.32840000000000003</v>
      </c>
      <c r="K465">
        <v>7</v>
      </c>
      <c r="L465">
        <v>210</v>
      </c>
      <c r="M465">
        <v>217</v>
      </c>
      <c r="N465" t="s">
        <v>18</v>
      </c>
      <c r="O465" t="s">
        <v>86</v>
      </c>
      <c r="P465" t="s">
        <v>90</v>
      </c>
    </row>
    <row r="466" spans="1:16" x14ac:dyDescent="0.3">
      <c r="A466">
        <v>465</v>
      </c>
      <c r="B466" s="1">
        <v>40564</v>
      </c>
      <c r="C466">
        <v>9</v>
      </c>
      <c r="D466" t="b">
        <v>0</v>
      </c>
      <c r="E466" t="s">
        <v>28</v>
      </c>
      <c r="F466" t="s">
        <v>30</v>
      </c>
      <c r="G466">
        <v>0.2</v>
      </c>
      <c r="H466">
        <v>0.18179999999999999</v>
      </c>
      <c r="I466">
        <v>0.51</v>
      </c>
      <c r="J466">
        <v>0.35820000000000002</v>
      </c>
      <c r="K466">
        <v>7</v>
      </c>
      <c r="L466">
        <v>159</v>
      </c>
      <c r="M466">
        <v>166</v>
      </c>
      <c r="N466" t="s">
        <v>18</v>
      </c>
      <c r="O466" t="s">
        <v>86</v>
      </c>
      <c r="P466" t="s">
        <v>90</v>
      </c>
    </row>
    <row r="467" spans="1:16" x14ac:dyDescent="0.3">
      <c r="A467">
        <v>466</v>
      </c>
      <c r="B467" s="1">
        <v>40564</v>
      </c>
      <c r="C467">
        <v>10</v>
      </c>
      <c r="D467" t="b">
        <v>0</v>
      </c>
      <c r="E467" t="s">
        <v>28</v>
      </c>
      <c r="F467" t="s">
        <v>30</v>
      </c>
      <c r="G467">
        <v>0.2</v>
      </c>
      <c r="H467">
        <v>0.16669999999999999</v>
      </c>
      <c r="I467">
        <v>0.47</v>
      </c>
      <c r="J467">
        <v>0.4627</v>
      </c>
      <c r="K467">
        <v>6</v>
      </c>
      <c r="L467">
        <v>57</v>
      </c>
      <c r="M467">
        <v>63</v>
      </c>
      <c r="N467" t="s">
        <v>18</v>
      </c>
      <c r="O467" t="s">
        <v>85</v>
      </c>
      <c r="P467" t="s">
        <v>90</v>
      </c>
    </row>
    <row r="468" spans="1:16" x14ac:dyDescent="0.3">
      <c r="A468">
        <v>467</v>
      </c>
      <c r="B468" s="1">
        <v>40564</v>
      </c>
      <c r="C468">
        <v>11</v>
      </c>
      <c r="D468" t="b">
        <v>0</v>
      </c>
      <c r="E468" t="s">
        <v>28</v>
      </c>
      <c r="F468" t="s">
        <v>30</v>
      </c>
      <c r="G468">
        <v>0.22</v>
      </c>
      <c r="H468">
        <v>0.18179999999999999</v>
      </c>
      <c r="I468">
        <v>0.41</v>
      </c>
      <c r="J468">
        <v>0.4627</v>
      </c>
      <c r="K468">
        <v>6</v>
      </c>
      <c r="L468">
        <v>53</v>
      </c>
      <c r="M468">
        <v>59</v>
      </c>
      <c r="N468" t="s">
        <v>18</v>
      </c>
      <c r="O468" t="s">
        <v>85</v>
      </c>
      <c r="P468" t="s">
        <v>90</v>
      </c>
    </row>
    <row r="469" spans="1:16" x14ac:dyDescent="0.3">
      <c r="A469">
        <v>468</v>
      </c>
      <c r="B469" s="1">
        <v>40564</v>
      </c>
      <c r="C469">
        <v>12</v>
      </c>
      <c r="D469" t="b">
        <v>0</v>
      </c>
      <c r="E469" t="s">
        <v>28</v>
      </c>
      <c r="F469" t="s">
        <v>30</v>
      </c>
      <c r="G469">
        <v>0.22</v>
      </c>
      <c r="H469">
        <v>0.18179999999999999</v>
      </c>
      <c r="I469">
        <v>0.27</v>
      </c>
      <c r="J469">
        <v>0.58209999999999995</v>
      </c>
      <c r="K469">
        <v>11</v>
      </c>
      <c r="L469">
        <v>67</v>
      </c>
      <c r="M469">
        <v>78</v>
      </c>
      <c r="N469" t="s">
        <v>18</v>
      </c>
      <c r="O469" t="s">
        <v>85</v>
      </c>
      <c r="P469" t="s">
        <v>90</v>
      </c>
    </row>
    <row r="470" spans="1:16" x14ac:dyDescent="0.3">
      <c r="A470">
        <v>469</v>
      </c>
      <c r="B470" s="1">
        <v>40564</v>
      </c>
      <c r="C470">
        <v>13</v>
      </c>
      <c r="D470" t="b">
        <v>0</v>
      </c>
      <c r="E470" t="s">
        <v>28</v>
      </c>
      <c r="F470" t="s">
        <v>30</v>
      </c>
      <c r="G470">
        <v>0.2</v>
      </c>
      <c r="H470">
        <v>0.1515</v>
      </c>
      <c r="I470">
        <v>0.21</v>
      </c>
      <c r="J470">
        <v>0.58209999999999995</v>
      </c>
      <c r="K470">
        <v>8</v>
      </c>
      <c r="L470">
        <v>65</v>
      </c>
      <c r="M470">
        <v>73</v>
      </c>
      <c r="N470" t="s">
        <v>18</v>
      </c>
      <c r="O470" t="s">
        <v>85</v>
      </c>
      <c r="P470" t="s">
        <v>90</v>
      </c>
    </row>
    <row r="471" spans="1:16" x14ac:dyDescent="0.3">
      <c r="A471">
        <v>470</v>
      </c>
      <c r="B471" s="1">
        <v>40564</v>
      </c>
      <c r="C471">
        <v>14</v>
      </c>
      <c r="D471" t="b">
        <v>0</v>
      </c>
      <c r="E471" t="s">
        <v>28</v>
      </c>
      <c r="F471" t="s">
        <v>30</v>
      </c>
      <c r="G471">
        <v>0.2</v>
      </c>
      <c r="H471">
        <v>0.1515</v>
      </c>
      <c r="I471">
        <v>0.25</v>
      </c>
      <c r="J471">
        <v>0.52239999999999998</v>
      </c>
      <c r="K471">
        <v>6</v>
      </c>
      <c r="L471">
        <v>56</v>
      </c>
      <c r="M471">
        <v>62</v>
      </c>
      <c r="N471" t="s">
        <v>18</v>
      </c>
      <c r="O471" t="s">
        <v>85</v>
      </c>
      <c r="P471" t="s">
        <v>90</v>
      </c>
    </row>
    <row r="472" spans="1:16" x14ac:dyDescent="0.3">
      <c r="A472">
        <v>471</v>
      </c>
      <c r="B472" s="1">
        <v>40564</v>
      </c>
      <c r="C472">
        <v>15</v>
      </c>
      <c r="D472" t="b">
        <v>0</v>
      </c>
      <c r="E472" t="s">
        <v>28</v>
      </c>
      <c r="F472" t="s">
        <v>30</v>
      </c>
      <c r="G472">
        <v>0.16</v>
      </c>
      <c r="H472">
        <v>0.1212</v>
      </c>
      <c r="I472">
        <v>0.26</v>
      </c>
      <c r="J472">
        <v>0.44779999999999998</v>
      </c>
      <c r="K472">
        <v>4</v>
      </c>
      <c r="L472">
        <v>61</v>
      </c>
      <c r="M472">
        <v>65</v>
      </c>
      <c r="N472" t="s">
        <v>18</v>
      </c>
      <c r="O472" t="s">
        <v>85</v>
      </c>
      <c r="P472" t="s">
        <v>90</v>
      </c>
    </row>
    <row r="473" spans="1:16" x14ac:dyDescent="0.3">
      <c r="A473">
        <v>472</v>
      </c>
      <c r="B473" s="1">
        <v>40564</v>
      </c>
      <c r="C473">
        <v>16</v>
      </c>
      <c r="D473" t="b">
        <v>0</v>
      </c>
      <c r="E473" t="s">
        <v>28</v>
      </c>
      <c r="F473" t="s">
        <v>30</v>
      </c>
      <c r="G473">
        <v>0.16</v>
      </c>
      <c r="H473">
        <v>0.13639999999999999</v>
      </c>
      <c r="I473">
        <v>0.26</v>
      </c>
      <c r="J473">
        <v>0.35820000000000002</v>
      </c>
      <c r="K473">
        <v>0</v>
      </c>
      <c r="L473">
        <v>97</v>
      </c>
      <c r="M473">
        <v>97</v>
      </c>
      <c r="N473" t="s">
        <v>18</v>
      </c>
      <c r="O473" t="s">
        <v>85</v>
      </c>
      <c r="P473" t="s">
        <v>90</v>
      </c>
    </row>
    <row r="474" spans="1:16" x14ac:dyDescent="0.3">
      <c r="A474">
        <v>473</v>
      </c>
      <c r="B474" s="1">
        <v>40564</v>
      </c>
      <c r="C474">
        <v>17</v>
      </c>
      <c r="D474" t="b">
        <v>0</v>
      </c>
      <c r="E474" t="s">
        <v>28</v>
      </c>
      <c r="F474" t="s">
        <v>30</v>
      </c>
      <c r="G474">
        <v>0.14000000000000001</v>
      </c>
      <c r="H474">
        <v>0.1212</v>
      </c>
      <c r="I474">
        <v>0.28000000000000003</v>
      </c>
      <c r="J474">
        <v>0.35820000000000002</v>
      </c>
      <c r="K474">
        <v>10</v>
      </c>
      <c r="L474">
        <v>151</v>
      </c>
      <c r="M474">
        <v>161</v>
      </c>
      <c r="N474" t="s">
        <v>18</v>
      </c>
      <c r="O474" t="s">
        <v>87</v>
      </c>
      <c r="P474" t="s">
        <v>90</v>
      </c>
    </row>
    <row r="475" spans="1:16" x14ac:dyDescent="0.3">
      <c r="A475">
        <v>474</v>
      </c>
      <c r="B475" s="1">
        <v>40564</v>
      </c>
      <c r="C475">
        <v>18</v>
      </c>
      <c r="D475" t="b">
        <v>0</v>
      </c>
      <c r="E475" t="s">
        <v>28</v>
      </c>
      <c r="F475" t="s">
        <v>30</v>
      </c>
      <c r="G475">
        <v>0.12</v>
      </c>
      <c r="H475">
        <v>0.1212</v>
      </c>
      <c r="I475">
        <v>0.3</v>
      </c>
      <c r="J475">
        <v>0.25369999999999998</v>
      </c>
      <c r="K475">
        <v>1</v>
      </c>
      <c r="L475">
        <v>119</v>
      </c>
      <c r="M475">
        <v>120</v>
      </c>
      <c r="N475" t="s">
        <v>18</v>
      </c>
      <c r="O475" t="s">
        <v>87</v>
      </c>
      <c r="P475" t="s">
        <v>90</v>
      </c>
    </row>
    <row r="476" spans="1:16" x14ac:dyDescent="0.3">
      <c r="A476">
        <v>475</v>
      </c>
      <c r="B476" s="1">
        <v>40564</v>
      </c>
      <c r="C476">
        <v>19</v>
      </c>
      <c r="D476" t="b">
        <v>0</v>
      </c>
      <c r="E476" t="s">
        <v>28</v>
      </c>
      <c r="F476" t="s">
        <v>30</v>
      </c>
      <c r="G476">
        <v>0.12</v>
      </c>
      <c r="H476">
        <v>0.1061</v>
      </c>
      <c r="I476">
        <v>0.3</v>
      </c>
      <c r="J476">
        <v>0.32840000000000003</v>
      </c>
      <c r="K476">
        <v>3</v>
      </c>
      <c r="L476">
        <v>93</v>
      </c>
      <c r="M476">
        <v>96</v>
      </c>
      <c r="N476" t="s">
        <v>18</v>
      </c>
      <c r="O476" t="s">
        <v>87</v>
      </c>
      <c r="P476" t="s">
        <v>90</v>
      </c>
    </row>
    <row r="477" spans="1:16" x14ac:dyDescent="0.3">
      <c r="A477">
        <v>476</v>
      </c>
      <c r="B477" s="1">
        <v>40564</v>
      </c>
      <c r="C477">
        <v>20</v>
      </c>
      <c r="D477" t="b">
        <v>0</v>
      </c>
      <c r="E477" t="s">
        <v>28</v>
      </c>
      <c r="F477" t="s">
        <v>30</v>
      </c>
      <c r="G477">
        <v>0.1</v>
      </c>
      <c r="H477">
        <v>7.5800000000000006E-2</v>
      </c>
      <c r="I477">
        <v>0.33</v>
      </c>
      <c r="J477">
        <v>0.41789999999999999</v>
      </c>
      <c r="K477">
        <v>1</v>
      </c>
      <c r="L477">
        <v>52</v>
      </c>
      <c r="M477">
        <v>53</v>
      </c>
      <c r="N477" t="s">
        <v>18</v>
      </c>
      <c r="O477" t="s">
        <v>85</v>
      </c>
      <c r="P477" t="s">
        <v>90</v>
      </c>
    </row>
    <row r="478" spans="1:16" x14ac:dyDescent="0.3">
      <c r="A478">
        <v>477</v>
      </c>
      <c r="B478" s="1">
        <v>40564</v>
      </c>
      <c r="C478">
        <v>21</v>
      </c>
      <c r="D478" t="b">
        <v>0</v>
      </c>
      <c r="E478" t="s">
        <v>28</v>
      </c>
      <c r="F478" t="s">
        <v>30</v>
      </c>
      <c r="G478">
        <v>0.08</v>
      </c>
      <c r="H478">
        <v>7.5800000000000006E-2</v>
      </c>
      <c r="I478">
        <v>0.38</v>
      </c>
      <c r="J478">
        <v>0.28360000000000002</v>
      </c>
      <c r="K478">
        <v>0</v>
      </c>
      <c r="L478">
        <v>41</v>
      </c>
      <c r="M478">
        <v>41</v>
      </c>
      <c r="N478" t="s">
        <v>18</v>
      </c>
      <c r="O478" t="s">
        <v>85</v>
      </c>
      <c r="P478" t="s">
        <v>90</v>
      </c>
    </row>
    <row r="479" spans="1:16" x14ac:dyDescent="0.3">
      <c r="A479">
        <v>478</v>
      </c>
      <c r="B479" s="1">
        <v>40564</v>
      </c>
      <c r="C479">
        <v>22</v>
      </c>
      <c r="D479" t="b">
        <v>0</v>
      </c>
      <c r="E479" t="s">
        <v>28</v>
      </c>
      <c r="F479" t="s">
        <v>30</v>
      </c>
      <c r="G479">
        <v>0.06</v>
      </c>
      <c r="H479">
        <v>3.0300000000000001E-2</v>
      </c>
      <c r="I479">
        <v>0.41</v>
      </c>
      <c r="J479">
        <v>0.3881</v>
      </c>
      <c r="K479">
        <v>1</v>
      </c>
      <c r="L479">
        <v>33</v>
      </c>
      <c r="M479">
        <v>34</v>
      </c>
      <c r="N479" t="s">
        <v>18</v>
      </c>
      <c r="O479" t="s">
        <v>85</v>
      </c>
      <c r="P479" t="s">
        <v>90</v>
      </c>
    </row>
    <row r="480" spans="1:16" x14ac:dyDescent="0.3">
      <c r="A480">
        <v>479</v>
      </c>
      <c r="B480" s="1">
        <v>40564</v>
      </c>
      <c r="C480">
        <v>23</v>
      </c>
      <c r="D480" t="b">
        <v>0</v>
      </c>
      <c r="E480" t="s">
        <v>28</v>
      </c>
      <c r="F480" t="s">
        <v>30</v>
      </c>
      <c r="G480">
        <v>0.06</v>
      </c>
      <c r="H480">
        <v>4.5499999999999999E-2</v>
      </c>
      <c r="I480">
        <v>0.38</v>
      </c>
      <c r="J480">
        <v>0.32840000000000003</v>
      </c>
      <c r="K480">
        <v>0</v>
      </c>
      <c r="L480">
        <v>27</v>
      </c>
      <c r="M480">
        <v>27</v>
      </c>
      <c r="N480" t="s">
        <v>18</v>
      </c>
      <c r="O480" t="s">
        <v>85</v>
      </c>
      <c r="P480" t="s">
        <v>90</v>
      </c>
    </row>
    <row r="481" spans="1:16" x14ac:dyDescent="0.3">
      <c r="A481">
        <v>480</v>
      </c>
      <c r="B481" s="1">
        <v>40565</v>
      </c>
      <c r="C481">
        <v>0</v>
      </c>
      <c r="D481" t="b">
        <v>0</v>
      </c>
      <c r="E481" t="s">
        <v>29</v>
      </c>
      <c r="F481" t="s">
        <v>30</v>
      </c>
      <c r="G481">
        <v>0.04</v>
      </c>
      <c r="H481">
        <v>3.0300000000000001E-2</v>
      </c>
      <c r="I481">
        <v>0.45</v>
      </c>
      <c r="J481">
        <v>0.25369999999999998</v>
      </c>
      <c r="K481">
        <v>0</v>
      </c>
      <c r="L481">
        <v>13</v>
      </c>
      <c r="M481">
        <v>13</v>
      </c>
      <c r="N481" t="s">
        <v>84</v>
      </c>
      <c r="O481" t="s">
        <v>85</v>
      </c>
      <c r="P481" t="s">
        <v>90</v>
      </c>
    </row>
    <row r="482" spans="1:16" x14ac:dyDescent="0.3">
      <c r="A482">
        <v>481</v>
      </c>
      <c r="B482" s="1">
        <v>40565</v>
      </c>
      <c r="C482">
        <v>1</v>
      </c>
      <c r="D482" t="b">
        <v>0</v>
      </c>
      <c r="E482" t="s">
        <v>29</v>
      </c>
      <c r="F482" t="s">
        <v>31</v>
      </c>
      <c r="G482">
        <v>0.04</v>
      </c>
      <c r="H482">
        <v>0</v>
      </c>
      <c r="I482">
        <v>0.41</v>
      </c>
      <c r="J482">
        <v>0.3881</v>
      </c>
      <c r="K482">
        <v>3</v>
      </c>
      <c r="L482">
        <v>9</v>
      </c>
      <c r="M482">
        <v>12</v>
      </c>
      <c r="N482" t="s">
        <v>84</v>
      </c>
      <c r="O482" t="s">
        <v>85</v>
      </c>
      <c r="P482" t="s">
        <v>91</v>
      </c>
    </row>
    <row r="483" spans="1:16" x14ac:dyDescent="0.3">
      <c r="A483">
        <v>482</v>
      </c>
      <c r="B483" s="1">
        <v>40565</v>
      </c>
      <c r="C483">
        <v>2</v>
      </c>
      <c r="D483" t="b">
        <v>0</v>
      </c>
      <c r="E483" t="s">
        <v>29</v>
      </c>
      <c r="F483" t="s">
        <v>31</v>
      </c>
      <c r="G483">
        <v>0.04</v>
      </c>
      <c r="H483">
        <v>3.0300000000000001E-2</v>
      </c>
      <c r="I483">
        <v>0.41</v>
      </c>
      <c r="J483">
        <v>0.25369999999999998</v>
      </c>
      <c r="K483">
        <v>0</v>
      </c>
      <c r="L483">
        <v>11</v>
      </c>
      <c r="M483">
        <v>11</v>
      </c>
      <c r="N483" t="s">
        <v>84</v>
      </c>
      <c r="O483" t="s">
        <v>85</v>
      </c>
      <c r="P483" t="s">
        <v>91</v>
      </c>
    </row>
    <row r="484" spans="1:16" x14ac:dyDescent="0.3">
      <c r="A484">
        <v>483</v>
      </c>
      <c r="B484" s="1">
        <v>40565</v>
      </c>
      <c r="C484">
        <v>3</v>
      </c>
      <c r="D484" t="b">
        <v>0</v>
      </c>
      <c r="E484" t="s">
        <v>29</v>
      </c>
      <c r="F484" t="s">
        <v>31</v>
      </c>
      <c r="G484">
        <v>0.04</v>
      </c>
      <c r="H484">
        <v>3.0300000000000001E-2</v>
      </c>
      <c r="I484">
        <v>0.41</v>
      </c>
      <c r="J484">
        <v>0.28360000000000002</v>
      </c>
      <c r="K484">
        <v>1</v>
      </c>
      <c r="L484">
        <v>6</v>
      </c>
      <c r="M484">
        <v>7</v>
      </c>
      <c r="N484" t="s">
        <v>84</v>
      </c>
      <c r="O484" t="s">
        <v>85</v>
      </c>
      <c r="P484" t="s">
        <v>91</v>
      </c>
    </row>
    <row r="485" spans="1:16" x14ac:dyDescent="0.3">
      <c r="A485">
        <v>484</v>
      </c>
      <c r="B485" s="1">
        <v>40565</v>
      </c>
      <c r="C485">
        <v>4</v>
      </c>
      <c r="D485" t="b">
        <v>0</v>
      </c>
      <c r="E485" t="s">
        <v>29</v>
      </c>
      <c r="F485" t="s">
        <v>31</v>
      </c>
      <c r="G485">
        <v>0.02</v>
      </c>
      <c r="H485">
        <v>1.52E-2</v>
      </c>
      <c r="I485">
        <v>0.48</v>
      </c>
      <c r="J485">
        <v>0.29849999999999999</v>
      </c>
      <c r="K485">
        <v>0</v>
      </c>
      <c r="L485">
        <v>3</v>
      </c>
      <c r="M485">
        <v>3</v>
      </c>
      <c r="N485" t="s">
        <v>84</v>
      </c>
      <c r="O485" t="s">
        <v>85</v>
      </c>
      <c r="P485" t="s">
        <v>91</v>
      </c>
    </row>
    <row r="486" spans="1:16" x14ac:dyDescent="0.3">
      <c r="A486">
        <v>485</v>
      </c>
      <c r="B486" s="1">
        <v>40565</v>
      </c>
      <c r="C486">
        <v>6</v>
      </c>
      <c r="D486" t="b">
        <v>0</v>
      </c>
      <c r="E486" t="s">
        <v>29</v>
      </c>
      <c r="F486" t="s">
        <v>31</v>
      </c>
      <c r="G486">
        <v>0.02</v>
      </c>
      <c r="H486">
        <v>3.0300000000000001E-2</v>
      </c>
      <c r="I486">
        <v>0.44</v>
      </c>
      <c r="J486">
        <v>0.22389999999999999</v>
      </c>
      <c r="K486">
        <v>0</v>
      </c>
      <c r="L486">
        <v>2</v>
      </c>
      <c r="M486">
        <v>2</v>
      </c>
      <c r="N486" t="s">
        <v>84</v>
      </c>
      <c r="O486" t="s">
        <v>85</v>
      </c>
      <c r="P486" t="s">
        <v>91</v>
      </c>
    </row>
    <row r="487" spans="1:16" x14ac:dyDescent="0.3">
      <c r="A487">
        <v>486</v>
      </c>
      <c r="B487" s="1">
        <v>40565</v>
      </c>
      <c r="C487">
        <v>7</v>
      </c>
      <c r="D487" t="b">
        <v>0</v>
      </c>
      <c r="E487" t="s">
        <v>29</v>
      </c>
      <c r="F487" t="s">
        <v>30</v>
      </c>
      <c r="G487">
        <v>0.02</v>
      </c>
      <c r="H487">
        <v>1.52E-2</v>
      </c>
      <c r="I487">
        <v>0.44</v>
      </c>
      <c r="J487">
        <v>0.28360000000000002</v>
      </c>
      <c r="K487">
        <v>0</v>
      </c>
      <c r="L487">
        <v>8</v>
      </c>
      <c r="M487">
        <v>8</v>
      </c>
      <c r="N487" t="s">
        <v>84</v>
      </c>
      <c r="O487" t="s">
        <v>86</v>
      </c>
      <c r="P487" t="s">
        <v>90</v>
      </c>
    </row>
    <row r="488" spans="1:16" x14ac:dyDescent="0.3">
      <c r="A488">
        <v>487</v>
      </c>
      <c r="B488" s="1">
        <v>40565</v>
      </c>
      <c r="C488">
        <v>8</v>
      </c>
      <c r="D488" t="b">
        <v>0</v>
      </c>
      <c r="E488" t="s">
        <v>29</v>
      </c>
      <c r="F488" t="s">
        <v>30</v>
      </c>
      <c r="G488">
        <v>0.02</v>
      </c>
      <c r="H488">
        <v>0</v>
      </c>
      <c r="I488">
        <v>0.44</v>
      </c>
      <c r="J488">
        <v>0.32840000000000003</v>
      </c>
      <c r="K488">
        <v>1</v>
      </c>
      <c r="L488">
        <v>26</v>
      </c>
      <c r="M488">
        <v>27</v>
      </c>
      <c r="N488" t="s">
        <v>84</v>
      </c>
      <c r="O488" t="s">
        <v>86</v>
      </c>
      <c r="P488" t="s">
        <v>90</v>
      </c>
    </row>
    <row r="489" spans="1:16" x14ac:dyDescent="0.3">
      <c r="A489">
        <v>488</v>
      </c>
      <c r="B489" s="1">
        <v>40565</v>
      </c>
      <c r="C489">
        <v>9</v>
      </c>
      <c r="D489" t="b">
        <v>0</v>
      </c>
      <c r="E489" t="s">
        <v>29</v>
      </c>
      <c r="F489" t="s">
        <v>30</v>
      </c>
      <c r="G489">
        <v>0.04</v>
      </c>
      <c r="H489">
        <v>3.0300000000000001E-2</v>
      </c>
      <c r="I489">
        <v>0.41</v>
      </c>
      <c r="J489">
        <v>0.25369999999999998</v>
      </c>
      <c r="K489">
        <v>3</v>
      </c>
      <c r="L489">
        <v>37</v>
      </c>
      <c r="M489">
        <v>40</v>
      </c>
      <c r="N489" t="s">
        <v>84</v>
      </c>
      <c r="O489" t="s">
        <v>86</v>
      </c>
      <c r="P489" t="s">
        <v>90</v>
      </c>
    </row>
    <row r="490" spans="1:16" x14ac:dyDescent="0.3">
      <c r="A490">
        <v>489</v>
      </c>
      <c r="B490" s="1">
        <v>40565</v>
      </c>
      <c r="C490">
        <v>10</v>
      </c>
      <c r="D490" t="b">
        <v>0</v>
      </c>
      <c r="E490" t="s">
        <v>29</v>
      </c>
      <c r="F490" t="s">
        <v>31</v>
      </c>
      <c r="G490">
        <v>0.04</v>
      </c>
      <c r="H490">
        <v>6.0600000000000001E-2</v>
      </c>
      <c r="I490">
        <v>0.41</v>
      </c>
      <c r="J490">
        <v>0.16420000000000001</v>
      </c>
      <c r="K490">
        <v>3</v>
      </c>
      <c r="L490">
        <v>50</v>
      </c>
      <c r="M490">
        <v>53</v>
      </c>
      <c r="N490" t="s">
        <v>84</v>
      </c>
      <c r="O490" t="s">
        <v>85</v>
      </c>
      <c r="P490" t="s">
        <v>91</v>
      </c>
    </row>
    <row r="491" spans="1:16" x14ac:dyDescent="0.3">
      <c r="A491">
        <v>490</v>
      </c>
      <c r="B491" s="1">
        <v>40565</v>
      </c>
      <c r="C491">
        <v>11</v>
      </c>
      <c r="D491" t="b">
        <v>0</v>
      </c>
      <c r="E491" t="s">
        <v>29</v>
      </c>
      <c r="F491" t="s">
        <v>31</v>
      </c>
      <c r="G491">
        <v>0.06</v>
      </c>
      <c r="H491">
        <v>7.5800000000000006E-2</v>
      </c>
      <c r="I491">
        <v>0.38</v>
      </c>
      <c r="J491">
        <v>0.1343</v>
      </c>
      <c r="K491">
        <v>4</v>
      </c>
      <c r="L491">
        <v>59</v>
      </c>
      <c r="M491">
        <v>63</v>
      </c>
      <c r="N491" t="s">
        <v>84</v>
      </c>
      <c r="O491" t="s">
        <v>85</v>
      </c>
      <c r="P491" t="s">
        <v>91</v>
      </c>
    </row>
    <row r="492" spans="1:16" x14ac:dyDescent="0.3">
      <c r="A492">
        <v>491</v>
      </c>
      <c r="B492" s="1">
        <v>40565</v>
      </c>
      <c r="C492">
        <v>12</v>
      </c>
      <c r="D492" t="b">
        <v>0</v>
      </c>
      <c r="E492" t="s">
        <v>29</v>
      </c>
      <c r="F492" t="s">
        <v>31</v>
      </c>
      <c r="G492">
        <v>0.06</v>
      </c>
      <c r="H492">
        <v>0.1061</v>
      </c>
      <c r="I492">
        <v>0.38</v>
      </c>
      <c r="J492">
        <v>0.1045</v>
      </c>
      <c r="K492">
        <v>10</v>
      </c>
      <c r="L492">
        <v>60</v>
      </c>
      <c r="M492">
        <v>70</v>
      </c>
      <c r="N492" t="s">
        <v>84</v>
      </c>
      <c r="O492" t="s">
        <v>85</v>
      </c>
      <c r="P492" t="s">
        <v>91</v>
      </c>
    </row>
    <row r="493" spans="1:16" x14ac:dyDescent="0.3">
      <c r="A493">
        <v>492</v>
      </c>
      <c r="B493" s="1">
        <v>40565</v>
      </c>
      <c r="C493">
        <v>13</v>
      </c>
      <c r="D493" t="b">
        <v>0</v>
      </c>
      <c r="E493" t="s">
        <v>29</v>
      </c>
      <c r="F493" t="s">
        <v>30</v>
      </c>
      <c r="G493">
        <v>0.08</v>
      </c>
      <c r="H493">
        <v>0.16669999999999999</v>
      </c>
      <c r="I493">
        <v>0.35</v>
      </c>
      <c r="J493">
        <v>0</v>
      </c>
      <c r="K493">
        <v>12</v>
      </c>
      <c r="L493">
        <v>72</v>
      </c>
      <c r="M493">
        <v>84</v>
      </c>
      <c r="N493" t="s">
        <v>84</v>
      </c>
      <c r="O493" t="s">
        <v>85</v>
      </c>
      <c r="P493" t="s">
        <v>90</v>
      </c>
    </row>
    <row r="494" spans="1:16" x14ac:dyDescent="0.3">
      <c r="A494">
        <v>493</v>
      </c>
      <c r="B494" s="1">
        <v>40565</v>
      </c>
      <c r="C494">
        <v>14</v>
      </c>
      <c r="D494" t="b">
        <v>0</v>
      </c>
      <c r="E494" t="s">
        <v>29</v>
      </c>
      <c r="F494" t="s">
        <v>30</v>
      </c>
      <c r="G494">
        <v>0.1</v>
      </c>
      <c r="H494">
        <v>0.13639999999999999</v>
      </c>
      <c r="I494">
        <v>0.33</v>
      </c>
      <c r="J494">
        <v>0.1045</v>
      </c>
      <c r="K494">
        <v>11</v>
      </c>
      <c r="L494">
        <v>64</v>
      </c>
      <c r="M494">
        <v>75</v>
      </c>
      <c r="N494" t="s">
        <v>84</v>
      </c>
      <c r="O494" t="s">
        <v>85</v>
      </c>
      <c r="P494" t="s">
        <v>90</v>
      </c>
    </row>
    <row r="495" spans="1:16" x14ac:dyDescent="0.3">
      <c r="A495">
        <v>494</v>
      </c>
      <c r="B495" s="1">
        <v>40565</v>
      </c>
      <c r="C495">
        <v>15</v>
      </c>
      <c r="D495" t="b">
        <v>0</v>
      </c>
      <c r="E495" t="s">
        <v>29</v>
      </c>
      <c r="F495" t="s">
        <v>30</v>
      </c>
      <c r="G495">
        <v>0.12</v>
      </c>
      <c r="H495">
        <v>0.1515</v>
      </c>
      <c r="I495">
        <v>0.28000000000000003</v>
      </c>
      <c r="J495">
        <v>0</v>
      </c>
      <c r="K495">
        <v>10</v>
      </c>
      <c r="L495">
        <v>93</v>
      </c>
      <c r="M495">
        <v>103</v>
      </c>
      <c r="N495" t="s">
        <v>84</v>
      </c>
      <c r="O495" t="s">
        <v>85</v>
      </c>
      <c r="P495" t="s">
        <v>90</v>
      </c>
    </row>
    <row r="496" spans="1:16" x14ac:dyDescent="0.3">
      <c r="A496">
        <v>495</v>
      </c>
      <c r="B496" s="1">
        <v>40565</v>
      </c>
      <c r="C496">
        <v>16</v>
      </c>
      <c r="D496" t="b">
        <v>0</v>
      </c>
      <c r="E496" t="s">
        <v>29</v>
      </c>
      <c r="F496" t="s">
        <v>30</v>
      </c>
      <c r="G496">
        <v>0.12</v>
      </c>
      <c r="H496">
        <v>0.13639999999999999</v>
      </c>
      <c r="I496">
        <v>0.28000000000000003</v>
      </c>
      <c r="J496">
        <v>0.19400000000000001</v>
      </c>
      <c r="K496">
        <v>11</v>
      </c>
      <c r="L496">
        <v>72</v>
      </c>
      <c r="M496">
        <v>83</v>
      </c>
      <c r="N496" t="s">
        <v>84</v>
      </c>
      <c r="O496" t="s">
        <v>85</v>
      </c>
      <c r="P496" t="s">
        <v>90</v>
      </c>
    </row>
    <row r="497" spans="1:16" x14ac:dyDescent="0.3">
      <c r="A497">
        <v>496</v>
      </c>
      <c r="B497" s="1">
        <v>40565</v>
      </c>
      <c r="C497">
        <v>17</v>
      </c>
      <c r="D497" t="b">
        <v>0</v>
      </c>
      <c r="E497" t="s">
        <v>29</v>
      </c>
      <c r="F497" t="s">
        <v>30</v>
      </c>
      <c r="G497">
        <v>0.12</v>
      </c>
      <c r="H497">
        <v>0.19700000000000001</v>
      </c>
      <c r="I497">
        <v>0.28000000000000003</v>
      </c>
      <c r="J497">
        <v>0</v>
      </c>
      <c r="K497">
        <v>8</v>
      </c>
      <c r="L497">
        <v>59</v>
      </c>
      <c r="M497">
        <v>67</v>
      </c>
      <c r="N497" t="s">
        <v>84</v>
      </c>
      <c r="O497" t="s">
        <v>87</v>
      </c>
      <c r="P497" t="s">
        <v>90</v>
      </c>
    </row>
    <row r="498" spans="1:16" x14ac:dyDescent="0.3">
      <c r="A498">
        <v>497</v>
      </c>
      <c r="B498" s="1">
        <v>40565</v>
      </c>
      <c r="C498">
        <v>18</v>
      </c>
      <c r="D498" t="b">
        <v>0</v>
      </c>
      <c r="E498" t="s">
        <v>29</v>
      </c>
      <c r="F498" t="s">
        <v>30</v>
      </c>
      <c r="G498">
        <v>0.08</v>
      </c>
      <c r="H498">
        <v>9.0899999999999995E-2</v>
      </c>
      <c r="I498">
        <v>0.35</v>
      </c>
      <c r="J498">
        <v>0.19400000000000001</v>
      </c>
      <c r="K498">
        <v>0</v>
      </c>
      <c r="L498">
        <v>54</v>
      </c>
      <c r="M498">
        <v>54</v>
      </c>
      <c r="N498" t="s">
        <v>84</v>
      </c>
      <c r="O498" t="s">
        <v>87</v>
      </c>
      <c r="P498" t="s">
        <v>90</v>
      </c>
    </row>
    <row r="499" spans="1:16" x14ac:dyDescent="0.3">
      <c r="A499">
        <v>498</v>
      </c>
      <c r="B499" s="1">
        <v>40565</v>
      </c>
      <c r="C499">
        <v>19</v>
      </c>
      <c r="D499" t="b">
        <v>0</v>
      </c>
      <c r="E499" t="s">
        <v>29</v>
      </c>
      <c r="F499" t="s">
        <v>30</v>
      </c>
      <c r="G499">
        <v>0.08</v>
      </c>
      <c r="H499">
        <v>0.1061</v>
      </c>
      <c r="I499">
        <v>0.35</v>
      </c>
      <c r="J499">
        <v>0.1343</v>
      </c>
      <c r="K499">
        <v>6</v>
      </c>
      <c r="L499">
        <v>53</v>
      </c>
      <c r="M499">
        <v>59</v>
      </c>
      <c r="N499" t="s">
        <v>84</v>
      </c>
      <c r="O499" t="s">
        <v>87</v>
      </c>
      <c r="P499" t="s">
        <v>90</v>
      </c>
    </row>
    <row r="500" spans="1:16" x14ac:dyDescent="0.3">
      <c r="A500">
        <v>499</v>
      </c>
      <c r="B500" s="1">
        <v>40565</v>
      </c>
      <c r="C500">
        <v>20</v>
      </c>
      <c r="D500" t="b">
        <v>0</v>
      </c>
      <c r="E500" t="s">
        <v>29</v>
      </c>
      <c r="F500" t="s">
        <v>30</v>
      </c>
      <c r="G500">
        <v>0.06</v>
      </c>
      <c r="H500">
        <v>7.5800000000000006E-2</v>
      </c>
      <c r="I500">
        <v>0.45</v>
      </c>
      <c r="J500">
        <v>0.16420000000000001</v>
      </c>
      <c r="K500">
        <v>1</v>
      </c>
      <c r="L500">
        <v>44</v>
      </c>
      <c r="M500">
        <v>45</v>
      </c>
      <c r="N500" t="s">
        <v>84</v>
      </c>
      <c r="O500" t="s">
        <v>85</v>
      </c>
      <c r="P500" t="s">
        <v>90</v>
      </c>
    </row>
    <row r="501" spans="1:16" x14ac:dyDescent="0.3">
      <c r="A501">
        <v>500</v>
      </c>
      <c r="B501" s="1">
        <v>40565</v>
      </c>
      <c r="C501">
        <v>21</v>
      </c>
      <c r="D501" t="b">
        <v>0</v>
      </c>
      <c r="E501" t="s">
        <v>29</v>
      </c>
      <c r="F501" t="s">
        <v>30</v>
      </c>
      <c r="G501">
        <v>0.06</v>
      </c>
      <c r="H501">
        <v>0.1061</v>
      </c>
      <c r="I501">
        <v>0.41</v>
      </c>
      <c r="J501">
        <v>8.9599999999999999E-2</v>
      </c>
      <c r="K501">
        <v>0</v>
      </c>
      <c r="L501">
        <v>39</v>
      </c>
      <c r="M501">
        <v>39</v>
      </c>
      <c r="N501" t="s">
        <v>84</v>
      </c>
      <c r="O501" t="s">
        <v>85</v>
      </c>
      <c r="P501" t="s">
        <v>90</v>
      </c>
    </row>
    <row r="502" spans="1:16" x14ac:dyDescent="0.3">
      <c r="A502">
        <v>501</v>
      </c>
      <c r="B502" s="1">
        <v>40565</v>
      </c>
      <c r="C502">
        <v>22</v>
      </c>
      <c r="D502" t="b">
        <v>0</v>
      </c>
      <c r="E502" t="s">
        <v>29</v>
      </c>
      <c r="F502" t="s">
        <v>30</v>
      </c>
      <c r="G502">
        <v>0.06</v>
      </c>
      <c r="H502">
        <v>0.1515</v>
      </c>
      <c r="I502">
        <v>0.49</v>
      </c>
      <c r="J502">
        <v>0</v>
      </c>
      <c r="K502">
        <v>7</v>
      </c>
      <c r="L502">
        <v>23</v>
      </c>
      <c r="M502">
        <v>30</v>
      </c>
      <c r="N502" t="s">
        <v>84</v>
      </c>
      <c r="O502" t="s">
        <v>85</v>
      </c>
      <c r="P502" t="s">
        <v>90</v>
      </c>
    </row>
    <row r="503" spans="1:16" x14ac:dyDescent="0.3">
      <c r="A503">
        <v>502</v>
      </c>
      <c r="B503" s="1">
        <v>40565</v>
      </c>
      <c r="C503">
        <v>23</v>
      </c>
      <c r="D503" t="b">
        <v>0</v>
      </c>
      <c r="E503" t="s">
        <v>29</v>
      </c>
      <c r="F503" t="s">
        <v>30</v>
      </c>
      <c r="G503">
        <v>0.04</v>
      </c>
      <c r="H503">
        <v>7.5800000000000006E-2</v>
      </c>
      <c r="I503">
        <v>0.56999999999999995</v>
      </c>
      <c r="J503">
        <v>0.1045</v>
      </c>
      <c r="K503">
        <v>2</v>
      </c>
      <c r="L503">
        <v>31</v>
      </c>
      <c r="M503">
        <v>33</v>
      </c>
      <c r="N503" t="s">
        <v>84</v>
      </c>
      <c r="O503" t="s">
        <v>85</v>
      </c>
      <c r="P503" t="s">
        <v>90</v>
      </c>
    </row>
    <row r="504" spans="1:16" x14ac:dyDescent="0.3">
      <c r="A504">
        <v>503</v>
      </c>
      <c r="B504" s="1">
        <v>40566</v>
      </c>
      <c r="C504">
        <v>0</v>
      </c>
      <c r="D504" t="b">
        <v>0</v>
      </c>
      <c r="E504" t="s">
        <v>23</v>
      </c>
      <c r="F504" t="s">
        <v>30</v>
      </c>
      <c r="G504">
        <v>0.04</v>
      </c>
      <c r="H504">
        <v>7.5800000000000006E-2</v>
      </c>
      <c r="I504">
        <v>0.56999999999999995</v>
      </c>
      <c r="J504">
        <v>0.1045</v>
      </c>
      <c r="K504">
        <v>2</v>
      </c>
      <c r="L504">
        <v>20</v>
      </c>
      <c r="M504">
        <v>22</v>
      </c>
      <c r="N504" t="s">
        <v>84</v>
      </c>
      <c r="O504" t="s">
        <v>85</v>
      </c>
      <c r="P504" t="s">
        <v>90</v>
      </c>
    </row>
    <row r="505" spans="1:16" x14ac:dyDescent="0.3">
      <c r="A505">
        <v>504</v>
      </c>
      <c r="B505" s="1">
        <v>40566</v>
      </c>
      <c r="C505">
        <v>1</v>
      </c>
      <c r="D505" t="b">
        <v>0</v>
      </c>
      <c r="E505" t="s">
        <v>23</v>
      </c>
      <c r="F505" t="s">
        <v>30</v>
      </c>
      <c r="G505">
        <v>0.04</v>
      </c>
      <c r="H505">
        <v>7.5800000000000006E-2</v>
      </c>
      <c r="I505">
        <v>0.56999999999999995</v>
      </c>
      <c r="J505">
        <v>0.1045</v>
      </c>
      <c r="K505">
        <v>1</v>
      </c>
      <c r="L505">
        <v>12</v>
      </c>
      <c r="M505">
        <v>13</v>
      </c>
      <c r="N505" t="s">
        <v>84</v>
      </c>
      <c r="O505" t="s">
        <v>85</v>
      </c>
      <c r="P505" t="s">
        <v>90</v>
      </c>
    </row>
    <row r="506" spans="1:16" x14ac:dyDescent="0.3">
      <c r="A506">
        <v>505</v>
      </c>
      <c r="B506" s="1">
        <v>40566</v>
      </c>
      <c r="C506">
        <v>2</v>
      </c>
      <c r="D506" t="b">
        <v>0</v>
      </c>
      <c r="E506" t="s">
        <v>23</v>
      </c>
      <c r="F506" t="s">
        <v>30</v>
      </c>
      <c r="G506">
        <v>0.02</v>
      </c>
      <c r="H506">
        <v>6.0600000000000001E-2</v>
      </c>
      <c r="I506">
        <v>0.62</v>
      </c>
      <c r="J506">
        <v>0.1343</v>
      </c>
      <c r="K506">
        <v>3</v>
      </c>
      <c r="L506">
        <v>15</v>
      </c>
      <c r="M506">
        <v>18</v>
      </c>
      <c r="N506" t="s">
        <v>84</v>
      </c>
      <c r="O506" t="s">
        <v>85</v>
      </c>
      <c r="P506" t="s">
        <v>90</v>
      </c>
    </row>
    <row r="507" spans="1:16" x14ac:dyDescent="0.3">
      <c r="A507">
        <v>506</v>
      </c>
      <c r="B507" s="1">
        <v>40566</v>
      </c>
      <c r="C507">
        <v>3</v>
      </c>
      <c r="D507" t="b">
        <v>0</v>
      </c>
      <c r="E507" t="s">
        <v>23</v>
      </c>
      <c r="F507" t="s">
        <v>30</v>
      </c>
      <c r="G507">
        <v>0.02</v>
      </c>
      <c r="H507">
        <v>6.0600000000000001E-2</v>
      </c>
      <c r="I507">
        <v>0.62</v>
      </c>
      <c r="J507">
        <v>0.1343</v>
      </c>
      <c r="K507">
        <v>1</v>
      </c>
      <c r="L507">
        <v>4</v>
      </c>
      <c r="M507">
        <v>5</v>
      </c>
      <c r="N507" t="s">
        <v>84</v>
      </c>
      <c r="O507" t="s">
        <v>85</v>
      </c>
      <c r="P507" t="s">
        <v>90</v>
      </c>
    </row>
    <row r="508" spans="1:16" x14ac:dyDescent="0.3">
      <c r="A508">
        <v>507</v>
      </c>
      <c r="B508" s="1">
        <v>40566</v>
      </c>
      <c r="C508">
        <v>5</v>
      </c>
      <c r="D508" t="b">
        <v>0</v>
      </c>
      <c r="E508" t="s">
        <v>23</v>
      </c>
      <c r="F508" t="s">
        <v>31</v>
      </c>
      <c r="G508">
        <v>0.04</v>
      </c>
      <c r="H508">
        <v>7.5800000000000006E-2</v>
      </c>
      <c r="I508">
        <v>0.56999999999999995</v>
      </c>
      <c r="J508">
        <v>0.1045</v>
      </c>
      <c r="K508">
        <v>0</v>
      </c>
      <c r="L508">
        <v>3</v>
      </c>
      <c r="M508">
        <v>3</v>
      </c>
      <c r="N508" t="s">
        <v>84</v>
      </c>
      <c r="O508" t="s">
        <v>85</v>
      </c>
      <c r="P508" t="s">
        <v>91</v>
      </c>
    </row>
    <row r="509" spans="1:16" x14ac:dyDescent="0.3">
      <c r="A509">
        <v>508</v>
      </c>
      <c r="B509" s="1">
        <v>40566</v>
      </c>
      <c r="C509">
        <v>6</v>
      </c>
      <c r="D509" t="b">
        <v>0</v>
      </c>
      <c r="E509" t="s">
        <v>23</v>
      </c>
      <c r="F509" t="s">
        <v>31</v>
      </c>
      <c r="G509">
        <v>0.04</v>
      </c>
      <c r="H509">
        <v>7.5800000000000006E-2</v>
      </c>
      <c r="I509">
        <v>0.56999999999999995</v>
      </c>
      <c r="J509">
        <v>0.1045</v>
      </c>
      <c r="K509">
        <v>0</v>
      </c>
      <c r="L509">
        <v>1</v>
      </c>
      <c r="M509">
        <v>1</v>
      </c>
      <c r="N509" t="s">
        <v>84</v>
      </c>
      <c r="O509" t="s">
        <v>85</v>
      </c>
      <c r="P509" t="s">
        <v>91</v>
      </c>
    </row>
    <row r="510" spans="1:16" x14ac:dyDescent="0.3">
      <c r="A510">
        <v>509</v>
      </c>
      <c r="B510" s="1">
        <v>40566</v>
      </c>
      <c r="C510">
        <v>7</v>
      </c>
      <c r="D510" t="b">
        <v>0</v>
      </c>
      <c r="E510" t="s">
        <v>23</v>
      </c>
      <c r="F510" t="s">
        <v>30</v>
      </c>
      <c r="G510">
        <v>0.08</v>
      </c>
      <c r="H510">
        <v>0.1061</v>
      </c>
      <c r="I510">
        <v>0.57999999999999996</v>
      </c>
      <c r="J510">
        <v>0.16420000000000001</v>
      </c>
      <c r="K510">
        <v>1</v>
      </c>
      <c r="L510">
        <v>1</v>
      </c>
      <c r="M510">
        <v>2</v>
      </c>
      <c r="N510" t="s">
        <v>84</v>
      </c>
      <c r="O510" t="s">
        <v>86</v>
      </c>
      <c r="P510" t="s">
        <v>90</v>
      </c>
    </row>
    <row r="511" spans="1:16" x14ac:dyDescent="0.3">
      <c r="A511">
        <v>510</v>
      </c>
      <c r="B511" s="1">
        <v>40566</v>
      </c>
      <c r="C511">
        <v>8</v>
      </c>
      <c r="D511" t="b">
        <v>0</v>
      </c>
      <c r="E511" t="s">
        <v>23</v>
      </c>
      <c r="F511" t="s">
        <v>30</v>
      </c>
      <c r="G511">
        <v>0.06</v>
      </c>
      <c r="H511">
        <v>7.5800000000000006E-2</v>
      </c>
      <c r="I511">
        <v>0.62</v>
      </c>
      <c r="J511">
        <v>0.16420000000000001</v>
      </c>
      <c r="K511">
        <v>2</v>
      </c>
      <c r="L511">
        <v>17</v>
      </c>
      <c r="M511">
        <v>19</v>
      </c>
      <c r="N511" t="s">
        <v>84</v>
      </c>
      <c r="O511" t="s">
        <v>86</v>
      </c>
      <c r="P511" t="s">
        <v>90</v>
      </c>
    </row>
    <row r="512" spans="1:16" x14ac:dyDescent="0.3">
      <c r="A512">
        <v>511</v>
      </c>
      <c r="B512" s="1">
        <v>40566</v>
      </c>
      <c r="C512">
        <v>9</v>
      </c>
      <c r="D512" t="b">
        <v>0</v>
      </c>
      <c r="E512" t="s">
        <v>23</v>
      </c>
      <c r="F512" t="s">
        <v>30</v>
      </c>
      <c r="G512">
        <v>0.1</v>
      </c>
      <c r="H512">
        <v>7.5800000000000006E-2</v>
      </c>
      <c r="I512">
        <v>0.54</v>
      </c>
      <c r="J512">
        <v>0.35820000000000002</v>
      </c>
      <c r="K512">
        <v>3</v>
      </c>
      <c r="L512">
        <v>25</v>
      </c>
      <c r="M512">
        <v>28</v>
      </c>
      <c r="N512" t="s">
        <v>84</v>
      </c>
      <c r="O512" t="s">
        <v>86</v>
      </c>
      <c r="P512" t="s">
        <v>90</v>
      </c>
    </row>
    <row r="513" spans="1:16" x14ac:dyDescent="0.3">
      <c r="A513">
        <v>512</v>
      </c>
      <c r="B513" s="1">
        <v>40566</v>
      </c>
      <c r="C513">
        <v>10</v>
      </c>
      <c r="D513" t="b">
        <v>0</v>
      </c>
      <c r="E513" t="s">
        <v>23</v>
      </c>
      <c r="F513" t="s">
        <v>30</v>
      </c>
      <c r="G513">
        <v>0.14000000000000001</v>
      </c>
      <c r="H513">
        <v>0.1061</v>
      </c>
      <c r="I513">
        <v>0.46</v>
      </c>
      <c r="J513">
        <v>0.3881</v>
      </c>
      <c r="K513">
        <v>7</v>
      </c>
      <c r="L513">
        <v>51</v>
      </c>
      <c r="M513">
        <v>58</v>
      </c>
      <c r="N513" t="s">
        <v>84</v>
      </c>
      <c r="O513" t="s">
        <v>85</v>
      </c>
      <c r="P513" t="s">
        <v>90</v>
      </c>
    </row>
    <row r="514" spans="1:16" x14ac:dyDescent="0.3">
      <c r="A514">
        <v>513</v>
      </c>
      <c r="B514" s="1">
        <v>40566</v>
      </c>
      <c r="C514">
        <v>11</v>
      </c>
      <c r="D514" t="b">
        <v>0</v>
      </c>
      <c r="E514" t="s">
        <v>23</v>
      </c>
      <c r="F514" t="s">
        <v>30</v>
      </c>
      <c r="G514">
        <v>0.14000000000000001</v>
      </c>
      <c r="H514">
        <v>0.13639999999999999</v>
      </c>
      <c r="I514">
        <v>0.43</v>
      </c>
      <c r="J514">
        <v>0.22389999999999999</v>
      </c>
      <c r="K514">
        <v>22</v>
      </c>
      <c r="L514">
        <v>77</v>
      </c>
      <c r="M514">
        <v>99</v>
      </c>
      <c r="N514" t="s">
        <v>84</v>
      </c>
      <c r="O514" t="s">
        <v>85</v>
      </c>
      <c r="P514" t="s">
        <v>90</v>
      </c>
    </row>
    <row r="515" spans="1:16" x14ac:dyDescent="0.3">
      <c r="A515">
        <v>514</v>
      </c>
      <c r="B515" s="1">
        <v>40566</v>
      </c>
      <c r="C515">
        <v>12</v>
      </c>
      <c r="D515" t="b">
        <v>0</v>
      </c>
      <c r="E515" t="s">
        <v>23</v>
      </c>
      <c r="F515" t="s">
        <v>30</v>
      </c>
      <c r="G515">
        <v>0.16</v>
      </c>
      <c r="H515">
        <v>0.1212</v>
      </c>
      <c r="I515">
        <v>0.37</v>
      </c>
      <c r="J515">
        <v>0.4627</v>
      </c>
      <c r="K515">
        <v>24</v>
      </c>
      <c r="L515">
        <v>92</v>
      </c>
      <c r="M515">
        <v>116</v>
      </c>
      <c r="N515" t="s">
        <v>84</v>
      </c>
      <c r="O515" t="s">
        <v>85</v>
      </c>
      <c r="P515" t="s">
        <v>90</v>
      </c>
    </row>
    <row r="516" spans="1:16" x14ac:dyDescent="0.3">
      <c r="A516">
        <v>515</v>
      </c>
      <c r="B516" s="1">
        <v>40566</v>
      </c>
      <c r="C516">
        <v>13</v>
      </c>
      <c r="D516" t="b">
        <v>0</v>
      </c>
      <c r="E516" t="s">
        <v>23</v>
      </c>
      <c r="F516" t="s">
        <v>30</v>
      </c>
      <c r="G516">
        <v>0.14000000000000001</v>
      </c>
      <c r="H516">
        <v>0.1061</v>
      </c>
      <c r="I516">
        <v>0.33</v>
      </c>
      <c r="J516">
        <v>0.3881</v>
      </c>
      <c r="K516">
        <v>12</v>
      </c>
      <c r="L516">
        <v>75</v>
      </c>
      <c r="M516">
        <v>87</v>
      </c>
      <c r="N516" t="s">
        <v>84</v>
      </c>
      <c r="O516" t="s">
        <v>85</v>
      </c>
      <c r="P516" t="s">
        <v>90</v>
      </c>
    </row>
    <row r="517" spans="1:16" x14ac:dyDescent="0.3">
      <c r="A517">
        <v>516</v>
      </c>
      <c r="B517" s="1">
        <v>40566</v>
      </c>
      <c r="C517">
        <v>14</v>
      </c>
      <c r="D517" t="b">
        <v>0</v>
      </c>
      <c r="E517" t="s">
        <v>23</v>
      </c>
      <c r="F517" t="s">
        <v>30</v>
      </c>
      <c r="G517">
        <v>0.16</v>
      </c>
      <c r="H517">
        <v>0.13639999999999999</v>
      </c>
      <c r="I517">
        <v>0.28000000000000003</v>
      </c>
      <c r="J517">
        <v>0.35820000000000002</v>
      </c>
      <c r="K517">
        <v>17</v>
      </c>
      <c r="L517">
        <v>93</v>
      </c>
      <c r="M517">
        <v>110</v>
      </c>
      <c r="N517" t="s">
        <v>84</v>
      </c>
      <c r="O517" t="s">
        <v>85</v>
      </c>
      <c r="P517" t="s">
        <v>90</v>
      </c>
    </row>
    <row r="518" spans="1:16" x14ac:dyDescent="0.3">
      <c r="A518">
        <v>517</v>
      </c>
      <c r="B518" s="1">
        <v>40566</v>
      </c>
      <c r="C518">
        <v>15</v>
      </c>
      <c r="D518" t="b">
        <v>0</v>
      </c>
      <c r="E518" t="s">
        <v>23</v>
      </c>
      <c r="F518" t="s">
        <v>30</v>
      </c>
      <c r="G518">
        <v>0.16</v>
      </c>
      <c r="H518">
        <v>0.13639999999999999</v>
      </c>
      <c r="I518">
        <v>0.28000000000000003</v>
      </c>
      <c r="J518">
        <v>0.35820000000000002</v>
      </c>
      <c r="K518">
        <v>13</v>
      </c>
      <c r="L518">
        <v>64</v>
      </c>
      <c r="M518">
        <v>77</v>
      </c>
      <c r="N518" t="s">
        <v>84</v>
      </c>
      <c r="O518" t="s">
        <v>85</v>
      </c>
      <c r="P518" t="s">
        <v>90</v>
      </c>
    </row>
    <row r="519" spans="1:16" x14ac:dyDescent="0.3">
      <c r="A519">
        <v>518</v>
      </c>
      <c r="B519" s="1">
        <v>40566</v>
      </c>
      <c r="C519">
        <v>16</v>
      </c>
      <c r="D519" t="b">
        <v>0</v>
      </c>
      <c r="E519" t="s">
        <v>23</v>
      </c>
      <c r="F519" t="s">
        <v>30</v>
      </c>
      <c r="G519">
        <v>0.16</v>
      </c>
      <c r="H519">
        <v>0.13639999999999999</v>
      </c>
      <c r="I519">
        <v>0.26</v>
      </c>
      <c r="J519">
        <v>0.32840000000000003</v>
      </c>
      <c r="K519">
        <v>9</v>
      </c>
      <c r="L519">
        <v>56</v>
      </c>
      <c r="M519">
        <v>65</v>
      </c>
      <c r="N519" t="s">
        <v>84</v>
      </c>
      <c r="O519" t="s">
        <v>85</v>
      </c>
      <c r="P519" t="s">
        <v>90</v>
      </c>
    </row>
    <row r="520" spans="1:16" x14ac:dyDescent="0.3">
      <c r="A520">
        <v>519</v>
      </c>
      <c r="B520" s="1">
        <v>40566</v>
      </c>
      <c r="C520">
        <v>17</v>
      </c>
      <c r="D520" t="b">
        <v>0</v>
      </c>
      <c r="E520" t="s">
        <v>23</v>
      </c>
      <c r="F520" t="s">
        <v>30</v>
      </c>
      <c r="G520">
        <v>0.14000000000000001</v>
      </c>
      <c r="H520">
        <v>0.1061</v>
      </c>
      <c r="I520">
        <v>0.26</v>
      </c>
      <c r="J520">
        <v>0.3881</v>
      </c>
      <c r="K520">
        <v>5</v>
      </c>
      <c r="L520">
        <v>50</v>
      </c>
      <c r="M520">
        <v>55</v>
      </c>
      <c r="N520" t="s">
        <v>84</v>
      </c>
      <c r="O520" t="s">
        <v>87</v>
      </c>
      <c r="P520" t="s">
        <v>90</v>
      </c>
    </row>
    <row r="521" spans="1:16" x14ac:dyDescent="0.3">
      <c r="A521">
        <v>520</v>
      </c>
      <c r="B521" s="1">
        <v>40566</v>
      </c>
      <c r="C521">
        <v>18</v>
      </c>
      <c r="D521" t="b">
        <v>0</v>
      </c>
      <c r="E521" t="s">
        <v>23</v>
      </c>
      <c r="F521" t="s">
        <v>30</v>
      </c>
      <c r="G521">
        <v>0.12</v>
      </c>
      <c r="H521">
        <v>0.1212</v>
      </c>
      <c r="I521">
        <v>0.3</v>
      </c>
      <c r="J521">
        <v>0.25369999999999998</v>
      </c>
      <c r="K521">
        <v>5</v>
      </c>
      <c r="L521">
        <v>44</v>
      </c>
      <c r="M521">
        <v>49</v>
      </c>
      <c r="N521" t="s">
        <v>84</v>
      </c>
      <c r="O521" t="s">
        <v>87</v>
      </c>
      <c r="P521" t="s">
        <v>90</v>
      </c>
    </row>
    <row r="522" spans="1:16" x14ac:dyDescent="0.3">
      <c r="A522">
        <v>521</v>
      </c>
      <c r="B522" s="1">
        <v>40566</v>
      </c>
      <c r="C522">
        <v>19</v>
      </c>
      <c r="D522" t="b">
        <v>0</v>
      </c>
      <c r="E522" t="s">
        <v>23</v>
      </c>
      <c r="F522" t="s">
        <v>30</v>
      </c>
      <c r="G522">
        <v>0.12</v>
      </c>
      <c r="H522">
        <v>0.1212</v>
      </c>
      <c r="I522">
        <v>0.3</v>
      </c>
      <c r="J522">
        <v>0.28360000000000002</v>
      </c>
      <c r="K522">
        <v>5</v>
      </c>
      <c r="L522">
        <v>45</v>
      </c>
      <c r="M522">
        <v>50</v>
      </c>
      <c r="N522" t="s">
        <v>84</v>
      </c>
      <c r="O522" t="s">
        <v>87</v>
      </c>
      <c r="P522" t="s">
        <v>90</v>
      </c>
    </row>
    <row r="523" spans="1:16" x14ac:dyDescent="0.3">
      <c r="A523">
        <v>522</v>
      </c>
      <c r="B523" s="1">
        <v>40566</v>
      </c>
      <c r="C523">
        <v>20</v>
      </c>
      <c r="D523" t="b">
        <v>0</v>
      </c>
      <c r="E523" t="s">
        <v>23</v>
      </c>
      <c r="F523" t="s">
        <v>30</v>
      </c>
      <c r="G523">
        <v>0.1</v>
      </c>
      <c r="H523">
        <v>0.1061</v>
      </c>
      <c r="I523">
        <v>0.36</v>
      </c>
      <c r="J523">
        <v>0.25369999999999998</v>
      </c>
      <c r="K523">
        <v>4</v>
      </c>
      <c r="L523">
        <v>31</v>
      </c>
      <c r="M523">
        <v>35</v>
      </c>
      <c r="N523" t="s">
        <v>84</v>
      </c>
      <c r="O523" t="s">
        <v>85</v>
      </c>
      <c r="P523" t="s">
        <v>90</v>
      </c>
    </row>
    <row r="524" spans="1:16" x14ac:dyDescent="0.3">
      <c r="A524">
        <v>523</v>
      </c>
      <c r="B524" s="1">
        <v>40566</v>
      </c>
      <c r="C524">
        <v>21</v>
      </c>
      <c r="D524" t="b">
        <v>0</v>
      </c>
      <c r="E524" t="s">
        <v>23</v>
      </c>
      <c r="F524" t="s">
        <v>30</v>
      </c>
      <c r="G524">
        <v>0.1</v>
      </c>
      <c r="H524">
        <v>0.1061</v>
      </c>
      <c r="I524">
        <v>0.36</v>
      </c>
      <c r="J524">
        <v>0.19400000000000001</v>
      </c>
      <c r="K524">
        <v>5</v>
      </c>
      <c r="L524">
        <v>20</v>
      </c>
      <c r="M524">
        <v>25</v>
      </c>
      <c r="N524" t="s">
        <v>84</v>
      </c>
      <c r="O524" t="s">
        <v>85</v>
      </c>
      <c r="P524" t="s">
        <v>90</v>
      </c>
    </row>
    <row r="525" spans="1:16" x14ac:dyDescent="0.3">
      <c r="A525">
        <v>524</v>
      </c>
      <c r="B525" s="1">
        <v>40566</v>
      </c>
      <c r="C525">
        <v>22</v>
      </c>
      <c r="D525" t="b">
        <v>0</v>
      </c>
      <c r="E525" t="s">
        <v>23</v>
      </c>
      <c r="F525" t="s">
        <v>30</v>
      </c>
      <c r="G525">
        <v>0.08</v>
      </c>
      <c r="H525">
        <v>9.0899999999999995E-2</v>
      </c>
      <c r="I525">
        <v>0.38</v>
      </c>
      <c r="J525">
        <v>0.19400000000000001</v>
      </c>
      <c r="K525">
        <v>5</v>
      </c>
      <c r="L525">
        <v>23</v>
      </c>
      <c r="M525">
        <v>28</v>
      </c>
      <c r="N525" t="s">
        <v>84</v>
      </c>
      <c r="O525" t="s">
        <v>85</v>
      </c>
      <c r="P525" t="s">
        <v>90</v>
      </c>
    </row>
    <row r="526" spans="1:16" x14ac:dyDescent="0.3">
      <c r="A526">
        <v>525</v>
      </c>
      <c r="B526" s="1">
        <v>40566</v>
      </c>
      <c r="C526">
        <v>23</v>
      </c>
      <c r="D526" t="b">
        <v>0</v>
      </c>
      <c r="E526" t="s">
        <v>23</v>
      </c>
      <c r="F526" t="s">
        <v>30</v>
      </c>
      <c r="G526">
        <v>0.06</v>
      </c>
      <c r="H526">
        <v>6.0600000000000001E-2</v>
      </c>
      <c r="I526">
        <v>0.41</v>
      </c>
      <c r="J526">
        <v>0.22389999999999999</v>
      </c>
      <c r="K526">
        <v>4</v>
      </c>
      <c r="L526">
        <v>17</v>
      </c>
      <c r="M526">
        <v>21</v>
      </c>
      <c r="N526" t="s">
        <v>84</v>
      </c>
      <c r="O526" t="s">
        <v>85</v>
      </c>
      <c r="P526" t="s">
        <v>90</v>
      </c>
    </row>
    <row r="527" spans="1:16" x14ac:dyDescent="0.3">
      <c r="A527">
        <v>526</v>
      </c>
      <c r="B527" s="1">
        <v>40567</v>
      </c>
      <c r="C527">
        <v>0</v>
      </c>
      <c r="D527" t="b">
        <v>0</v>
      </c>
      <c r="E527" t="s">
        <v>24</v>
      </c>
      <c r="F527" t="s">
        <v>30</v>
      </c>
      <c r="G527">
        <v>0.06</v>
      </c>
      <c r="H527">
        <v>6.0600000000000001E-2</v>
      </c>
      <c r="I527">
        <v>0.41</v>
      </c>
      <c r="J527">
        <v>0.19400000000000001</v>
      </c>
      <c r="K527">
        <v>0</v>
      </c>
      <c r="L527">
        <v>7</v>
      </c>
      <c r="M527">
        <v>7</v>
      </c>
      <c r="N527" t="s">
        <v>18</v>
      </c>
      <c r="O527" t="s">
        <v>85</v>
      </c>
      <c r="P527" t="s">
        <v>90</v>
      </c>
    </row>
    <row r="528" spans="1:16" x14ac:dyDescent="0.3">
      <c r="A528">
        <v>527</v>
      </c>
      <c r="B528" s="1">
        <v>40567</v>
      </c>
      <c r="C528">
        <v>1</v>
      </c>
      <c r="D528" t="b">
        <v>0</v>
      </c>
      <c r="E528" t="s">
        <v>24</v>
      </c>
      <c r="F528" t="s">
        <v>30</v>
      </c>
      <c r="G528">
        <v>0.04</v>
      </c>
      <c r="H528">
        <v>4.5499999999999999E-2</v>
      </c>
      <c r="I528">
        <v>0.45</v>
      </c>
      <c r="J528">
        <v>0.19400000000000001</v>
      </c>
      <c r="K528">
        <v>0</v>
      </c>
      <c r="L528">
        <v>1</v>
      </c>
      <c r="M528">
        <v>1</v>
      </c>
      <c r="N528" t="s">
        <v>18</v>
      </c>
      <c r="O528" t="s">
        <v>85</v>
      </c>
      <c r="P528" t="s">
        <v>90</v>
      </c>
    </row>
    <row r="529" spans="1:16" x14ac:dyDescent="0.3">
      <c r="A529">
        <v>528</v>
      </c>
      <c r="B529" s="1">
        <v>40567</v>
      </c>
      <c r="C529">
        <v>3</v>
      </c>
      <c r="D529" t="b">
        <v>0</v>
      </c>
      <c r="E529" t="s">
        <v>24</v>
      </c>
      <c r="F529" t="s">
        <v>30</v>
      </c>
      <c r="G529">
        <v>0.04</v>
      </c>
      <c r="H529">
        <v>3.0300000000000001E-2</v>
      </c>
      <c r="I529">
        <v>0.45</v>
      </c>
      <c r="J529">
        <v>0.25369999999999998</v>
      </c>
      <c r="K529">
        <v>0</v>
      </c>
      <c r="L529">
        <v>1</v>
      </c>
      <c r="M529">
        <v>1</v>
      </c>
      <c r="N529" t="s">
        <v>18</v>
      </c>
      <c r="O529" t="s">
        <v>85</v>
      </c>
      <c r="P529" t="s">
        <v>90</v>
      </c>
    </row>
    <row r="530" spans="1:16" x14ac:dyDescent="0.3">
      <c r="A530">
        <v>529</v>
      </c>
      <c r="B530" s="1">
        <v>40567</v>
      </c>
      <c r="C530">
        <v>4</v>
      </c>
      <c r="D530" t="b">
        <v>0</v>
      </c>
      <c r="E530" t="s">
        <v>24</v>
      </c>
      <c r="F530" t="s">
        <v>30</v>
      </c>
      <c r="G530">
        <v>0.02</v>
      </c>
      <c r="H530">
        <v>6.0600000000000001E-2</v>
      </c>
      <c r="I530">
        <v>0.48</v>
      </c>
      <c r="J530">
        <v>0.1343</v>
      </c>
      <c r="K530">
        <v>0</v>
      </c>
      <c r="L530">
        <v>1</v>
      </c>
      <c r="M530">
        <v>1</v>
      </c>
      <c r="N530" t="s">
        <v>18</v>
      </c>
      <c r="O530" t="s">
        <v>85</v>
      </c>
      <c r="P530" t="s">
        <v>90</v>
      </c>
    </row>
    <row r="531" spans="1:16" x14ac:dyDescent="0.3">
      <c r="A531">
        <v>530</v>
      </c>
      <c r="B531" s="1">
        <v>40567</v>
      </c>
      <c r="C531">
        <v>5</v>
      </c>
      <c r="D531" t="b">
        <v>0</v>
      </c>
      <c r="E531" t="s">
        <v>24</v>
      </c>
      <c r="F531" t="s">
        <v>30</v>
      </c>
      <c r="G531">
        <v>0.02</v>
      </c>
      <c r="H531">
        <v>6.0600000000000001E-2</v>
      </c>
      <c r="I531">
        <v>0.48</v>
      </c>
      <c r="J531">
        <v>0.1343</v>
      </c>
      <c r="K531">
        <v>0</v>
      </c>
      <c r="L531">
        <v>5</v>
      </c>
      <c r="M531">
        <v>5</v>
      </c>
      <c r="N531" t="s">
        <v>18</v>
      </c>
      <c r="O531" t="s">
        <v>85</v>
      </c>
      <c r="P531" t="s">
        <v>90</v>
      </c>
    </row>
    <row r="532" spans="1:16" x14ac:dyDescent="0.3">
      <c r="A532">
        <v>531</v>
      </c>
      <c r="B532" s="1">
        <v>40567</v>
      </c>
      <c r="C532">
        <v>6</v>
      </c>
      <c r="D532" t="b">
        <v>0</v>
      </c>
      <c r="E532" t="s">
        <v>24</v>
      </c>
      <c r="F532" t="s">
        <v>30</v>
      </c>
      <c r="G532">
        <v>0.02</v>
      </c>
      <c r="H532">
        <v>7.5800000000000006E-2</v>
      </c>
      <c r="I532">
        <v>0.48</v>
      </c>
      <c r="J532">
        <v>8.9599999999999999E-2</v>
      </c>
      <c r="K532">
        <v>0</v>
      </c>
      <c r="L532">
        <v>15</v>
      </c>
      <c r="M532">
        <v>15</v>
      </c>
      <c r="N532" t="s">
        <v>18</v>
      </c>
      <c r="O532" t="s">
        <v>85</v>
      </c>
      <c r="P532" t="s">
        <v>90</v>
      </c>
    </row>
    <row r="533" spans="1:16" x14ac:dyDescent="0.3">
      <c r="A533">
        <v>532</v>
      </c>
      <c r="B533" s="1">
        <v>40567</v>
      </c>
      <c r="C533">
        <v>7</v>
      </c>
      <c r="D533" t="b">
        <v>0</v>
      </c>
      <c r="E533" t="s">
        <v>24</v>
      </c>
      <c r="F533" t="s">
        <v>30</v>
      </c>
      <c r="G533">
        <v>0.02</v>
      </c>
      <c r="H533">
        <v>0.1212</v>
      </c>
      <c r="I533">
        <v>0.48</v>
      </c>
      <c r="J533">
        <v>0</v>
      </c>
      <c r="K533">
        <v>5</v>
      </c>
      <c r="L533">
        <v>79</v>
      </c>
      <c r="M533">
        <v>84</v>
      </c>
      <c r="N533" t="s">
        <v>18</v>
      </c>
      <c r="O533" t="s">
        <v>86</v>
      </c>
      <c r="P533" t="s">
        <v>90</v>
      </c>
    </row>
    <row r="534" spans="1:16" x14ac:dyDescent="0.3">
      <c r="A534">
        <v>533</v>
      </c>
      <c r="B534" s="1">
        <v>40567</v>
      </c>
      <c r="C534">
        <v>8</v>
      </c>
      <c r="D534" t="b">
        <v>0</v>
      </c>
      <c r="E534" t="s">
        <v>24</v>
      </c>
      <c r="F534" t="s">
        <v>30</v>
      </c>
      <c r="G534">
        <v>0.04</v>
      </c>
      <c r="H534">
        <v>0.13639999999999999</v>
      </c>
      <c r="I534">
        <v>0.49</v>
      </c>
      <c r="J534">
        <v>0</v>
      </c>
      <c r="K534">
        <v>6</v>
      </c>
      <c r="L534">
        <v>171</v>
      </c>
      <c r="M534">
        <v>177</v>
      </c>
      <c r="N534" t="s">
        <v>18</v>
      </c>
      <c r="O534" t="s">
        <v>86</v>
      </c>
      <c r="P534" t="s">
        <v>90</v>
      </c>
    </row>
    <row r="535" spans="1:16" x14ac:dyDescent="0.3">
      <c r="A535">
        <v>534</v>
      </c>
      <c r="B535" s="1">
        <v>40567</v>
      </c>
      <c r="C535">
        <v>9</v>
      </c>
      <c r="D535" t="b">
        <v>0</v>
      </c>
      <c r="E535" t="s">
        <v>24</v>
      </c>
      <c r="F535" t="s">
        <v>30</v>
      </c>
      <c r="G535">
        <v>0.06</v>
      </c>
      <c r="H535">
        <v>0.1515</v>
      </c>
      <c r="I535">
        <v>0.41</v>
      </c>
      <c r="J535">
        <v>0</v>
      </c>
      <c r="K535">
        <v>4</v>
      </c>
      <c r="L535">
        <v>98</v>
      </c>
      <c r="M535">
        <v>102</v>
      </c>
      <c r="N535" t="s">
        <v>18</v>
      </c>
      <c r="O535" t="s">
        <v>86</v>
      </c>
      <c r="P535" t="s">
        <v>90</v>
      </c>
    </row>
    <row r="536" spans="1:16" x14ac:dyDescent="0.3">
      <c r="A536">
        <v>535</v>
      </c>
      <c r="B536" s="1">
        <v>40567</v>
      </c>
      <c r="C536">
        <v>10</v>
      </c>
      <c r="D536" t="b">
        <v>0</v>
      </c>
      <c r="E536" t="s">
        <v>24</v>
      </c>
      <c r="F536" t="s">
        <v>30</v>
      </c>
      <c r="G536">
        <v>0.1</v>
      </c>
      <c r="H536">
        <v>0.13639999999999999</v>
      </c>
      <c r="I536">
        <v>0.42</v>
      </c>
      <c r="J536">
        <v>0</v>
      </c>
      <c r="K536">
        <v>6</v>
      </c>
      <c r="L536">
        <v>34</v>
      </c>
      <c r="M536">
        <v>40</v>
      </c>
      <c r="N536" t="s">
        <v>18</v>
      </c>
      <c r="O536" t="s">
        <v>85</v>
      </c>
      <c r="P536" t="s">
        <v>90</v>
      </c>
    </row>
    <row r="537" spans="1:16" x14ac:dyDescent="0.3">
      <c r="A537">
        <v>536</v>
      </c>
      <c r="B537" s="1">
        <v>40567</v>
      </c>
      <c r="C537">
        <v>11</v>
      </c>
      <c r="D537" t="b">
        <v>0</v>
      </c>
      <c r="E537" t="s">
        <v>24</v>
      </c>
      <c r="F537" t="s">
        <v>30</v>
      </c>
      <c r="G537">
        <v>0.1</v>
      </c>
      <c r="H537">
        <v>0.1212</v>
      </c>
      <c r="I537">
        <v>0.46</v>
      </c>
      <c r="J537">
        <v>0.1343</v>
      </c>
      <c r="K537">
        <v>3</v>
      </c>
      <c r="L537">
        <v>43</v>
      </c>
      <c r="M537">
        <v>46</v>
      </c>
      <c r="N537" t="s">
        <v>18</v>
      </c>
      <c r="O537" t="s">
        <v>85</v>
      </c>
      <c r="P537" t="s">
        <v>90</v>
      </c>
    </row>
    <row r="538" spans="1:16" x14ac:dyDescent="0.3">
      <c r="A538">
        <v>537</v>
      </c>
      <c r="B538" s="1">
        <v>40567</v>
      </c>
      <c r="C538">
        <v>12</v>
      </c>
      <c r="D538" t="b">
        <v>0</v>
      </c>
      <c r="E538" t="s">
        <v>24</v>
      </c>
      <c r="F538" t="s">
        <v>31</v>
      </c>
      <c r="G538">
        <v>0.12</v>
      </c>
      <c r="H538">
        <v>0.13639999999999999</v>
      </c>
      <c r="I538">
        <v>0.42</v>
      </c>
      <c r="J538">
        <v>0.19400000000000001</v>
      </c>
      <c r="K538">
        <v>11</v>
      </c>
      <c r="L538">
        <v>52</v>
      </c>
      <c r="M538">
        <v>63</v>
      </c>
      <c r="N538" t="s">
        <v>18</v>
      </c>
      <c r="O538" t="s">
        <v>85</v>
      </c>
      <c r="P538" t="s">
        <v>91</v>
      </c>
    </row>
    <row r="539" spans="1:16" x14ac:dyDescent="0.3">
      <c r="A539">
        <v>538</v>
      </c>
      <c r="B539" s="1">
        <v>40567</v>
      </c>
      <c r="C539">
        <v>13</v>
      </c>
      <c r="D539" t="b">
        <v>0</v>
      </c>
      <c r="E539" t="s">
        <v>24</v>
      </c>
      <c r="F539" t="s">
        <v>31</v>
      </c>
      <c r="G539">
        <v>0.14000000000000001</v>
      </c>
      <c r="H539">
        <v>0.13639999999999999</v>
      </c>
      <c r="I539">
        <v>0.43</v>
      </c>
      <c r="J539">
        <v>0.22389999999999999</v>
      </c>
      <c r="K539">
        <v>6</v>
      </c>
      <c r="L539">
        <v>54</v>
      </c>
      <c r="M539">
        <v>60</v>
      </c>
      <c r="N539" t="s">
        <v>18</v>
      </c>
      <c r="O539" t="s">
        <v>85</v>
      </c>
      <c r="P539" t="s">
        <v>91</v>
      </c>
    </row>
    <row r="540" spans="1:16" x14ac:dyDescent="0.3">
      <c r="A540">
        <v>539</v>
      </c>
      <c r="B540" s="1">
        <v>40567</v>
      </c>
      <c r="C540">
        <v>14</v>
      </c>
      <c r="D540" t="b">
        <v>0</v>
      </c>
      <c r="E540" t="s">
        <v>24</v>
      </c>
      <c r="F540" t="s">
        <v>31</v>
      </c>
      <c r="G540">
        <v>0.14000000000000001</v>
      </c>
      <c r="H540">
        <v>0.13639999999999999</v>
      </c>
      <c r="I540">
        <v>0.46</v>
      </c>
      <c r="J540">
        <v>0.22389999999999999</v>
      </c>
      <c r="K540">
        <v>2</v>
      </c>
      <c r="L540">
        <v>43</v>
      </c>
      <c r="M540">
        <v>45</v>
      </c>
      <c r="N540" t="s">
        <v>18</v>
      </c>
      <c r="O540" t="s">
        <v>85</v>
      </c>
      <c r="P540" t="s">
        <v>91</v>
      </c>
    </row>
    <row r="541" spans="1:16" x14ac:dyDescent="0.3">
      <c r="A541">
        <v>540</v>
      </c>
      <c r="B541" s="1">
        <v>40567</v>
      </c>
      <c r="C541">
        <v>15</v>
      </c>
      <c r="D541" t="b">
        <v>0</v>
      </c>
      <c r="E541" t="s">
        <v>24</v>
      </c>
      <c r="F541" t="s">
        <v>30</v>
      </c>
      <c r="G541">
        <v>0.16</v>
      </c>
      <c r="H541">
        <v>0.16669999999999999</v>
      </c>
      <c r="I541">
        <v>0.4</v>
      </c>
      <c r="J541">
        <v>0.16420000000000001</v>
      </c>
      <c r="K541">
        <v>7</v>
      </c>
      <c r="L541">
        <v>50</v>
      </c>
      <c r="M541">
        <v>57</v>
      </c>
      <c r="N541" t="s">
        <v>18</v>
      </c>
      <c r="O541" t="s">
        <v>85</v>
      </c>
      <c r="P541" t="s">
        <v>90</v>
      </c>
    </row>
    <row r="542" spans="1:16" x14ac:dyDescent="0.3">
      <c r="A542">
        <v>541</v>
      </c>
      <c r="B542" s="1">
        <v>40567</v>
      </c>
      <c r="C542">
        <v>16</v>
      </c>
      <c r="D542" t="b">
        <v>0</v>
      </c>
      <c r="E542" t="s">
        <v>24</v>
      </c>
      <c r="F542" t="s">
        <v>30</v>
      </c>
      <c r="G542">
        <v>0.16</v>
      </c>
      <c r="H542">
        <v>0.1515</v>
      </c>
      <c r="I542">
        <v>0.47</v>
      </c>
      <c r="J542">
        <v>0.25369999999999998</v>
      </c>
      <c r="K542">
        <v>4</v>
      </c>
      <c r="L542">
        <v>66</v>
      </c>
      <c r="M542">
        <v>70</v>
      </c>
      <c r="N542" t="s">
        <v>18</v>
      </c>
      <c r="O542" t="s">
        <v>85</v>
      </c>
      <c r="P542" t="s">
        <v>90</v>
      </c>
    </row>
    <row r="543" spans="1:16" x14ac:dyDescent="0.3">
      <c r="A543">
        <v>542</v>
      </c>
      <c r="B543" s="1">
        <v>40567</v>
      </c>
      <c r="C543">
        <v>17</v>
      </c>
      <c r="D543" t="b">
        <v>0</v>
      </c>
      <c r="E543" t="s">
        <v>24</v>
      </c>
      <c r="F543" t="s">
        <v>30</v>
      </c>
      <c r="G543">
        <v>0.14000000000000001</v>
      </c>
      <c r="H543">
        <v>0.1212</v>
      </c>
      <c r="I543">
        <v>0.5</v>
      </c>
      <c r="J543">
        <v>0.25369999999999998</v>
      </c>
      <c r="K543">
        <v>6</v>
      </c>
      <c r="L543">
        <v>178</v>
      </c>
      <c r="M543">
        <v>184</v>
      </c>
      <c r="N543" t="s">
        <v>18</v>
      </c>
      <c r="O543" t="s">
        <v>87</v>
      </c>
      <c r="P543" t="s">
        <v>90</v>
      </c>
    </row>
    <row r="544" spans="1:16" x14ac:dyDescent="0.3">
      <c r="A544">
        <v>543</v>
      </c>
      <c r="B544" s="1">
        <v>40567</v>
      </c>
      <c r="C544">
        <v>18</v>
      </c>
      <c r="D544" t="b">
        <v>0</v>
      </c>
      <c r="E544" t="s">
        <v>24</v>
      </c>
      <c r="F544" t="s">
        <v>30</v>
      </c>
      <c r="G544">
        <v>0.14000000000000001</v>
      </c>
      <c r="H544">
        <v>0.13639999999999999</v>
      </c>
      <c r="I544">
        <v>0.59</v>
      </c>
      <c r="J544">
        <v>0.19400000000000001</v>
      </c>
      <c r="K544">
        <v>8</v>
      </c>
      <c r="L544">
        <v>145</v>
      </c>
      <c r="M544">
        <v>153</v>
      </c>
      <c r="N544" t="s">
        <v>18</v>
      </c>
      <c r="O544" t="s">
        <v>87</v>
      </c>
      <c r="P544" t="s">
        <v>90</v>
      </c>
    </row>
    <row r="545" spans="1:16" x14ac:dyDescent="0.3">
      <c r="A545">
        <v>544</v>
      </c>
      <c r="B545" s="1">
        <v>40567</v>
      </c>
      <c r="C545">
        <v>19</v>
      </c>
      <c r="D545" t="b">
        <v>0</v>
      </c>
      <c r="E545" t="s">
        <v>24</v>
      </c>
      <c r="F545" t="s">
        <v>30</v>
      </c>
      <c r="G545">
        <v>0.14000000000000001</v>
      </c>
      <c r="H545">
        <v>0.1515</v>
      </c>
      <c r="I545">
        <v>0.54</v>
      </c>
      <c r="J545">
        <v>0.16420000000000001</v>
      </c>
      <c r="K545">
        <v>5</v>
      </c>
      <c r="L545">
        <v>101</v>
      </c>
      <c r="M545">
        <v>106</v>
      </c>
      <c r="N545" t="s">
        <v>18</v>
      </c>
      <c r="O545" t="s">
        <v>87</v>
      </c>
      <c r="P545" t="s">
        <v>90</v>
      </c>
    </row>
    <row r="546" spans="1:16" x14ac:dyDescent="0.3">
      <c r="A546">
        <v>545</v>
      </c>
      <c r="B546" s="1">
        <v>40567</v>
      </c>
      <c r="C546">
        <v>20</v>
      </c>
      <c r="D546" t="b">
        <v>0</v>
      </c>
      <c r="E546" t="s">
        <v>24</v>
      </c>
      <c r="F546" t="s">
        <v>30</v>
      </c>
      <c r="G546">
        <v>0.14000000000000001</v>
      </c>
      <c r="H546">
        <v>0.13639999999999999</v>
      </c>
      <c r="I546">
        <v>0.59</v>
      </c>
      <c r="J546">
        <v>0.19400000000000001</v>
      </c>
      <c r="K546">
        <v>1</v>
      </c>
      <c r="L546">
        <v>80</v>
      </c>
      <c r="M546">
        <v>81</v>
      </c>
      <c r="N546" t="s">
        <v>18</v>
      </c>
      <c r="O546" t="s">
        <v>85</v>
      </c>
      <c r="P546" t="s">
        <v>90</v>
      </c>
    </row>
    <row r="547" spans="1:16" x14ac:dyDescent="0.3">
      <c r="A547">
        <v>546</v>
      </c>
      <c r="B547" s="1">
        <v>40567</v>
      </c>
      <c r="C547">
        <v>21</v>
      </c>
      <c r="D547" t="b">
        <v>0</v>
      </c>
      <c r="E547" t="s">
        <v>24</v>
      </c>
      <c r="F547" t="s">
        <v>30</v>
      </c>
      <c r="G547">
        <v>0.14000000000000001</v>
      </c>
      <c r="H547">
        <v>0.1515</v>
      </c>
      <c r="I547">
        <v>0.63</v>
      </c>
      <c r="J547">
        <v>0.16420000000000001</v>
      </c>
      <c r="K547">
        <v>6</v>
      </c>
      <c r="L547">
        <v>53</v>
      </c>
      <c r="M547">
        <v>59</v>
      </c>
      <c r="N547" t="s">
        <v>18</v>
      </c>
      <c r="O547" t="s">
        <v>85</v>
      </c>
      <c r="P547" t="s">
        <v>90</v>
      </c>
    </row>
    <row r="548" spans="1:16" x14ac:dyDescent="0.3">
      <c r="A548">
        <v>547</v>
      </c>
      <c r="B548" s="1">
        <v>40567</v>
      </c>
      <c r="C548">
        <v>22</v>
      </c>
      <c r="D548" t="b">
        <v>0</v>
      </c>
      <c r="E548" t="s">
        <v>24</v>
      </c>
      <c r="F548" t="s">
        <v>31</v>
      </c>
      <c r="G548">
        <v>0.14000000000000001</v>
      </c>
      <c r="H548">
        <v>0.13639999999999999</v>
      </c>
      <c r="I548">
        <v>0.63</v>
      </c>
      <c r="J548">
        <v>0.22389999999999999</v>
      </c>
      <c r="K548">
        <v>3</v>
      </c>
      <c r="L548">
        <v>32</v>
      </c>
      <c r="M548">
        <v>35</v>
      </c>
      <c r="N548" t="s">
        <v>18</v>
      </c>
      <c r="O548" t="s">
        <v>85</v>
      </c>
      <c r="P548" t="s">
        <v>91</v>
      </c>
    </row>
    <row r="549" spans="1:16" x14ac:dyDescent="0.3">
      <c r="A549">
        <v>548</v>
      </c>
      <c r="B549" s="1">
        <v>40567</v>
      </c>
      <c r="C549">
        <v>23</v>
      </c>
      <c r="D549" t="b">
        <v>0</v>
      </c>
      <c r="E549" t="s">
        <v>24</v>
      </c>
      <c r="F549" t="s">
        <v>31</v>
      </c>
      <c r="G549">
        <v>0.16</v>
      </c>
      <c r="H549">
        <v>0.1515</v>
      </c>
      <c r="I549">
        <v>0.64</v>
      </c>
      <c r="J549">
        <v>0.25369999999999998</v>
      </c>
      <c r="K549">
        <v>3</v>
      </c>
      <c r="L549">
        <v>21</v>
      </c>
      <c r="M549">
        <v>24</v>
      </c>
      <c r="N549" t="s">
        <v>18</v>
      </c>
      <c r="O549" t="s">
        <v>85</v>
      </c>
      <c r="P549" t="s">
        <v>91</v>
      </c>
    </row>
    <row r="550" spans="1:16" x14ac:dyDescent="0.3">
      <c r="A550">
        <v>549</v>
      </c>
      <c r="B550" s="1">
        <v>40568</v>
      </c>
      <c r="C550">
        <v>0</v>
      </c>
      <c r="D550" t="b">
        <v>0</v>
      </c>
      <c r="E550" t="s">
        <v>25</v>
      </c>
      <c r="F550" t="s">
        <v>31</v>
      </c>
      <c r="G550">
        <v>0.16</v>
      </c>
      <c r="H550">
        <v>0.13639999999999999</v>
      </c>
      <c r="I550">
        <v>0.69</v>
      </c>
      <c r="J550">
        <v>0.28360000000000002</v>
      </c>
      <c r="K550">
        <v>3</v>
      </c>
      <c r="L550">
        <v>6</v>
      </c>
      <c r="M550">
        <v>9</v>
      </c>
      <c r="N550" t="s">
        <v>18</v>
      </c>
      <c r="O550" t="s">
        <v>85</v>
      </c>
      <c r="P550" t="s">
        <v>91</v>
      </c>
    </row>
    <row r="551" spans="1:16" x14ac:dyDescent="0.3">
      <c r="A551">
        <v>550</v>
      </c>
      <c r="B551" s="1">
        <v>40568</v>
      </c>
      <c r="C551">
        <v>1</v>
      </c>
      <c r="D551" t="b">
        <v>0</v>
      </c>
      <c r="E551" t="s">
        <v>25</v>
      </c>
      <c r="F551" t="s">
        <v>31</v>
      </c>
      <c r="G551">
        <v>0.16</v>
      </c>
      <c r="H551">
        <v>0.16669999999999999</v>
      </c>
      <c r="I551">
        <v>0.69</v>
      </c>
      <c r="J551">
        <v>0.16420000000000001</v>
      </c>
      <c r="K551">
        <v>0</v>
      </c>
      <c r="L551">
        <v>5</v>
      </c>
      <c r="M551">
        <v>5</v>
      </c>
      <c r="N551" t="s">
        <v>18</v>
      </c>
      <c r="O551" t="s">
        <v>85</v>
      </c>
      <c r="P551" t="s">
        <v>91</v>
      </c>
    </row>
    <row r="552" spans="1:16" x14ac:dyDescent="0.3">
      <c r="A552">
        <v>551</v>
      </c>
      <c r="B552" s="1">
        <v>40568</v>
      </c>
      <c r="C552">
        <v>2</v>
      </c>
      <c r="D552" t="b">
        <v>0</v>
      </c>
      <c r="E552" t="s">
        <v>25</v>
      </c>
      <c r="F552" t="s">
        <v>30</v>
      </c>
      <c r="G552">
        <v>0.16</v>
      </c>
      <c r="H552">
        <v>0.1515</v>
      </c>
      <c r="I552">
        <v>0.69</v>
      </c>
      <c r="J552">
        <v>0.22389999999999999</v>
      </c>
      <c r="K552">
        <v>0</v>
      </c>
      <c r="L552">
        <v>2</v>
      </c>
      <c r="M552">
        <v>2</v>
      </c>
      <c r="N552" t="s">
        <v>18</v>
      </c>
      <c r="O552" t="s">
        <v>85</v>
      </c>
      <c r="P552" t="s">
        <v>90</v>
      </c>
    </row>
    <row r="553" spans="1:16" x14ac:dyDescent="0.3">
      <c r="A553">
        <v>552</v>
      </c>
      <c r="B553" s="1">
        <v>40568</v>
      </c>
      <c r="C553">
        <v>4</v>
      </c>
      <c r="D553" t="b">
        <v>0</v>
      </c>
      <c r="E553" t="s">
        <v>25</v>
      </c>
      <c r="F553" t="s">
        <v>30</v>
      </c>
      <c r="G553">
        <v>0.14000000000000001</v>
      </c>
      <c r="H553">
        <v>0.16669999999999999</v>
      </c>
      <c r="I553">
        <v>0.74</v>
      </c>
      <c r="J553">
        <v>0.1045</v>
      </c>
      <c r="K553">
        <v>0</v>
      </c>
      <c r="L553">
        <v>1</v>
      </c>
      <c r="M553">
        <v>1</v>
      </c>
      <c r="N553" t="s">
        <v>18</v>
      </c>
      <c r="O553" t="s">
        <v>85</v>
      </c>
      <c r="P553" t="s">
        <v>90</v>
      </c>
    </row>
    <row r="554" spans="1:16" x14ac:dyDescent="0.3">
      <c r="A554">
        <v>553</v>
      </c>
      <c r="B554" s="1">
        <v>40568</v>
      </c>
      <c r="C554">
        <v>5</v>
      </c>
      <c r="D554" t="b">
        <v>0</v>
      </c>
      <c r="E554" t="s">
        <v>25</v>
      </c>
      <c r="F554" t="s">
        <v>30</v>
      </c>
      <c r="G554">
        <v>0.14000000000000001</v>
      </c>
      <c r="H554">
        <v>0.13639999999999999</v>
      </c>
      <c r="I554">
        <v>0.74</v>
      </c>
      <c r="J554">
        <v>0.22389999999999999</v>
      </c>
      <c r="K554">
        <v>0</v>
      </c>
      <c r="L554">
        <v>9</v>
      </c>
      <c r="M554">
        <v>9</v>
      </c>
      <c r="N554" t="s">
        <v>18</v>
      </c>
      <c r="O554" t="s">
        <v>85</v>
      </c>
      <c r="P554" t="s">
        <v>90</v>
      </c>
    </row>
    <row r="555" spans="1:16" x14ac:dyDescent="0.3">
      <c r="A555">
        <v>554</v>
      </c>
      <c r="B555" s="1">
        <v>40568</v>
      </c>
      <c r="C555">
        <v>6</v>
      </c>
      <c r="D555" t="b">
        <v>0</v>
      </c>
      <c r="E555" t="s">
        <v>25</v>
      </c>
      <c r="F555" t="s">
        <v>30</v>
      </c>
      <c r="G555">
        <v>0.16</v>
      </c>
      <c r="H555">
        <v>0.18179999999999999</v>
      </c>
      <c r="I555">
        <v>0.74</v>
      </c>
      <c r="J555">
        <v>0.1045</v>
      </c>
      <c r="K555">
        <v>1</v>
      </c>
      <c r="L555">
        <v>35</v>
      </c>
      <c r="M555">
        <v>36</v>
      </c>
      <c r="N555" t="s">
        <v>18</v>
      </c>
      <c r="O555" t="s">
        <v>85</v>
      </c>
      <c r="P555" t="s">
        <v>90</v>
      </c>
    </row>
    <row r="556" spans="1:16" x14ac:dyDescent="0.3">
      <c r="A556">
        <v>555</v>
      </c>
      <c r="B556" s="1">
        <v>40568</v>
      </c>
      <c r="C556">
        <v>7</v>
      </c>
      <c r="D556" t="b">
        <v>0</v>
      </c>
      <c r="E556" t="s">
        <v>25</v>
      </c>
      <c r="F556" t="s">
        <v>30</v>
      </c>
      <c r="G556">
        <v>0.16</v>
      </c>
      <c r="H556">
        <v>0.1515</v>
      </c>
      <c r="I556">
        <v>0.74</v>
      </c>
      <c r="J556">
        <v>0.22389999999999999</v>
      </c>
      <c r="K556">
        <v>5</v>
      </c>
      <c r="L556">
        <v>103</v>
      </c>
      <c r="M556">
        <v>108</v>
      </c>
      <c r="N556" t="s">
        <v>18</v>
      </c>
      <c r="O556" t="s">
        <v>86</v>
      </c>
      <c r="P556" t="s">
        <v>90</v>
      </c>
    </row>
    <row r="557" spans="1:16" x14ac:dyDescent="0.3">
      <c r="A557">
        <v>556</v>
      </c>
      <c r="B557" s="1">
        <v>40568</v>
      </c>
      <c r="C557">
        <v>8</v>
      </c>
      <c r="D557" t="b">
        <v>0</v>
      </c>
      <c r="E557" t="s">
        <v>25</v>
      </c>
      <c r="F557" t="s">
        <v>31</v>
      </c>
      <c r="G557">
        <v>0.16</v>
      </c>
      <c r="H557">
        <v>0.18179999999999999</v>
      </c>
      <c r="I557">
        <v>0.74</v>
      </c>
      <c r="J557">
        <v>0.1343</v>
      </c>
      <c r="K557">
        <v>5</v>
      </c>
      <c r="L557">
        <v>233</v>
      </c>
      <c r="M557">
        <v>238</v>
      </c>
      <c r="N557" t="s">
        <v>18</v>
      </c>
      <c r="O557" t="s">
        <v>86</v>
      </c>
      <c r="P557" t="s">
        <v>91</v>
      </c>
    </row>
    <row r="558" spans="1:16" x14ac:dyDescent="0.3">
      <c r="A558">
        <v>557</v>
      </c>
      <c r="B558" s="1">
        <v>40568</v>
      </c>
      <c r="C558">
        <v>9</v>
      </c>
      <c r="D558" t="b">
        <v>0</v>
      </c>
      <c r="E558" t="s">
        <v>25</v>
      </c>
      <c r="F558" t="s">
        <v>31</v>
      </c>
      <c r="G558">
        <v>0.2</v>
      </c>
      <c r="H558">
        <v>0.2273</v>
      </c>
      <c r="I558">
        <v>0.64</v>
      </c>
      <c r="J558">
        <v>8.9599999999999999E-2</v>
      </c>
      <c r="K558">
        <v>10</v>
      </c>
      <c r="L558">
        <v>134</v>
      </c>
      <c r="M558">
        <v>144</v>
      </c>
      <c r="N558" t="s">
        <v>18</v>
      </c>
      <c r="O558" t="s">
        <v>86</v>
      </c>
      <c r="P558" t="s">
        <v>91</v>
      </c>
    </row>
    <row r="559" spans="1:16" x14ac:dyDescent="0.3">
      <c r="A559">
        <v>558</v>
      </c>
      <c r="B559" s="1">
        <v>40568</v>
      </c>
      <c r="C559">
        <v>10</v>
      </c>
      <c r="D559" t="b">
        <v>0</v>
      </c>
      <c r="E559" t="s">
        <v>25</v>
      </c>
      <c r="F559" t="s">
        <v>31</v>
      </c>
      <c r="G559">
        <v>0.22</v>
      </c>
      <c r="H559">
        <v>0.2424</v>
      </c>
      <c r="I559">
        <v>0.6</v>
      </c>
      <c r="J559">
        <v>0.1045</v>
      </c>
      <c r="K559">
        <v>6</v>
      </c>
      <c r="L559">
        <v>49</v>
      </c>
      <c r="M559">
        <v>55</v>
      </c>
      <c r="N559" t="s">
        <v>18</v>
      </c>
      <c r="O559" t="s">
        <v>85</v>
      </c>
      <c r="P559" t="s">
        <v>91</v>
      </c>
    </row>
    <row r="560" spans="1:16" x14ac:dyDescent="0.3">
      <c r="A560">
        <v>559</v>
      </c>
      <c r="B560" s="1">
        <v>40568</v>
      </c>
      <c r="C560">
        <v>11</v>
      </c>
      <c r="D560" t="b">
        <v>0</v>
      </c>
      <c r="E560" t="s">
        <v>25</v>
      </c>
      <c r="F560" t="s">
        <v>31</v>
      </c>
      <c r="G560">
        <v>0.24</v>
      </c>
      <c r="H560">
        <v>0.2424</v>
      </c>
      <c r="I560">
        <v>0.6</v>
      </c>
      <c r="J560">
        <v>0.1343</v>
      </c>
      <c r="K560">
        <v>6</v>
      </c>
      <c r="L560">
        <v>55</v>
      </c>
      <c r="M560">
        <v>61</v>
      </c>
      <c r="N560" t="s">
        <v>18</v>
      </c>
      <c r="O560" t="s">
        <v>85</v>
      </c>
      <c r="P560" t="s">
        <v>91</v>
      </c>
    </row>
    <row r="561" spans="1:16" x14ac:dyDescent="0.3">
      <c r="A561">
        <v>560</v>
      </c>
      <c r="B561" s="1">
        <v>40568</v>
      </c>
      <c r="C561">
        <v>12</v>
      </c>
      <c r="D561" t="b">
        <v>0</v>
      </c>
      <c r="E561" t="s">
        <v>25</v>
      </c>
      <c r="F561" t="s">
        <v>31</v>
      </c>
      <c r="G561">
        <v>0.26</v>
      </c>
      <c r="H561">
        <v>0.28789999999999999</v>
      </c>
      <c r="I561">
        <v>0.56000000000000005</v>
      </c>
      <c r="J561">
        <v>8.9599999999999999E-2</v>
      </c>
      <c r="K561">
        <v>21</v>
      </c>
      <c r="L561">
        <v>85</v>
      </c>
      <c r="M561">
        <v>106</v>
      </c>
      <c r="N561" t="s">
        <v>18</v>
      </c>
      <c r="O561" t="s">
        <v>85</v>
      </c>
      <c r="P561" t="s">
        <v>91</v>
      </c>
    </row>
    <row r="562" spans="1:16" x14ac:dyDescent="0.3">
      <c r="A562">
        <v>561</v>
      </c>
      <c r="B562" s="1">
        <v>40568</v>
      </c>
      <c r="C562">
        <v>13</v>
      </c>
      <c r="D562" t="b">
        <v>0</v>
      </c>
      <c r="E562" t="s">
        <v>25</v>
      </c>
      <c r="F562" t="s">
        <v>31</v>
      </c>
      <c r="G562">
        <v>0.26</v>
      </c>
      <c r="H562">
        <v>0.2727</v>
      </c>
      <c r="I562">
        <v>0.56000000000000005</v>
      </c>
      <c r="J562">
        <v>0.1343</v>
      </c>
      <c r="K562">
        <v>21</v>
      </c>
      <c r="L562">
        <v>72</v>
      </c>
      <c r="M562">
        <v>93</v>
      </c>
      <c r="N562" t="s">
        <v>18</v>
      </c>
      <c r="O562" t="s">
        <v>85</v>
      </c>
      <c r="P562" t="s">
        <v>91</v>
      </c>
    </row>
    <row r="563" spans="1:16" x14ac:dyDescent="0.3">
      <c r="A563">
        <v>562</v>
      </c>
      <c r="B563" s="1">
        <v>40568</v>
      </c>
      <c r="C563">
        <v>14</v>
      </c>
      <c r="D563" t="b">
        <v>0</v>
      </c>
      <c r="E563" t="s">
        <v>25</v>
      </c>
      <c r="F563" t="s">
        <v>31</v>
      </c>
      <c r="G563">
        <v>0.3</v>
      </c>
      <c r="H563">
        <v>0.33329999999999999</v>
      </c>
      <c r="I563">
        <v>0.45</v>
      </c>
      <c r="J563">
        <v>0</v>
      </c>
      <c r="K563">
        <v>11</v>
      </c>
      <c r="L563">
        <v>57</v>
      </c>
      <c r="M563">
        <v>68</v>
      </c>
      <c r="N563" t="s">
        <v>18</v>
      </c>
      <c r="O563" t="s">
        <v>85</v>
      </c>
      <c r="P563" t="s">
        <v>91</v>
      </c>
    </row>
    <row r="564" spans="1:16" x14ac:dyDescent="0.3">
      <c r="A564">
        <v>563</v>
      </c>
      <c r="B564" s="1">
        <v>40568</v>
      </c>
      <c r="C564">
        <v>15</v>
      </c>
      <c r="D564" t="b">
        <v>0</v>
      </c>
      <c r="E564" t="s">
        <v>25</v>
      </c>
      <c r="F564" t="s">
        <v>31</v>
      </c>
      <c r="G564">
        <v>0.32</v>
      </c>
      <c r="H564">
        <v>0.34849999999999998</v>
      </c>
      <c r="I564">
        <v>0.42</v>
      </c>
      <c r="J564">
        <v>0</v>
      </c>
      <c r="K564">
        <v>21</v>
      </c>
      <c r="L564">
        <v>63</v>
      </c>
      <c r="M564">
        <v>84</v>
      </c>
      <c r="N564" t="s">
        <v>18</v>
      </c>
      <c r="O564" t="s">
        <v>85</v>
      </c>
      <c r="P564" t="s">
        <v>91</v>
      </c>
    </row>
    <row r="565" spans="1:16" x14ac:dyDescent="0.3">
      <c r="A565">
        <v>564</v>
      </c>
      <c r="B565" s="1">
        <v>40568</v>
      </c>
      <c r="C565">
        <v>16</v>
      </c>
      <c r="D565" t="b">
        <v>0</v>
      </c>
      <c r="E565" t="s">
        <v>25</v>
      </c>
      <c r="F565" t="s">
        <v>31</v>
      </c>
      <c r="G565">
        <v>0.32</v>
      </c>
      <c r="H565">
        <v>0.34849999999999998</v>
      </c>
      <c r="I565">
        <v>0.42</v>
      </c>
      <c r="J565">
        <v>0</v>
      </c>
      <c r="K565">
        <v>14</v>
      </c>
      <c r="L565">
        <v>102</v>
      </c>
      <c r="M565">
        <v>116</v>
      </c>
      <c r="N565" t="s">
        <v>18</v>
      </c>
      <c r="O565" t="s">
        <v>85</v>
      </c>
      <c r="P565" t="s">
        <v>91</v>
      </c>
    </row>
    <row r="566" spans="1:16" x14ac:dyDescent="0.3">
      <c r="A566">
        <v>565</v>
      </c>
      <c r="B566" s="1">
        <v>40568</v>
      </c>
      <c r="C566">
        <v>17</v>
      </c>
      <c r="D566" t="b">
        <v>0</v>
      </c>
      <c r="E566" t="s">
        <v>25</v>
      </c>
      <c r="F566" t="s">
        <v>30</v>
      </c>
      <c r="G566">
        <v>0.3</v>
      </c>
      <c r="H566">
        <v>0.33329999999999999</v>
      </c>
      <c r="I566">
        <v>0.45</v>
      </c>
      <c r="J566">
        <v>0</v>
      </c>
      <c r="K566">
        <v>14</v>
      </c>
      <c r="L566">
        <v>208</v>
      </c>
      <c r="M566">
        <v>222</v>
      </c>
      <c r="N566" t="s">
        <v>18</v>
      </c>
      <c r="O566" t="s">
        <v>87</v>
      </c>
      <c r="P566" t="s">
        <v>90</v>
      </c>
    </row>
    <row r="567" spans="1:16" x14ac:dyDescent="0.3">
      <c r="A567">
        <v>566</v>
      </c>
      <c r="B567" s="1">
        <v>40568</v>
      </c>
      <c r="C567">
        <v>18</v>
      </c>
      <c r="D567" t="b">
        <v>0</v>
      </c>
      <c r="E567" t="s">
        <v>25</v>
      </c>
      <c r="F567" t="s">
        <v>31</v>
      </c>
      <c r="G567">
        <v>0.3</v>
      </c>
      <c r="H567">
        <v>0.31819999999999998</v>
      </c>
      <c r="I567">
        <v>0.49</v>
      </c>
      <c r="J567">
        <v>8.9599999999999999E-2</v>
      </c>
      <c r="K567">
        <v>7</v>
      </c>
      <c r="L567">
        <v>218</v>
      </c>
      <c r="M567">
        <v>225</v>
      </c>
      <c r="N567" t="s">
        <v>18</v>
      </c>
      <c r="O567" t="s">
        <v>87</v>
      </c>
      <c r="P567" t="s">
        <v>91</v>
      </c>
    </row>
    <row r="568" spans="1:16" x14ac:dyDescent="0.3">
      <c r="A568">
        <v>567</v>
      </c>
      <c r="B568" s="1">
        <v>40568</v>
      </c>
      <c r="C568">
        <v>19</v>
      </c>
      <c r="D568" t="b">
        <v>0</v>
      </c>
      <c r="E568" t="s">
        <v>25</v>
      </c>
      <c r="F568" t="s">
        <v>31</v>
      </c>
      <c r="G568">
        <v>0.26</v>
      </c>
      <c r="H568">
        <v>0.2576</v>
      </c>
      <c r="I568">
        <v>0.65</v>
      </c>
      <c r="J568">
        <v>0.16420000000000001</v>
      </c>
      <c r="K568">
        <v>13</v>
      </c>
      <c r="L568">
        <v>133</v>
      </c>
      <c r="M568">
        <v>146</v>
      </c>
      <c r="N568" t="s">
        <v>18</v>
      </c>
      <c r="O568" t="s">
        <v>87</v>
      </c>
      <c r="P568" t="s">
        <v>91</v>
      </c>
    </row>
    <row r="569" spans="1:16" x14ac:dyDescent="0.3">
      <c r="A569">
        <v>568</v>
      </c>
      <c r="B569" s="1">
        <v>40568</v>
      </c>
      <c r="C569">
        <v>20</v>
      </c>
      <c r="D569" t="b">
        <v>0</v>
      </c>
      <c r="E569" t="s">
        <v>25</v>
      </c>
      <c r="F569" t="s">
        <v>30</v>
      </c>
      <c r="G569">
        <v>0.24</v>
      </c>
      <c r="H569">
        <v>0.2273</v>
      </c>
      <c r="I569">
        <v>0.65</v>
      </c>
      <c r="J569">
        <v>0.19400000000000001</v>
      </c>
      <c r="K569">
        <v>16</v>
      </c>
      <c r="L569">
        <v>103</v>
      </c>
      <c r="M569">
        <v>119</v>
      </c>
      <c r="N569" t="s">
        <v>18</v>
      </c>
      <c r="O569" t="s">
        <v>85</v>
      </c>
      <c r="P569" t="s">
        <v>90</v>
      </c>
    </row>
    <row r="570" spans="1:16" x14ac:dyDescent="0.3">
      <c r="A570">
        <v>569</v>
      </c>
      <c r="B570" s="1">
        <v>40568</v>
      </c>
      <c r="C570">
        <v>21</v>
      </c>
      <c r="D570" t="b">
        <v>0</v>
      </c>
      <c r="E570" t="s">
        <v>25</v>
      </c>
      <c r="F570" t="s">
        <v>30</v>
      </c>
      <c r="G570">
        <v>0.24</v>
      </c>
      <c r="H570">
        <v>0.2273</v>
      </c>
      <c r="I570">
        <v>0.65</v>
      </c>
      <c r="J570">
        <v>0.19400000000000001</v>
      </c>
      <c r="K570">
        <v>5</v>
      </c>
      <c r="L570">
        <v>40</v>
      </c>
      <c r="M570">
        <v>45</v>
      </c>
      <c r="N570" t="s">
        <v>18</v>
      </c>
      <c r="O570" t="s">
        <v>85</v>
      </c>
      <c r="P570" t="s">
        <v>90</v>
      </c>
    </row>
    <row r="571" spans="1:16" x14ac:dyDescent="0.3">
      <c r="A571">
        <v>570</v>
      </c>
      <c r="B571" s="1">
        <v>40568</v>
      </c>
      <c r="C571">
        <v>22</v>
      </c>
      <c r="D571" t="b">
        <v>0</v>
      </c>
      <c r="E571" t="s">
        <v>25</v>
      </c>
      <c r="F571" t="s">
        <v>30</v>
      </c>
      <c r="G571">
        <v>0.22</v>
      </c>
      <c r="H571">
        <v>0.2273</v>
      </c>
      <c r="I571">
        <v>0.64</v>
      </c>
      <c r="J571">
        <v>0.16420000000000001</v>
      </c>
      <c r="K571">
        <v>4</v>
      </c>
      <c r="L571">
        <v>49</v>
      </c>
      <c r="M571">
        <v>53</v>
      </c>
      <c r="N571" t="s">
        <v>18</v>
      </c>
      <c r="O571" t="s">
        <v>85</v>
      </c>
      <c r="P571" t="s">
        <v>90</v>
      </c>
    </row>
    <row r="572" spans="1:16" x14ac:dyDescent="0.3">
      <c r="A572">
        <v>571</v>
      </c>
      <c r="B572" s="1">
        <v>40568</v>
      </c>
      <c r="C572">
        <v>23</v>
      </c>
      <c r="D572" t="b">
        <v>0</v>
      </c>
      <c r="E572" t="s">
        <v>25</v>
      </c>
      <c r="F572" t="s">
        <v>31</v>
      </c>
      <c r="G572">
        <v>0.22</v>
      </c>
      <c r="H572">
        <v>0.2273</v>
      </c>
      <c r="I572">
        <v>0.64</v>
      </c>
      <c r="J572">
        <v>0.16420000000000001</v>
      </c>
      <c r="K572">
        <v>3</v>
      </c>
      <c r="L572">
        <v>37</v>
      </c>
      <c r="M572">
        <v>40</v>
      </c>
      <c r="N572" t="s">
        <v>18</v>
      </c>
      <c r="O572" t="s">
        <v>85</v>
      </c>
      <c r="P572" t="s">
        <v>91</v>
      </c>
    </row>
    <row r="573" spans="1:16" x14ac:dyDescent="0.3">
      <c r="A573">
        <v>572</v>
      </c>
      <c r="B573" s="1">
        <v>40569</v>
      </c>
      <c r="C573">
        <v>0</v>
      </c>
      <c r="D573" t="b">
        <v>0</v>
      </c>
      <c r="E573" t="s">
        <v>26</v>
      </c>
      <c r="F573" t="s">
        <v>31</v>
      </c>
      <c r="G573">
        <v>0.22</v>
      </c>
      <c r="H573">
        <v>0.2273</v>
      </c>
      <c r="I573">
        <v>0.69</v>
      </c>
      <c r="J573">
        <v>0.1343</v>
      </c>
      <c r="K573">
        <v>3</v>
      </c>
      <c r="L573">
        <v>14</v>
      </c>
      <c r="M573">
        <v>17</v>
      </c>
      <c r="N573" t="s">
        <v>18</v>
      </c>
      <c r="O573" t="s">
        <v>85</v>
      </c>
      <c r="P573" t="s">
        <v>91</v>
      </c>
    </row>
    <row r="574" spans="1:16" x14ac:dyDescent="0.3">
      <c r="A574">
        <v>573</v>
      </c>
      <c r="B574" s="1">
        <v>40569</v>
      </c>
      <c r="C574">
        <v>1</v>
      </c>
      <c r="D574" t="b">
        <v>0</v>
      </c>
      <c r="E574" t="s">
        <v>26</v>
      </c>
      <c r="F574" t="s">
        <v>31</v>
      </c>
      <c r="G574">
        <v>0.24</v>
      </c>
      <c r="H574">
        <v>0.2424</v>
      </c>
      <c r="I574">
        <v>0.65</v>
      </c>
      <c r="J574">
        <v>0.1343</v>
      </c>
      <c r="K574">
        <v>0</v>
      </c>
      <c r="L574">
        <v>5</v>
      </c>
      <c r="M574">
        <v>5</v>
      </c>
      <c r="N574" t="s">
        <v>18</v>
      </c>
      <c r="O574" t="s">
        <v>85</v>
      </c>
      <c r="P574" t="s">
        <v>91</v>
      </c>
    </row>
    <row r="575" spans="1:16" x14ac:dyDescent="0.3">
      <c r="A575">
        <v>574</v>
      </c>
      <c r="B575" s="1">
        <v>40569</v>
      </c>
      <c r="C575">
        <v>2</v>
      </c>
      <c r="D575" t="b">
        <v>0</v>
      </c>
      <c r="E575" t="s">
        <v>26</v>
      </c>
      <c r="F575" t="s">
        <v>32</v>
      </c>
      <c r="G575">
        <v>0.22</v>
      </c>
      <c r="H575">
        <v>0.2273</v>
      </c>
      <c r="I575">
        <v>0.69</v>
      </c>
      <c r="J575">
        <v>0.19400000000000001</v>
      </c>
      <c r="K575">
        <v>3</v>
      </c>
      <c r="L575">
        <v>7</v>
      </c>
      <c r="M575">
        <v>10</v>
      </c>
      <c r="N575" t="s">
        <v>18</v>
      </c>
      <c r="O575" t="s">
        <v>85</v>
      </c>
      <c r="P575" t="s">
        <v>92</v>
      </c>
    </row>
    <row r="576" spans="1:16" x14ac:dyDescent="0.3">
      <c r="A576">
        <v>575</v>
      </c>
      <c r="B576" s="1">
        <v>40569</v>
      </c>
      <c r="C576">
        <v>5</v>
      </c>
      <c r="D576" t="b">
        <v>0</v>
      </c>
      <c r="E576" t="s">
        <v>26</v>
      </c>
      <c r="F576" t="s">
        <v>32</v>
      </c>
      <c r="G576">
        <v>0.2</v>
      </c>
      <c r="H576">
        <v>0.18179999999999999</v>
      </c>
      <c r="I576">
        <v>0.86</v>
      </c>
      <c r="J576">
        <v>0.28360000000000002</v>
      </c>
      <c r="K576">
        <v>0</v>
      </c>
      <c r="L576">
        <v>1</v>
      </c>
      <c r="M576">
        <v>1</v>
      </c>
      <c r="N576" t="s">
        <v>18</v>
      </c>
      <c r="O576" t="s">
        <v>85</v>
      </c>
      <c r="P576" t="s">
        <v>92</v>
      </c>
    </row>
    <row r="577" spans="1:16" x14ac:dyDescent="0.3">
      <c r="A577">
        <v>576</v>
      </c>
      <c r="B577" s="1">
        <v>40569</v>
      </c>
      <c r="C577">
        <v>6</v>
      </c>
      <c r="D577" t="b">
        <v>0</v>
      </c>
      <c r="E577" t="s">
        <v>26</v>
      </c>
      <c r="F577" t="s">
        <v>32</v>
      </c>
      <c r="G577">
        <v>0.2</v>
      </c>
      <c r="H577">
        <v>0.18179999999999999</v>
      </c>
      <c r="I577">
        <v>0.86</v>
      </c>
      <c r="J577">
        <v>0.28360000000000002</v>
      </c>
      <c r="K577">
        <v>0</v>
      </c>
      <c r="L577">
        <v>8</v>
      </c>
      <c r="M577">
        <v>8</v>
      </c>
      <c r="N577" t="s">
        <v>18</v>
      </c>
      <c r="O577" t="s">
        <v>85</v>
      </c>
      <c r="P577" t="s">
        <v>92</v>
      </c>
    </row>
    <row r="578" spans="1:16" x14ac:dyDescent="0.3">
      <c r="A578">
        <v>577</v>
      </c>
      <c r="B578" s="1">
        <v>40569</v>
      </c>
      <c r="C578">
        <v>7</v>
      </c>
      <c r="D578" t="b">
        <v>0</v>
      </c>
      <c r="E578" t="s">
        <v>26</v>
      </c>
      <c r="F578" t="s">
        <v>32</v>
      </c>
      <c r="G578">
        <v>0.22</v>
      </c>
      <c r="H578">
        <v>0.21210000000000001</v>
      </c>
      <c r="I578">
        <v>0.87</v>
      </c>
      <c r="J578">
        <v>0.29849999999999999</v>
      </c>
      <c r="K578">
        <v>1</v>
      </c>
      <c r="L578">
        <v>29</v>
      </c>
      <c r="M578">
        <v>30</v>
      </c>
      <c r="N578" t="s">
        <v>18</v>
      </c>
      <c r="O578" t="s">
        <v>86</v>
      </c>
      <c r="P578" t="s">
        <v>92</v>
      </c>
    </row>
    <row r="579" spans="1:16" x14ac:dyDescent="0.3">
      <c r="A579">
        <v>578</v>
      </c>
      <c r="B579" s="1">
        <v>40569</v>
      </c>
      <c r="C579">
        <v>8</v>
      </c>
      <c r="D579" t="b">
        <v>0</v>
      </c>
      <c r="E579" t="s">
        <v>26</v>
      </c>
      <c r="F579" t="s">
        <v>32</v>
      </c>
      <c r="G579">
        <v>0.22</v>
      </c>
      <c r="H579">
        <v>0.21210000000000001</v>
      </c>
      <c r="I579">
        <v>0.87</v>
      </c>
      <c r="J579">
        <v>0.29849999999999999</v>
      </c>
      <c r="K579">
        <v>3</v>
      </c>
      <c r="L579">
        <v>69</v>
      </c>
      <c r="M579">
        <v>72</v>
      </c>
      <c r="N579" t="s">
        <v>18</v>
      </c>
      <c r="O579" t="s">
        <v>86</v>
      </c>
      <c r="P579" t="s">
        <v>92</v>
      </c>
    </row>
    <row r="580" spans="1:16" x14ac:dyDescent="0.3">
      <c r="A580">
        <v>579</v>
      </c>
      <c r="B580" s="1">
        <v>40569</v>
      </c>
      <c r="C580">
        <v>9</v>
      </c>
      <c r="D580" t="b">
        <v>0</v>
      </c>
      <c r="E580" t="s">
        <v>26</v>
      </c>
      <c r="F580" t="s">
        <v>32</v>
      </c>
      <c r="G580">
        <v>0.22</v>
      </c>
      <c r="H580">
        <v>0.21210000000000001</v>
      </c>
      <c r="I580">
        <v>0.87</v>
      </c>
      <c r="J580">
        <v>0.29849999999999999</v>
      </c>
      <c r="K580">
        <v>3</v>
      </c>
      <c r="L580">
        <v>55</v>
      </c>
      <c r="M580">
        <v>58</v>
      </c>
      <c r="N580" t="s">
        <v>18</v>
      </c>
      <c r="O580" t="s">
        <v>86</v>
      </c>
      <c r="P580" t="s">
        <v>92</v>
      </c>
    </row>
    <row r="581" spans="1:16" x14ac:dyDescent="0.3">
      <c r="A581">
        <v>580</v>
      </c>
      <c r="B581" s="1">
        <v>40569</v>
      </c>
      <c r="C581">
        <v>10</v>
      </c>
      <c r="D581" t="b">
        <v>0</v>
      </c>
      <c r="E581" t="s">
        <v>26</v>
      </c>
      <c r="F581" t="s">
        <v>32</v>
      </c>
      <c r="G581">
        <v>0.22</v>
      </c>
      <c r="H581">
        <v>0.21210000000000001</v>
      </c>
      <c r="I581">
        <v>0.93</v>
      </c>
      <c r="J581">
        <v>0.28360000000000002</v>
      </c>
      <c r="K581">
        <v>2</v>
      </c>
      <c r="L581">
        <v>26</v>
      </c>
      <c r="M581">
        <v>28</v>
      </c>
      <c r="N581" t="s">
        <v>18</v>
      </c>
      <c r="O581" t="s">
        <v>85</v>
      </c>
      <c r="P581" t="s">
        <v>92</v>
      </c>
    </row>
    <row r="582" spans="1:16" x14ac:dyDescent="0.3">
      <c r="A582">
        <v>581</v>
      </c>
      <c r="B582" s="1">
        <v>40569</v>
      </c>
      <c r="C582">
        <v>11</v>
      </c>
      <c r="D582" t="b">
        <v>0</v>
      </c>
      <c r="E582" t="s">
        <v>26</v>
      </c>
      <c r="F582" t="s">
        <v>32</v>
      </c>
      <c r="G582">
        <v>0.22</v>
      </c>
      <c r="H582">
        <v>0.19700000000000001</v>
      </c>
      <c r="I582">
        <v>0.93</v>
      </c>
      <c r="J582">
        <v>0.32840000000000003</v>
      </c>
      <c r="K582">
        <v>6</v>
      </c>
      <c r="L582">
        <v>35</v>
      </c>
      <c r="M582">
        <v>41</v>
      </c>
      <c r="N582" t="s">
        <v>18</v>
      </c>
      <c r="O582" t="s">
        <v>85</v>
      </c>
      <c r="P582" t="s">
        <v>92</v>
      </c>
    </row>
    <row r="583" spans="1:16" x14ac:dyDescent="0.3">
      <c r="A583">
        <v>582</v>
      </c>
      <c r="B583" s="1">
        <v>40569</v>
      </c>
      <c r="C583">
        <v>12</v>
      </c>
      <c r="D583" t="b">
        <v>0</v>
      </c>
      <c r="E583" t="s">
        <v>26</v>
      </c>
      <c r="F583" t="s">
        <v>32</v>
      </c>
      <c r="G583">
        <v>0.22</v>
      </c>
      <c r="H583">
        <v>0.19700000000000001</v>
      </c>
      <c r="I583">
        <v>0.93</v>
      </c>
      <c r="J583">
        <v>0.32840000000000003</v>
      </c>
      <c r="K583">
        <v>7</v>
      </c>
      <c r="L583">
        <v>41</v>
      </c>
      <c r="M583">
        <v>48</v>
      </c>
      <c r="N583" t="s">
        <v>18</v>
      </c>
      <c r="O583" t="s">
        <v>85</v>
      </c>
      <c r="P583" t="s">
        <v>92</v>
      </c>
    </row>
    <row r="584" spans="1:16" x14ac:dyDescent="0.3">
      <c r="A584">
        <v>583</v>
      </c>
      <c r="B584" s="1">
        <v>40569</v>
      </c>
      <c r="C584">
        <v>13</v>
      </c>
      <c r="D584" t="b">
        <v>0</v>
      </c>
      <c r="E584" t="s">
        <v>26</v>
      </c>
      <c r="F584" t="s">
        <v>32</v>
      </c>
      <c r="G584">
        <v>0.22</v>
      </c>
      <c r="H584">
        <v>0.19700000000000001</v>
      </c>
      <c r="I584">
        <v>0.93</v>
      </c>
      <c r="J584">
        <v>0.32840000000000003</v>
      </c>
      <c r="K584">
        <v>4</v>
      </c>
      <c r="L584">
        <v>43</v>
      </c>
      <c r="M584">
        <v>47</v>
      </c>
      <c r="N584" t="s">
        <v>18</v>
      </c>
      <c r="O584" t="s">
        <v>85</v>
      </c>
      <c r="P584" t="s">
        <v>92</v>
      </c>
    </row>
    <row r="585" spans="1:16" x14ac:dyDescent="0.3">
      <c r="A585">
        <v>584</v>
      </c>
      <c r="B585" s="1">
        <v>40569</v>
      </c>
      <c r="C585">
        <v>14</v>
      </c>
      <c r="D585" t="b">
        <v>0</v>
      </c>
      <c r="E585" t="s">
        <v>26</v>
      </c>
      <c r="F585" t="s">
        <v>32</v>
      </c>
      <c r="G585">
        <v>0.22</v>
      </c>
      <c r="H585">
        <v>0.19700000000000001</v>
      </c>
      <c r="I585">
        <v>0.93</v>
      </c>
      <c r="J585">
        <v>0.35820000000000002</v>
      </c>
      <c r="K585">
        <v>0</v>
      </c>
      <c r="L585">
        <v>36</v>
      </c>
      <c r="M585">
        <v>36</v>
      </c>
      <c r="N585" t="s">
        <v>18</v>
      </c>
      <c r="O585" t="s">
        <v>85</v>
      </c>
      <c r="P585" t="s">
        <v>92</v>
      </c>
    </row>
    <row r="586" spans="1:16" x14ac:dyDescent="0.3">
      <c r="A586">
        <v>585</v>
      </c>
      <c r="B586" s="1">
        <v>40569</v>
      </c>
      <c r="C586">
        <v>15</v>
      </c>
      <c r="D586" t="b">
        <v>0</v>
      </c>
      <c r="E586" t="s">
        <v>26</v>
      </c>
      <c r="F586" t="s">
        <v>32</v>
      </c>
      <c r="G586">
        <v>0.22</v>
      </c>
      <c r="H586">
        <v>0.18179999999999999</v>
      </c>
      <c r="I586">
        <v>0.93</v>
      </c>
      <c r="J586">
        <v>0.4627</v>
      </c>
      <c r="K586">
        <v>1</v>
      </c>
      <c r="L586">
        <v>42</v>
      </c>
      <c r="M586">
        <v>43</v>
      </c>
      <c r="N586" t="s">
        <v>18</v>
      </c>
      <c r="O586" t="s">
        <v>85</v>
      </c>
      <c r="P586" t="s">
        <v>92</v>
      </c>
    </row>
    <row r="587" spans="1:16" x14ac:dyDescent="0.3">
      <c r="A587">
        <v>586</v>
      </c>
      <c r="B587" s="1">
        <v>40569</v>
      </c>
      <c r="C587">
        <v>16</v>
      </c>
      <c r="D587" t="b">
        <v>0</v>
      </c>
      <c r="E587" t="s">
        <v>26</v>
      </c>
      <c r="F587" t="s">
        <v>33</v>
      </c>
      <c r="G587">
        <v>0.22</v>
      </c>
      <c r="H587">
        <v>0.19700000000000001</v>
      </c>
      <c r="I587">
        <v>0.93</v>
      </c>
      <c r="J587">
        <v>0.32840000000000003</v>
      </c>
      <c r="K587">
        <v>1</v>
      </c>
      <c r="L587">
        <v>35</v>
      </c>
      <c r="M587">
        <v>36</v>
      </c>
      <c r="N587" t="s">
        <v>18</v>
      </c>
      <c r="O587" t="s">
        <v>85</v>
      </c>
      <c r="P587" t="s">
        <v>93</v>
      </c>
    </row>
    <row r="588" spans="1:16" x14ac:dyDescent="0.3">
      <c r="A588">
        <v>587</v>
      </c>
      <c r="B588" s="1">
        <v>40569</v>
      </c>
      <c r="C588">
        <v>17</v>
      </c>
      <c r="D588" t="b">
        <v>0</v>
      </c>
      <c r="E588" t="s">
        <v>26</v>
      </c>
      <c r="F588" t="s">
        <v>32</v>
      </c>
      <c r="G588">
        <v>0.2</v>
      </c>
      <c r="H588">
        <v>0.18179999999999999</v>
      </c>
      <c r="I588">
        <v>0.93</v>
      </c>
      <c r="J588">
        <v>0.35820000000000002</v>
      </c>
      <c r="K588">
        <v>0</v>
      </c>
      <c r="L588">
        <v>26</v>
      </c>
      <c r="M588">
        <v>26</v>
      </c>
      <c r="N588" t="s">
        <v>18</v>
      </c>
      <c r="O588" t="s">
        <v>87</v>
      </c>
      <c r="P588" t="s">
        <v>92</v>
      </c>
    </row>
    <row r="589" spans="1:16" x14ac:dyDescent="0.3">
      <c r="A589">
        <v>588</v>
      </c>
      <c r="B589" s="1">
        <v>40570</v>
      </c>
      <c r="C589">
        <v>16</v>
      </c>
      <c r="D589" t="b">
        <v>0</v>
      </c>
      <c r="E589" t="s">
        <v>27</v>
      </c>
      <c r="F589" t="s">
        <v>30</v>
      </c>
      <c r="G589">
        <v>0.22</v>
      </c>
      <c r="H589">
        <v>0.2273</v>
      </c>
      <c r="I589">
        <v>0.55000000000000004</v>
      </c>
      <c r="J589">
        <v>0.19400000000000001</v>
      </c>
      <c r="K589">
        <v>1</v>
      </c>
      <c r="L589">
        <v>23</v>
      </c>
      <c r="M589">
        <v>24</v>
      </c>
      <c r="N589" t="s">
        <v>18</v>
      </c>
      <c r="O589" t="s">
        <v>85</v>
      </c>
      <c r="P589" t="s">
        <v>90</v>
      </c>
    </row>
    <row r="590" spans="1:16" x14ac:dyDescent="0.3">
      <c r="A590">
        <v>589</v>
      </c>
      <c r="B590" s="1">
        <v>40570</v>
      </c>
      <c r="C590">
        <v>17</v>
      </c>
      <c r="D590" t="b">
        <v>0</v>
      </c>
      <c r="E590" t="s">
        <v>27</v>
      </c>
      <c r="F590" t="s">
        <v>30</v>
      </c>
      <c r="G590">
        <v>0.22</v>
      </c>
      <c r="H590">
        <v>0.2424</v>
      </c>
      <c r="I590">
        <v>0.55000000000000004</v>
      </c>
      <c r="J590">
        <v>0.1045</v>
      </c>
      <c r="K590">
        <v>2</v>
      </c>
      <c r="L590">
        <v>82</v>
      </c>
      <c r="M590">
        <v>84</v>
      </c>
      <c r="N590" t="s">
        <v>18</v>
      </c>
      <c r="O590" t="s">
        <v>87</v>
      </c>
      <c r="P590" t="s">
        <v>90</v>
      </c>
    </row>
    <row r="591" spans="1:16" x14ac:dyDescent="0.3">
      <c r="A591">
        <v>590</v>
      </c>
      <c r="B591" s="1">
        <v>40570</v>
      </c>
      <c r="C591">
        <v>18</v>
      </c>
      <c r="D591" t="b">
        <v>0</v>
      </c>
      <c r="E591" t="s">
        <v>27</v>
      </c>
      <c r="F591" t="s">
        <v>30</v>
      </c>
      <c r="G591">
        <v>0.2</v>
      </c>
      <c r="H591">
        <v>0.2273</v>
      </c>
      <c r="I591">
        <v>0.69</v>
      </c>
      <c r="J591">
        <v>8.9599999999999999E-2</v>
      </c>
      <c r="K591">
        <v>3</v>
      </c>
      <c r="L591">
        <v>101</v>
      </c>
      <c r="M591">
        <v>104</v>
      </c>
      <c r="N591" t="s">
        <v>18</v>
      </c>
      <c r="O591" t="s">
        <v>87</v>
      </c>
      <c r="P591" t="s">
        <v>90</v>
      </c>
    </row>
    <row r="592" spans="1:16" x14ac:dyDescent="0.3">
      <c r="A592">
        <v>591</v>
      </c>
      <c r="B592" s="1">
        <v>40570</v>
      </c>
      <c r="C592">
        <v>19</v>
      </c>
      <c r="D592" t="b">
        <v>0</v>
      </c>
      <c r="E592" t="s">
        <v>27</v>
      </c>
      <c r="F592" t="s">
        <v>30</v>
      </c>
      <c r="G592">
        <v>0.2</v>
      </c>
      <c r="H592">
        <v>0.2273</v>
      </c>
      <c r="I592">
        <v>0.69</v>
      </c>
      <c r="J592">
        <v>8.9599999999999999E-2</v>
      </c>
      <c r="K592">
        <v>3</v>
      </c>
      <c r="L592">
        <v>76</v>
      </c>
      <c r="M592">
        <v>79</v>
      </c>
      <c r="N592" t="s">
        <v>18</v>
      </c>
      <c r="O592" t="s">
        <v>87</v>
      </c>
      <c r="P592" t="s">
        <v>90</v>
      </c>
    </row>
    <row r="593" spans="1:16" x14ac:dyDescent="0.3">
      <c r="A593">
        <v>592</v>
      </c>
      <c r="B593" s="1">
        <v>40570</v>
      </c>
      <c r="C593">
        <v>20</v>
      </c>
      <c r="D593" t="b">
        <v>0</v>
      </c>
      <c r="E593" t="s">
        <v>27</v>
      </c>
      <c r="F593" t="s">
        <v>30</v>
      </c>
      <c r="G593">
        <v>0.18</v>
      </c>
      <c r="H593">
        <v>0.21210000000000001</v>
      </c>
      <c r="I593">
        <v>0.74</v>
      </c>
      <c r="J593">
        <v>8.9599999999999999E-2</v>
      </c>
      <c r="K593">
        <v>4</v>
      </c>
      <c r="L593">
        <v>55</v>
      </c>
      <c r="M593">
        <v>59</v>
      </c>
      <c r="N593" t="s">
        <v>18</v>
      </c>
      <c r="O593" t="s">
        <v>85</v>
      </c>
      <c r="P593" t="s">
        <v>90</v>
      </c>
    </row>
    <row r="594" spans="1:16" x14ac:dyDescent="0.3">
      <c r="A594">
        <v>593</v>
      </c>
      <c r="B594" s="1">
        <v>40570</v>
      </c>
      <c r="C594">
        <v>21</v>
      </c>
      <c r="D594" t="b">
        <v>0</v>
      </c>
      <c r="E594" t="s">
        <v>27</v>
      </c>
      <c r="F594" t="s">
        <v>30</v>
      </c>
      <c r="G594">
        <v>0.18</v>
      </c>
      <c r="H594">
        <v>0.21210000000000001</v>
      </c>
      <c r="I594">
        <v>0.74</v>
      </c>
      <c r="J594">
        <v>8.9599999999999999E-2</v>
      </c>
      <c r="K594">
        <v>2</v>
      </c>
      <c r="L594">
        <v>36</v>
      </c>
      <c r="M594">
        <v>38</v>
      </c>
      <c r="N594" t="s">
        <v>18</v>
      </c>
      <c r="O594" t="s">
        <v>85</v>
      </c>
      <c r="P594" t="s">
        <v>90</v>
      </c>
    </row>
    <row r="595" spans="1:16" x14ac:dyDescent="0.3">
      <c r="A595">
        <v>594</v>
      </c>
      <c r="B595" s="1">
        <v>40570</v>
      </c>
      <c r="C595">
        <v>22</v>
      </c>
      <c r="D595" t="b">
        <v>0</v>
      </c>
      <c r="E595" t="s">
        <v>27</v>
      </c>
      <c r="F595" t="s">
        <v>30</v>
      </c>
      <c r="G595">
        <v>0.18</v>
      </c>
      <c r="H595">
        <v>0.21210000000000001</v>
      </c>
      <c r="I595">
        <v>0.74</v>
      </c>
      <c r="J595">
        <v>8.9599999999999999E-2</v>
      </c>
      <c r="K595">
        <v>0</v>
      </c>
      <c r="L595">
        <v>27</v>
      </c>
      <c r="M595">
        <v>27</v>
      </c>
      <c r="N595" t="s">
        <v>18</v>
      </c>
      <c r="O595" t="s">
        <v>85</v>
      </c>
      <c r="P595" t="s">
        <v>90</v>
      </c>
    </row>
    <row r="596" spans="1:16" x14ac:dyDescent="0.3">
      <c r="A596">
        <v>595</v>
      </c>
      <c r="B596" s="1">
        <v>40570</v>
      </c>
      <c r="C596">
        <v>23</v>
      </c>
      <c r="D596" t="b">
        <v>0</v>
      </c>
      <c r="E596" t="s">
        <v>27</v>
      </c>
      <c r="F596" t="s">
        <v>30</v>
      </c>
      <c r="G596">
        <v>0.18</v>
      </c>
      <c r="H596">
        <v>0.19700000000000001</v>
      </c>
      <c r="I596">
        <v>0.8</v>
      </c>
      <c r="J596">
        <v>0.16420000000000001</v>
      </c>
      <c r="K596">
        <v>0</v>
      </c>
      <c r="L596">
        <v>16</v>
      </c>
      <c r="M596">
        <v>16</v>
      </c>
      <c r="N596" t="s">
        <v>18</v>
      </c>
      <c r="O596" t="s">
        <v>85</v>
      </c>
      <c r="P596" t="s">
        <v>90</v>
      </c>
    </row>
    <row r="597" spans="1:16" x14ac:dyDescent="0.3">
      <c r="A597">
        <v>596</v>
      </c>
      <c r="B597" s="1">
        <v>40571</v>
      </c>
      <c r="C597">
        <v>0</v>
      </c>
      <c r="D597" t="b">
        <v>0</v>
      </c>
      <c r="E597" t="s">
        <v>28</v>
      </c>
      <c r="F597" t="s">
        <v>31</v>
      </c>
      <c r="G597">
        <v>0.2</v>
      </c>
      <c r="H597">
        <v>0.21210000000000001</v>
      </c>
      <c r="I597">
        <v>0.75</v>
      </c>
      <c r="J597">
        <v>0.1343</v>
      </c>
      <c r="K597">
        <v>0</v>
      </c>
      <c r="L597">
        <v>9</v>
      </c>
      <c r="M597">
        <v>9</v>
      </c>
      <c r="N597" t="s">
        <v>18</v>
      </c>
      <c r="O597" t="s">
        <v>85</v>
      </c>
      <c r="P597" t="s">
        <v>91</v>
      </c>
    </row>
    <row r="598" spans="1:16" x14ac:dyDescent="0.3">
      <c r="A598">
        <v>597</v>
      </c>
      <c r="B598" s="1">
        <v>40571</v>
      </c>
      <c r="C598">
        <v>1</v>
      </c>
      <c r="D598" t="b">
        <v>0</v>
      </c>
      <c r="E598" t="s">
        <v>28</v>
      </c>
      <c r="F598" t="s">
        <v>31</v>
      </c>
      <c r="G598">
        <v>0.2</v>
      </c>
      <c r="H598">
        <v>0.21210000000000001</v>
      </c>
      <c r="I598">
        <v>0.75</v>
      </c>
      <c r="J598">
        <v>0.1343</v>
      </c>
      <c r="K598">
        <v>1</v>
      </c>
      <c r="L598">
        <v>2</v>
      </c>
      <c r="M598">
        <v>3</v>
      </c>
      <c r="N598" t="s">
        <v>18</v>
      </c>
      <c r="O598" t="s">
        <v>85</v>
      </c>
      <c r="P598" t="s">
        <v>91</v>
      </c>
    </row>
    <row r="599" spans="1:16" x14ac:dyDescent="0.3">
      <c r="A599">
        <v>598</v>
      </c>
      <c r="B599" s="1">
        <v>40571</v>
      </c>
      <c r="C599">
        <v>2</v>
      </c>
      <c r="D599" t="b">
        <v>0</v>
      </c>
      <c r="E599" t="s">
        <v>28</v>
      </c>
      <c r="F599" t="s">
        <v>31</v>
      </c>
      <c r="G599">
        <v>0.2</v>
      </c>
      <c r="H599">
        <v>0.21210000000000001</v>
      </c>
      <c r="I599">
        <v>0.75</v>
      </c>
      <c r="J599">
        <v>0.16420000000000001</v>
      </c>
      <c r="K599">
        <v>0</v>
      </c>
      <c r="L599">
        <v>2</v>
      </c>
      <c r="M599">
        <v>2</v>
      </c>
      <c r="N599" t="s">
        <v>18</v>
      </c>
      <c r="O599" t="s">
        <v>85</v>
      </c>
      <c r="P599" t="s">
        <v>91</v>
      </c>
    </row>
    <row r="600" spans="1:16" x14ac:dyDescent="0.3">
      <c r="A600">
        <v>599</v>
      </c>
      <c r="B600" s="1">
        <v>40571</v>
      </c>
      <c r="C600">
        <v>3</v>
      </c>
      <c r="D600" t="b">
        <v>0</v>
      </c>
      <c r="E600" t="s">
        <v>28</v>
      </c>
      <c r="F600" t="s">
        <v>31</v>
      </c>
      <c r="G600">
        <v>0.2</v>
      </c>
      <c r="H600">
        <v>0.2273</v>
      </c>
      <c r="I600">
        <v>0.75</v>
      </c>
      <c r="J600">
        <v>0.1045</v>
      </c>
      <c r="K600">
        <v>1</v>
      </c>
      <c r="L600">
        <v>0</v>
      </c>
      <c r="M600">
        <v>1</v>
      </c>
      <c r="N600" t="s">
        <v>18</v>
      </c>
      <c r="O600" t="s">
        <v>85</v>
      </c>
      <c r="P600" t="s">
        <v>91</v>
      </c>
    </row>
    <row r="601" spans="1:16" x14ac:dyDescent="0.3">
      <c r="A601">
        <v>600</v>
      </c>
      <c r="B601" s="1">
        <v>40571</v>
      </c>
      <c r="C601">
        <v>5</v>
      </c>
      <c r="D601" t="b">
        <v>0</v>
      </c>
      <c r="E601" t="s">
        <v>28</v>
      </c>
      <c r="F601" t="s">
        <v>31</v>
      </c>
      <c r="G601">
        <v>0.18</v>
      </c>
      <c r="H601">
        <v>0.21210000000000001</v>
      </c>
      <c r="I601">
        <v>0.8</v>
      </c>
      <c r="J601">
        <v>0.1045</v>
      </c>
      <c r="K601">
        <v>0</v>
      </c>
      <c r="L601">
        <v>4</v>
      </c>
      <c r="M601">
        <v>4</v>
      </c>
      <c r="N601" t="s">
        <v>18</v>
      </c>
      <c r="O601" t="s">
        <v>85</v>
      </c>
      <c r="P601" t="s">
        <v>91</v>
      </c>
    </row>
    <row r="602" spans="1:16" x14ac:dyDescent="0.3">
      <c r="A602">
        <v>601</v>
      </c>
      <c r="B602" s="1">
        <v>40571</v>
      </c>
      <c r="C602">
        <v>6</v>
      </c>
      <c r="D602" t="b">
        <v>0</v>
      </c>
      <c r="E602" t="s">
        <v>28</v>
      </c>
      <c r="F602" t="s">
        <v>31</v>
      </c>
      <c r="G602">
        <v>0.18</v>
      </c>
      <c r="H602">
        <v>0.19700000000000001</v>
      </c>
      <c r="I602">
        <v>0.8</v>
      </c>
      <c r="J602">
        <v>0.1343</v>
      </c>
      <c r="K602">
        <v>0</v>
      </c>
      <c r="L602">
        <v>16</v>
      </c>
      <c r="M602">
        <v>16</v>
      </c>
      <c r="N602" t="s">
        <v>18</v>
      </c>
      <c r="O602" t="s">
        <v>85</v>
      </c>
      <c r="P602" t="s">
        <v>91</v>
      </c>
    </row>
    <row r="603" spans="1:16" x14ac:dyDescent="0.3">
      <c r="A603">
        <v>602</v>
      </c>
      <c r="B603" s="1">
        <v>40571</v>
      </c>
      <c r="C603">
        <v>7</v>
      </c>
      <c r="D603" t="b">
        <v>0</v>
      </c>
      <c r="E603" t="s">
        <v>28</v>
      </c>
      <c r="F603" t="s">
        <v>31</v>
      </c>
      <c r="G603">
        <v>0.16</v>
      </c>
      <c r="H603">
        <v>0.19700000000000001</v>
      </c>
      <c r="I603">
        <v>0.86</v>
      </c>
      <c r="J603">
        <v>8.9599999999999999E-2</v>
      </c>
      <c r="K603">
        <v>2</v>
      </c>
      <c r="L603">
        <v>58</v>
      </c>
      <c r="M603">
        <v>60</v>
      </c>
      <c r="N603" t="s">
        <v>18</v>
      </c>
      <c r="O603" t="s">
        <v>86</v>
      </c>
      <c r="P603" t="s">
        <v>91</v>
      </c>
    </row>
    <row r="604" spans="1:16" x14ac:dyDescent="0.3">
      <c r="A604">
        <v>603</v>
      </c>
      <c r="B604" s="1">
        <v>40571</v>
      </c>
      <c r="C604">
        <v>8</v>
      </c>
      <c r="D604" t="b">
        <v>0</v>
      </c>
      <c r="E604" t="s">
        <v>28</v>
      </c>
      <c r="F604" t="s">
        <v>31</v>
      </c>
      <c r="G604">
        <v>0.16</v>
      </c>
      <c r="H604">
        <v>0.19700000000000001</v>
      </c>
      <c r="I604">
        <v>0.86</v>
      </c>
      <c r="J604">
        <v>8.9599999999999999E-2</v>
      </c>
      <c r="K604">
        <v>2</v>
      </c>
      <c r="L604">
        <v>155</v>
      </c>
      <c r="M604">
        <v>157</v>
      </c>
      <c r="N604" t="s">
        <v>18</v>
      </c>
      <c r="O604" t="s">
        <v>86</v>
      </c>
      <c r="P604" t="s">
        <v>91</v>
      </c>
    </row>
    <row r="605" spans="1:16" x14ac:dyDescent="0.3">
      <c r="A605">
        <v>604</v>
      </c>
      <c r="B605" s="1">
        <v>40571</v>
      </c>
      <c r="C605">
        <v>9</v>
      </c>
      <c r="D605" t="b">
        <v>0</v>
      </c>
      <c r="E605" t="s">
        <v>28</v>
      </c>
      <c r="F605" t="s">
        <v>32</v>
      </c>
      <c r="G605">
        <v>0.18</v>
      </c>
      <c r="H605">
        <v>0.21210000000000001</v>
      </c>
      <c r="I605">
        <v>0.86</v>
      </c>
      <c r="J605">
        <v>8.9599999999999999E-2</v>
      </c>
      <c r="K605">
        <v>6</v>
      </c>
      <c r="L605">
        <v>95</v>
      </c>
      <c r="M605">
        <v>101</v>
      </c>
      <c r="N605" t="s">
        <v>18</v>
      </c>
      <c r="O605" t="s">
        <v>86</v>
      </c>
      <c r="P605" t="s">
        <v>92</v>
      </c>
    </row>
    <row r="606" spans="1:16" x14ac:dyDescent="0.3">
      <c r="A606">
        <v>605</v>
      </c>
      <c r="B606" s="1">
        <v>40571</v>
      </c>
      <c r="C606">
        <v>10</v>
      </c>
      <c r="D606" t="b">
        <v>0</v>
      </c>
      <c r="E606" t="s">
        <v>28</v>
      </c>
      <c r="F606" t="s">
        <v>32</v>
      </c>
      <c r="G606">
        <v>0.18</v>
      </c>
      <c r="H606">
        <v>0.21210000000000001</v>
      </c>
      <c r="I606">
        <v>0.86</v>
      </c>
      <c r="J606">
        <v>0.1045</v>
      </c>
      <c r="K606">
        <v>0</v>
      </c>
      <c r="L606">
        <v>49</v>
      </c>
      <c r="M606">
        <v>49</v>
      </c>
      <c r="N606" t="s">
        <v>18</v>
      </c>
      <c r="O606" t="s">
        <v>85</v>
      </c>
      <c r="P606" t="s">
        <v>92</v>
      </c>
    </row>
    <row r="607" spans="1:16" x14ac:dyDescent="0.3">
      <c r="A607">
        <v>606</v>
      </c>
      <c r="B607" s="1">
        <v>40571</v>
      </c>
      <c r="C607">
        <v>11</v>
      </c>
      <c r="D607" t="b">
        <v>0</v>
      </c>
      <c r="E607" t="s">
        <v>28</v>
      </c>
      <c r="F607" t="s">
        <v>32</v>
      </c>
      <c r="G607">
        <v>0.18</v>
      </c>
      <c r="H607">
        <v>0.21210000000000001</v>
      </c>
      <c r="I607">
        <v>0.93</v>
      </c>
      <c r="J607">
        <v>0.1045</v>
      </c>
      <c r="K607">
        <v>0</v>
      </c>
      <c r="L607">
        <v>30</v>
      </c>
      <c r="M607">
        <v>30</v>
      </c>
      <c r="N607" t="s">
        <v>18</v>
      </c>
      <c r="O607" t="s">
        <v>85</v>
      </c>
      <c r="P607" t="s">
        <v>92</v>
      </c>
    </row>
    <row r="608" spans="1:16" x14ac:dyDescent="0.3">
      <c r="A608">
        <v>607</v>
      </c>
      <c r="B608" s="1">
        <v>40571</v>
      </c>
      <c r="C608">
        <v>12</v>
      </c>
      <c r="D608" t="b">
        <v>0</v>
      </c>
      <c r="E608" t="s">
        <v>28</v>
      </c>
      <c r="F608" t="s">
        <v>32</v>
      </c>
      <c r="G608">
        <v>0.18</v>
      </c>
      <c r="H608">
        <v>0.21210000000000001</v>
      </c>
      <c r="I608">
        <v>0.93</v>
      </c>
      <c r="J608">
        <v>0.1045</v>
      </c>
      <c r="K608">
        <v>1</v>
      </c>
      <c r="L608">
        <v>28</v>
      </c>
      <c r="M608">
        <v>29</v>
      </c>
      <c r="N608" t="s">
        <v>18</v>
      </c>
      <c r="O608" t="s">
        <v>85</v>
      </c>
      <c r="P608" t="s">
        <v>92</v>
      </c>
    </row>
    <row r="609" spans="1:16" x14ac:dyDescent="0.3">
      <c r="A609">
        <v>608</v>
      </c>
      <c r="B609" s="1">
        <v>40571</v>
      </c>
      <c r="C609">
        <v>13</v>
      </c>
      <c r="D609" t="b">
        <v>0</v>
      </c>
      <c r="E609" t="s">
        <v>28</v>
      </c>
      <c r="F609" t="s">
        <v>32</v>
      </c>
      <c r="G609">
        <v>0.18</v>
      </c>
      <c r="H609">
        <v>0.21210000000000001</v>
      </c>
      <c r="I609">
        <v>0.93</v>
      </c>
      <c r="J609">
        <v>0.1045</v>
      </c>
      <c r="K609">
        <v>0</v>
      </c>
      <c r="L609">
        <v>31</v>
      </c>
      <c r="M609">
        <v>31</v>
      </c>
      <c r="N609" t="s">
        <v>18</v>
      </c>
      <c r="O609" t="s">
        <v>85</v>
      </c>
      <c r="P609" t="s">
        <v>92</v>
      </c>
    </row>
    <row r="610" spans="1:16" x14ac:dyDescent="0.3">
      <c r="A610">
        <v>609</v>
      </c>
      <c r="B610" s="1">
        <v>40571</v>
      </c>
      <c r="C610">
        <v>14</v>
      </c>
      <c r="D610" t="b">
        <v>0</v>
      </c>
      <c r="E610" t="s">
        <v>28</v>
      </c>
      <c r="F610" t="s">
        <v>32</v>
      </c>
      <c r="G610">
        <v>0.22</v>
      </c>
      <c r="H610">
        <v>0.2727</v>
      </c>
      <c r="I610">
        <v>0.8</v>
      </c>
      <c r="J610">
        <v>0</v>
      </c>
      <c r="K610">
        <v>2</v>
      </c>
      <c r="L610">
        <v>36</v>
      </c>
      <c r="M610">
        <v>38</v>
      </c>
      <c r="N610" t="s">
        <v>18</v>
      </c>
      <c r="O610" t="s">
        <v>85</v>
      </c>
      <c r="P610" t="s">
        <v>92</v>
      </c>
    </row>
    <row r="611" spans="1:16" x14ac:dyDescent="0.3">
      <c r="A611">
        <v>610</v>
      </c>
      <c r="B611" s="1">
        <v>40571</v>
      </c>
      <c r="C611">
        <v>15</v>
      </c>
      <c r="D611" t="b">
        <v>0</v>
      </c>
      <c r="E611" t="s">
        <v>28</v>
      </c>
      <c r="F611" t="s">
        <v>31</v>
      </c>
      <c r="G611">
        <v>0.2</v>
      </c>
      <c r="H611">
        <v>0.2576</v>
      </c>
      <c r="I611">
        <v>0.86</v>
      </c>
      <c r="J611">
        <v>0</v>
      </c>
      <c r="K611">
        <v>1</v>
      </c>
      <c r="L611">
        <v>40</v>
      </c>
      <c r="M611">
        <v>41</v>
      </c>
      <c r="N611" t="s">
        <v>18</v>
      </c>
      <c r="O611" t="s">
        <v>85</v>
      </c>
      <c r="P611" t="s">
        <v>91</v>
      </c>
    </row>
    <row r="612" spans="1:16" x14ac:dyDescent="0.3">
      <c r="A612">
        <v>611</v>
      </c>
      <c r="B612" s="1">
        <v>40571</v>
      </c>
      <c r="C612">
        <v>16</v>
      </c>
      <c r="D612" t="b">
        <v>0</v>
      </c>
      <c r="E612" t="s">
        <v>28</v>
      </c>
      <c r="F612" t="s">
        <v>30</v>
      </c>
      <c r="G612">
        <v>0.22</v>
      </c>
      <c r="H612">
        <v>0.2727</v>
      </c>
      <c r="I612">
        <v>0.8</v>
      </c>
      <c r="J612">
        <v>0</v>
      </c>
      <c r="K612">
        <v>10</v>
      </c>
      <c r="L612">
        <v>70</v>
      </c>
      <c r="M612">
        <v>80</v>
      </c>
      <c r="N612" t="s">
        <v>18</v>
      </c>
      <c r="O612" t="s">
        <v>85</v>
      </c>
      <c r="P612" t="s">
        <v>90</v>
      </c>
    </row>
    <row r="613" spans="1:16" x14ac:dyDescent="0.3">
      <c r="A613">
        <v>612</v>
      </c>
      <c r="B613" s="1">
        <v>40571</v>
      </c>
      <c r="C613">
        <v>17</v>
      </c>
      <c r="D613" t="b">
        <v>0</v>
      </c>
      <c r="E613" t="s">
        <v>28</v>
      </c>
      <c r="F613" t="s">
        <v>30</v>
      </c>
      <c r="G613">
        <v>0.24</v>
      </c>
      <c r="H613">
        <v>0.2424</v>
      </c>
      <c r="I613">
        <v>0.75</v>
      </c>
      <c r="J613">
        <v>0.1343</v>
      </c>
      <c r="K613">
        <v>2</v>
      </c>
      <c r="L613">
        <v>147</v>
      </c>
      <c r="M613">
        <v>149</v>
      </c>
      <c r="N613" t="s">
        <v>18</v>
      </c>
      <c r="O613" t="s">
        <v>87</v>
      </c>
      <c r="P613" t="s">
        <v>90</v>
      </c>
    </row>
    <row r="614" spans="1:16" x14ac:dyDescent="0.3">
      <c r="A614">
        <v>613</v>
      </c>
      <c r="B614" s="1">
        <v>40571</v>
      </c>
      <c r="C614">
        <v>18</v>
      </c>
      <c r="D614" t="b">
        <v>0</v>
      </c>
      <c r="E614" t="s">
        <v>28</v>
      </c>
      <c r="F614" t="s">
        <v>30</v>
      </c>
      <c r="G614">
        <v>0.24</v>
      </c>
      <c r="H614">
        <v>0.2273</v>
      </c>
      <c r="I614">
        <v>0.75</v>
      </c>
      <c r="J614">
        <v>0.19400000000000001</v>
      </c>
      <c r="K614">
        <v>2</v>
      </c>
      <c r="L614">
        <v>107</v>
      </c>
      <c r="M614">
        <v>109</v>
      </c>
      <c r="N614" t="s">
        <v>18</v>
      </c>
      <c r="O614" t="s">
        <v>87</v>
      </c>
      <c r="P614" t="s">
        <v>90</v>
      </c>
    </row>
    <row r="615" spans="1:16" x14ac:dyDescent="0.3">
      <c r="A615">
        <v>614</v>
      </c>
      <c r="B615" s="1">
        <v>40571</v>
      </c>
      <c r="C615">
        <v>19</v>
      </c>
      <c r="D615" t="b">
        <v>0</v>
      </c>
      <c r="E615" t="s">
        <v>28</v>
      </c>
      <c r="F615" t="s">
        <v>31</v>
      </c>
      <c r="G615">
        <v>0.24</v>
      </c>
      <c r="H615">
        <v>0.2424</v>
      </c>
      <c r="I615">
        <v>0.75</v>
      </c>
      <c r="J615">
        <v>0.1343</v>
      </c>
      <c r="K615">
        <v>5</v>
      </c>
      <c r="L615">
        <v>84</v>
      </c>
      <c r="M615">
        <v>89</v>
      </c>
      <c r="N615" t="s">
        <v>18</v>
      </c>
      <c r="O615" t="s">
        <v>87</v>
      </c>
      <c r="P615" t="s">
        <v>91</v>
      </c>
    </row>
    <row r="616" spans="1:16" x14ac:dyDescent="0.3">
      <c r="A616">
        <v>615</v>
      </c>
      <c r="B616" s="1">
        <v>40571</v>
      </c>
      <c r="C616">
        <v>20</v>
      </c>
      <c r="D616" t="b">
        <v>0</v>
      </c>
      <c r="E616" t="s">
        <v>28</v>
      </c>
      <c r="F616" t="s">
        <v>31</v>
      </c>
      <c r="G616">
        <v>0.24</v>
      </c>
      <c r="H616">
        <v>0.2273</v>
      </c>
      <c r="I616">
        <v>0.7</v>
      </c>
      <c r="J616">
        <v>0.19400000000000001</v>
      </c>
      <c r="K616">
        <v>1</v>
      </c>
      <c r="L616">
        <v>61</v>
      </c>
      <c r="M616">
        <v>62</v>
      </c>
      <c r="N616" t="s">
        <v>18</v>
      </c>
      <c r="O616" t="s">
        <v>85</v>
      </c>
      <c r="P616" t="s">
        <v>91</v>
      </c>
    </row>
    <row r="617" spans="1:16" x14ac:dyDescent="0.3">
      <c r="A617">
        <v>616</v>
      </c>
      <c r="B617" s="1">
        <v>40571</v>
      </c>
      <c r="C617">
        <v>21</v>
      </c>
      <c r="D617" t="b">
        <v>0</v>
      </c>
      <c r="E617" t="s">
        <v>28</v>
      </c>
      <c r="F617" t="s">
        <v>31</v>
      </c>
      <c r="G617">
        <v>0.22</v>
      </c>
      <c r="H617">
        <v>0.2273</v>
      </c>
      <c r="I617">
        <v>0.75</v>
      </c>
      <c r="J617">
        <v>0.1343</v>
      </c>
      <c r="K617">
        <v>1</v>
      </c>
      <c r="L617">
        <v>57</v>
      </c>
      <c r="M617">
        <v>58</v>
      </c>
      <c r="N617" t="s">
        <v>18</v>
      </c>
      <c r="O617" t="s">
        <v>85</v>
      </c>
      <c r="P617" t="s">
        <v>91</v>
      </c>
    </row>
    <row r="618" spans="1:16" x14ac:dyDescent="0.3">
      <c r="A618">
        <v>617</v>
      </c>
      <c r="B618" s="1">
        <v>40571</v>
      </c>
      <c r="C618">
        <v>22</v>
      </c>
      <c r="D618" t="b">
        <v>0</v>
      </c>
      <c r="E618" t="s">
        <v>28</v>
      </c>
      <c r="F618" t="s">
        <v>30</v>
      </c>
      <c r="G618">
        <v>0.24</v>
      </c>
      <c r="H618">
        <v>0.21210000000000001</v>
      </c>
      <c r="I618">
        <v>0.65</v>
      </c>
      <c r="J618">
        <v>0.35820000000000002</v>
      </c>
      <c r="K618">
        <v>0</v>
      </c>
      <c r="L618">
        <v>26</v>
      </c>
      <c r="M618">
        <v>26</v>
      </c>
      <c r="N618" t="s">
        <v>18</v>
      </c>
      <c r="O618" t="s">
        <v>85</v>
      </c>
      <c r="P618" t="s">
        <v>90</v>
      </c>
    </row>
    <row r="619" spans="1:16" x14ac:dyDescent="0.3">
      <c r="A619">
        <v>618</v>
      </c>
      <c r="B619" s="1">
        <v>40571</v>
      </c>
      <c r="C619">
        <v>23</v>
      </c>
      <c r="D619" t="b">
        <v>0</v>
      </c>
      <c r="E619" t="s">
        <v>28</v>
      </c>
      <c r="F619" t="s">
        <v>30</v>
      </c>
      <c r="G619">
        <v>0.24</v>
      </c>
      <c r="H619">
        <v>0.2273</v>
      </c>
      <c r="I619">
        <v>0.6</v>
      </c>
      <c r="J619">
        <v>0.22389999999999999</v>
      </c>
      <c r="K619">
        <v>1</v>
      </c>
      <c r="L619">
        <v>22</v>
      </c>
      <c r="M619">
        <v>23</v>
      </c>
      <c r="N619" t="s">
        <v>18</v>
      </c>
      <c r="O619" t="s">
        <v>85</v>
      </c>
      <c r="P619" t="s">
        <v>90</v>
      </c>
    </row>
    <row r="620" spans="1:16" x14ac:dyDescent="0.3">
      <c r="A620">
        <v>619</v>
      </c>
      <c r="B620" s="1">
        <v>40572</v>
      </c>
      <c r="C620">
        <v>0</v>
      </c>
      <c r="D620" t="b">
        <v>0</v>
      </c>
      <c r="E620" t="s">
        <v>29</v>
      </c>
      <c r="F620" t="s">
        <v>30</v>
      </c>
      <c r="G620">
        <v>0.22</v>
      </c>
      <c r="H620">
        <v>0.19700000000000001</v>
      </c>
      <c r="I620">
        <v>0.64</v>
      </c>
      <c r="J620">
        <v>0.35820000000000002</v>
      </c>
      <c r="K620">
        <v>2</v>
      </c>
      <c r="L620">
        <v>26</v>
      </c>
      <c r="M620">
        <v>28</v>
      </c>
      <c r="N620" t="s">
        <v>84</v>
      </c>
      <c r="O620" t="s">
        <v>85</v>
      </c>
      <c r="P620" t="s">
        <v>90</v>
      </c>
    </row>
    <row r="621" spans="1:16" x14ac:dyDescent="0.3">
      <c r="A621">
        <v>620</v>
      </c>
      <c r="B621" s="1">
        <v>40572</v>
      </c>
      <c r="C621">
        <v>1</v>
      </c>
      <c r="D621" t="b">
        <v>0</v>
      </c>
      <c r="E621" t="s">
        <v>29</v>
      </c>
      <c r="F621" t="s">
        <v>30</v>
      </c>
      <c r="G621">
        <v>0.22</v>
      </c>
      <c r="H621">
        <v>0.2273</v>
      </c>
      <c r="I621">
        <v>0.64</v>
      </c>
      <c r="J621">
        <v>0.19400000000000001</v>
      </c>
      <c r="K621">
        <v>0</v>
      </c>
      <c r="L621">
        <v>20</v>
      </c>
      <c r="M621">
        <v>20</v>
      </c>
      <c r="N621" t="s">
        <v>84</v>
      </c>
      <c r="O621" t="s">
        <v>85</v>
      </c>
      <c r="P621" t="s">
        <v>90</v>
      </c>
    </row>
    <row r="622" spans="1:16" x14ac:dyDescent="0.3">
      <c r="A622">
        <v>621</v>
      </c>
      <c r="B622" s="1">
        <v>40572</v>
      </c>
      <c r="C622">
        <v>2</v>
      </c>
      <c r="D622" t="b">
        <v>0</v>
      </c>
      <c r="E622" t="s">
        <v>29</v>
      </c>
      <c r="F622" t="s">
        <v>30</v>
      </c>
      <c r="G622">
        <v>0.22</v>
      </c>
      <c r="H622">
        <v>0.2273</v>
      </c>
      <c r="I622">
        <v>0.64</v>
      </c>
      <c r="J622">
        <v>0.16420000000000001</v>
      </c>
      <c r="K622">
        <v>0</v>
      </c>
      <c r="L622">
        <v>15</v>
      </c>
      <c r="M622">
        <v>15</v>
      </c>
      <c r="N622" t="s">
        <v>84</v>
      </c>
      <c r="O622" t="s">
        <v>85</v>
      </c>
      <c r="P622" t="s">
        <v>90</v>
      </c>
    </row>
    <row r="623" spans="1:16" x14ac:dyDescent="0.3">
      <c r="A623">
        <v>622</v>
      </c>
      <c r="B623" s="1">
        <v>40572</v>
      </c>
      <c r="C623">
        <v>3</v>
      </c>
      <c r="D623" t="b">
        <v>0</v>
      </c>
      <c r="E623" t="s">
        <v>29</v>
      </c>
      <c r="F623" t="s">
        <v>30</v>
      </c>
      <c r="G623">
        <v>0.2</v>
      </c>
      <c r="H623">
        <v>0.21210000000000001</v>
      </c>
      <c r="I623">
        <v>0.64</v>
      </c>
      <c r="J623">
        <v>0.1343</v>
      </c>
      <c r="K623">
        <v>3</v>
      </c>
      <c r="L623">
        <v>5</v>
      </c>
      <c r="M623">
        <v>8</v>
      </c>
      <c r="N623" t="s">
        <v>84</v>
      </c>
      <c r="O623" t="s">
        <v>85</v>
      </c>
      <c r="P623" t="s">
        <v>90</v>
      </c>
    </row>
    <row r="624" spans="1:16" x14ac:dyDescent="0.3">
      <c r="A624">
        <v>623</v>
      </c>
      <c r="B624" s="1">
        <v>40572</v>
      </c>
      <c r="C624">
        <v>4</v>
      </c>
      <c r="D624" t="b">
        <v>0</v>
      </c>
      <c r="E624" t="s">
        <v>29</v>
      </c>
      <c r="F624" t="s">
        <v>30</v>
      </c>
      <c r="G624">
        <v>0.16</v>
      </c>
      <c r="H624">
        <v>0.18179999999999999</v>
      </c>
      <c r="I624">
        <v>0.69</v>
      </c>
      <c r="J624">
        <v>0.1045</v>
      </c>
      <c r="K624">
        <v>1</v>
      </c>
      <c r="L624">
        <v>2</v>
      </c>
      <c r="M624">
        <v>3</v>
      </c>
      <c r="N624" t="s">
        <v>84</v>
      </c>
      <c r="O624" t="s">
        <v>85</v>
      </c>
      <c r="P624" t="s">
        <v>90</v>
      </c>
    </row>
    <row r="625" spans="1:16" x14ac:dyDescent="0.3">
      <c r="A625">
        <v>624</v>
      </c>
      <c r="B625" s="1">
        <v>40572</v>
      </c>
      <c r="C625">
        <v>6</v>
      </c>
      <c r="D625" t="b">
        <v>0</v>
      </c>
      <c r="E625" t="s">
        <v>29</v>
      </c>
      <c r="F625" t="s">
        <v>30</v>
      </c>
      <c r="G625">
        <v>0.16</v>
      </c>
      <c r="H625">
        <v>0.18179999999999999</v>
      </c>
      <c r="I625">
        <v>0.64</v>
      </c>
      <c r="J625">
        <v>0.1343</v>
      </c>
      <c r="K625">
        <v>0</v>
      </c>
      <c r="L625">
        <v>2</v>
      </c>
      <c r="M625">
        <v>2</v>
      </c>
      <c r="N625" t="s">
        <v>84</v>
      </c>
      <c r="O625" t="s">
        <v>85</v>
      </c>
      <c r="P625" t="s">
        <v>90</v>
      </c>
    </row>
    <row r="626" spans="1:16" x14ac:dyDescent="0.3">
      <c r="A626">
        <v>625</v>
      </c>
      <c r="B626" s="1">
        <v>40572</v>
      </c>
      <c r="C626">
        <v>7</v>
      </c>
      <c r="D626" t="b">
        <v>0</v>
      </c>
      <c r="E626" t="s">
        <v>29</v>
      </c>
      <c r="F626" t="s">
        <v>30</v>
      </c>
      <c r="G626">
        <v>0.16</v>
      </c>
      <c r="H626">
        <v>0.18179999999999999</v>
      </c>
      <c r="I626">
        <v>0.59</v>
      </c>
      <c r="J626">
        <v>0.1045</v>
      </c>
      <c r="K626">
        <v>1</v>
      </c>
      <c r="L626">
        <v>4</v>
      </c>
      <c r="M626">
        <v>5</v>
      </c>
      <c r="N626" t="s">
        <v>84</v>
      </c>
      <c r="O626" t="s">
        <v>86</v>
      </c>
      <c r="P626" t="s">
        <v>90</v>
      </c>
    </row>
    <row r="627" spans="1:16" x14ac:dyDescent="0.3">
      <c r="A627">
        <v>626</v>
      </c>
      <c r="B627" s="1">
        <v>40572</v>
      </c>
      <c r="C627">
        <v>8</v>
      </c>
      <c r="D627" t="b">
        <v>0</v>
      </c>
      <c r="E627" t="s">
        <v>29</v>
      </c>
      <c r="F627" t="s">
        <v>30</v>
      </c>
      <c r="G627">
        <v>0.18</v>
      </c>
      <c r="H627">
        <v>0.19700000000000001</v>
      </c>
      <c r="I627">
        <v>0.55000000000000004</v>
      </c>
      <c r="J627">
        <v>0.16420000000000001</v>
      </c>
      <c r="K627">
        <v>3</v>
      </c>
      <c r="L627">
        <v>31</v>
      </c>
      <c r="M627">
        <v>34</v>
      </c>
      <c r="N627" t="s">
        <v>84</v>
      </c>
      <c r="O627" t="s">
        <v>86</v>
      </c>
      <c r="P627" t="s">
        <v>90</v>
      </c>
    </row>
    <row r="628" spans="1:16" x14ac:dyDescent="0.3">
      <c r="A628">
        <v>627</v>
      </c>
      <c r="B628" s="1">
        <v>40572</v>
      </c>
      <c r="C628">
        <v>9</v>
      </c>
      <c r="D628" t="b">
        <v>0</v>
      </c>
      <c r="E628" t="s">
        <v>29</v>
      </c>
      <c r="F628" t="s">
        <v>30</v>
      </c>
      <c r="G628">
        <v>0.18</v>
      </c>
      <c r="H628">
        <v>0.21210000000000001</v>
      </c>
      <c r="I628">
        <v>0.59</v>
      </c>
      <c r="J628">
        <v>8.9599999999999999E-2</v>
      </c>
      <c r="K628">
        <v>0</v>
      </c>
      <c r="L628">
        <v>34</v>
      </c>
      <c r="M628">
        <v>34</v>
      </c>
      <c r="N628" t="s">
        <v>84</v>
      </c>
      <c r="O628" t="s">
        <v>86</v>
      </c>
      <c r="P628" t="s">
        <v>90</v>
      </c>
    </row>
    <row r="629" spans="1:16" x14ac:dyDescent="0.3">
      <c r="A629">
        <v>628</v>
      </c>
      <c r="B629" s="1">
        <v>40572</v>
      </c>
      <c r="C629">
        <v>10</v>
      </c>
      <c r="D629" t="b">
        <v>0</v>
      </c>
      <c r="E629" t="s">
        <v>29</v>
      </c>
      <c r="F629" t="s">
        <v>31</v>
      </c>
      <c r="G629">
        <v>0.18</v>
      </c>
      <c r="H629">
        <v>0.21210000000000001</v>
      </c>
      <c r="I629">
        <v>0.64</v>
      </c>
      <c r="J629">
        <v>0.1045</v>
      </c>
      <c r="K629">
        <v>4</v>
      </c>
      <c r="L629">
        <v>51</v>
      </c>
      <c r="M629">
        <v>55</v>
      </c>
      <c r="N629" t="s">
        <v>84</v>
      </c>
      <c r="O629" t="s">
        <v>85</v>
      </c>
      <c r="P629" t="s">
        <v>91</v>
      </c>
    </row>
    <row r="630" spans="1:16" x14ac:dyDescent="0.3">
      <c r="A630">
        <v>629</v>
      </c>
      <c r="B630" s="1">
        <v>40572</v>
      </c>
      <c r="C630">
        <v>11</v>
      </c>
      <c r="D630" t="b">
        <v>0</v>
      </c>
      <c r="E630" t="s">
        <v>29</v>
      </c>
      <c r="F630" t="s">
        <v>31</v>
      </c>
      <c r="G630">
        <v>0.18</v>
      </c>
      <c r="H630">
        <v>0.19700000000000001</v>
      </c>
      <c r="I630">
        <v>0.64</v>
      </c>
      <c r="J630">
        <v>0.1343</v>
      </c>
      <c r="K630">
        <v>4</v>
      </c>
      <c r="L630">
        <v>60</v>
      </c>
      <c r="M630">
        <v>64</v>
      </c>
      <c r="N630" t="s">
        <v>84</v>
      </c>
      <c r="O630" t="s">
        <v>85</v>
      </c>
      <c r="P630" t="s">
        <v>91</v>
      </c>
    </row>
    <row r="631" spans="1:16" x14ac:dyDescent="0.3">
      <c r="A631">
        <v>630</v>
      </c>
      <c r="B631" s="1">
        <v>40572</v>
      </c>
      <c r="C631">
        <v>12</v>
      </c>
      <c r="D631" t="b">
        <v>0</v>
      </c>
      <c r="E631" t="s">
        <v>29</v>
      </c>
      <c r="F631" t="s">
        <v>31</v>
      </c>
      <c r="G631">
        <v>0.2</v>
      </c>
      <c r="H631">
        <v>0.19700000000000001</v>
      </c>
      <c r="I631">
        <v>0.59</v>
      </c>
      <c r="J631">
        <v>0.19400000000000001</v>
      </c>
      <c r="K631">
        <v>12</v>
      </c>
      <c r="L631">
        <v>66</v>
      </c>
      <c r="M631">
        <v>78</v>
      </c>
      <c r="N631" t="s">
        <v>84</v>
      </c>
      <c r="O631" t="s">
        <v>85</v>
      </c>
      <c r="P631" t="s">
        <v>91</v>
      </c>
    </row>
    <row r="632" spans="1:16" x14ac:dyDescent="0.3">
      <c r="A632">
        <v>631</v>
      </c>
      <c r="B632" s="1">
        <v>40572</v>
      </c>
      <c r="C632">
        <v>13</v>
      </c>
      <c r="D632" t="b">
        <v>0</v>
      </c>
      <c r="E632" t="s">
        <v>29</v>
      </c>
      <c r="F632" t="s">
        <v>31</v>
      </c>
      <c r="G632">
        <v>0.22</v>
      </c>
      <c r="H632">
        <v>0.2273</v>
      </c>
      <c r="I632">
        <v>0.55000000000000004</v>
      </c>
      <c r="J632">
        <v>0.16420000000000001</v>
      </c>
      <c r="K632">
        <v>9</v>
      </c>
      <c r="L632">
        <v>56</v>
      </c>
      <c r="M632">
        <v>65</v>
      </c>
      <c r="N632" t="s">
        <v>84</v>
      </c>
      <c r="O632" t="s">
        <v>85</v>
      </c>
      <c r="P632" t="s">
        <v>91</v>
      </c>
    </row>
    <row r="633" spans="1:16" x14ac:dyDescent="0.3">
      <c r="A633">
        <v>632</v>
      </c>
      <c r="B633" s="1">
        <v>40572</v>
      </c>
      <c r="C633">
        <v>14</v>
      </c>
      <c r="D633" t="b">
        <v>0</v>
      </c>
      <c r="E633" t="s">
        <v>29</v>
      </c>
      <c r="F633" t="s">
        <v>31</v>
      </c>
      <c r="G633">
        <v>0.22</v>
      </c>
      <c r="H633">
        <v>0.2273</v>
      </c>
      <c r="I633">
        <v>0.6</v>
      </c>
      <c r="J633">
        <v>0.1343</v>
      </c>
      <c r="K633">
        <v>10</v>
      </c>
      <c r="L633">
        <v>89</v>
      </c>
      <c r="M633">
        <v>99</v>
      </c>
      <c r="N633" t="s">
        <v>84</v>
      </c>
      <c r="O633" t="s">
        <v>85</v>
      </c>
      <c r="P633" t="s">
        <v>91</v>
      </c>
    </row>
    <row r="634" spans="1:16" x14ac:dyDescent="0.3">
      <c r="A634">
        <v>633</v>
      </c>
      <c r="B634" s="1">
        <v>40572</v>
      </c>
      <c r="C634">
        <v>15</v>
      </c>
      <c r="D634" t="b">
        <v>0</v>
      </c>
      <c r="E634" t="s">
        <v>29</v>
      </c>
      <c r="F634" t="s">
        <v>30</v>
      </c>
      <c r="G634">
        <v>0.22</v>
      </c>
      <c r="H634">
        <v>0.21210000000000001</v>
      </c>
      <c r="I634">
        <v>0.69</v>
      </c>
      <c r="J634">
        <v>0.25369999999999998</v>
      </c>
      <c r="K634">
        <v>22</v>
      </c>
      <c r="L634">
        <v>98</v>
      </c>
      <c r="M634">
        <v>120</v>
      </c>
      <c r="N634" t="s">
        <v>84</v>
      </c>
      <c r="O634" t="s">
        <v>85</v>
      </c>
      <c r="P634" t="s">
        <v>90</v>
      </c>
    </row>
    <row r="635" spans="1:16" x14ac:dyDescent="0.3">
      <c r="A635">
        <v>634</v>
      </c>
      <c r="B635" s="1">
        <v>40572</v>
      </c>
      <c r="C635">
        <v>16</v>
      </c>
      <c r="D635" t="b">
        <v>0</v>
      </c>
      <c r="E635" t="s">
        <v>29</v>
      </c>
      <c r="F635" t="s">
        <v>30</v>
      </c>
      <c r="G635">
        <v>0.24</v>
      </c>
      <c r="H635">
        <v>0.2424</v>
      </c>
      <c r="I635">
        <v>0.6</v>
      </c>
      <c r="J635">
        <v>0.16420000000000001</v>
      </c>
      <c r="K635">
        <v>19</v>
      </c>
      <c r="L635">
        <v>88</v>
      </c>
      <c r="M635">
        <v>107</v>
      </c>
      <c r="N635" t="s">
        <v>84</v>
      </c>
      <c r="O635" t="s">
        <v>85</v>
      </c>
      <c r="P635" t="s">
        <v>90</v>
      </c>
    </row>
    <row r="636" spans="1:16" x14ac:dyDescent="0.3">
      <c r="A636">
        <v>635</v>
      </c>
      <c r="B636" s="1">
        <v>40572</v>
      </c>
      <c r="C636">
        <v>17</v>
      </c>
      <c r="D636" t="b">
        <v>0</v>
      </c>
      <c r="E636" t="s">
        <v>29</v>
      </c>
      <c r="F636" t="s">
        <v>30</v>
      </c>
      <c r="G636">
        <v>0.24</v>
      </c>
      <c r="H636">
        <v>0.28789999999999999</v>
      </c>
      <c r="I636">
        <v>0.6</v>
      </c>
      <c r="J636">
        <v>0</v>
      </c>
      <c r="K636">
        <v>9</v>
      </c>
      <c r="L636">
        <v>82</v>
      </c>
      <c r="M636">
        <v>91</v>
      </c>
      <c r="N636" t="s">
        <v>84</v>
      </c>
      <c r="O636" t="s">
        <v>87</v>
      </c>
      <c r="P636" t="s">
        <v>90</v>
      </c>
    </row>
    <row r="637" spans="1:16" x14ac:dyDescent="0.3">
      <c r="A637">
        <v>636</v>
      </c>
      <c r="B637" s="1">
        <v>40572</v>
      </c>
      <c r="C637">
        <v>18</v>
      </c>
      <c r="D637" t="b">
        <v>0</v>
      </c>
      <c r="E637" t="s">
        <v>29</v>
      </c>
      <c r="F637" t="s">
        <v>30</v>
      </c>
      <c r="G637">
        <v>0.22</v>
      </c>
      <c r="H637">
        <v>0.2273</v>
      </c>
      <c r="I637">
        <v>0.69</v>
      </c>
      <c r="J637">
        <v>0.1343</v>
      </c>
      <c r="K637">
        <v>9</v>
      </c>
      <c r="L637">
        <v>59</v>
      </c>
      <c r="M637">
        <v>68</v>
      </c>
      <c r="N637" t="s">
        <v>84</v>
      </c>
      <c r="O637" t="s">
        <v>87</v>
      </c>
      <c r="P637" t="s">
        <v>90</v>
      </c>
    </row>
    <row r="638" spans="1:16" x14ac:dyDescent="0.3">
      <c r="A638">
        <v>637</v>
      </c>
      <c r="B638" s="1">
        <v>40572</v>
      </c>
      <c r="C638">
        <v>19</v>
      </c>
      <c r="D638" t="b">
        <v>0</v>
      </c>
      <c r="E638" t="s">
        <v>29</v>
      </c>
      <c r="F638" t="s">
        <v>31</v>
      </c>
      <c r="G638">
        <v>0.22</v>
      </c>
      <c r="H638">
        <v>0.21210000000000001</v>
      </c>
      <c r="I638">
        <v>0.69</v>
      </c>
      <c r="J638">
        <v>0.25369999999999998</v>
      </c>
      <c r="K638">
        <v>6</v>
      </c>
      <c r="L638">
        <v>52</v>
      </c>
      <c r="M638">
        <v>58</v>
      </c>
      <c r="N638" t="s">
        <v>84</v>
      </c>
      <c r="O638" t="s">
        <v>87</v>
      </c>
      <c r="P638" t="s">
        <v>91</v>
      </c>
    </row>
    <row r="639" spans="1:16" x14ac:dyDescent="0.3">
      <c r="A639">
        <v>638</v>
      </c>
      <c r="B639" s="1">
        <v>40572</v>
      </c>
      <c r="C639">
        <v>20</v>
      </c>
      <c r="D639" t="b">
        <v>0</v>
      </c>
      <c r="E639" t="s">
        <v>29</v>
      </c>
      <c r="F639" t="s">
        <v>30</v>
      </c>
      <c r="G639">
        <v>0.18</v>
      </c>
      <c r="H639">
        <v>0.21210000000000001</v>
      </c>
      <c r="I639">
        <v>0.74</v>
      </c>
      <c r="J639">
        <v>8.9599999999999999E-2</v>
      </c>
      <c r="K639">
        <v>1</v>
      </c>
      <c r="L639">
        <v>42</v>
      </c>
      <c r="M639">
        <v>43</v>
      </c>
      <c r="N639" t="s">
        <v>84</v>
      </c>
      <c r="O639" t="s">
        <v>85</v>
      </c>
      <c r="P639" t="s">
        <v>90</v>
      </c>
    </row>
    <row r="640" spans="1:16" x14ac:dyDescent="0.3">
      <c r="A640">
        <v>639</v>
      </c>
      <c r="B640" s="1">
        <v>40572</v>
      </c>
      <c r="C640">
        <v>21</v>
      </c>
      <c r="D640" t="b">
        <v>0</v>
      </c>
      <c r="E640" t="s">
        <v>29</v>
      </c>
      <c r="F640" t="s">
        <v>30</v>
      </c>
      <c r="G640">
        <v>0.18</v>
      </c>
      <c r="H640">
        <v>0.21210000000000001</v>
      </c>
      <c r="I640">
        <v>0.74</v>
      </c>
      <c r="J640">
        <v>8.9599999999999999E-2</v>
      </c>
      <c r="K640">
        <v>1</v>
      </c>
      <c r="L640">
        <v>35</v>
      </c>
      <c r="M640">
        <v>36</v>
      </c>
      <c r="N640" t="s">
        <v>84</v>
      </c>
      <c r="O640" t="s">
        <v>85</v>
      </c>
      <c r="P640" t="s">
        <v>90</v>
      </c>
    </row>
    <row r="641" spans="1:16" x14ac:dyDescent="0.3">
      <c r="A641">
        <v>640</v>
      </c>
      <c r="B641" s="1">
        <v>40572</v>
      </c>
      <c r="C641">
        <v>22</v>
      </c>
      <c r="D641" t="b">
        <v>0</v>
      </c>
      <c r="E641" t="s">
        <v>29</v>
      </c>
      <c r="F641" t="s">
        <v>30</v>
      </c>
      <c r="G641">
        <v>0.16</v>
      </c>
      <c r="H641">
        <v>0.19700000000000001</v>
      </c>
      <c r="I641">
        <v>0.8</v>
      </c>
      <c r="J641">
        <v>8.9599999999999999E-2</v>
      </c>
      <c r="K641">
        <v>4</v>
      </c>
      <c r="L641">
        <v>28</v>
      </c>
      <c r="M641">
        <v>32</v>
      </c>
      <c r="N641" t="s">
        <v>84</v>
      </c>
      <c r="O641" t="s">
        <v>85</v>
      </c>
      <c r="P641" t="s">
        <v>90</v>
      </c>
    </row>
    <row r="642" spans="1:16" x14ac:dyDescent="0.3">
      <c r="A642">
        <v>641</v>
      </c>
      <c r="B642" s="1">
        <v>40572</v>
      </c>
      <c r="C642">
        <v>23</v>
      </c>
      <c r="D642" t="b">
        <v>0</v>
      </c>
      <c r="E642" t="s">
        <v>29</v>
      </c>
      <c r="F642" t="s">
        <v>30</v>
      </c>
      <c r="G642">
        <v>0.16</v>
      </c>
      <c r="H642">
        <v>0.19700000000000001</v>
      </c>
      <c r="I642">
        <v>0.8</v>
      </c>
      <c r="J642">
        <v>8.9599999999999999E-2</v>
      </c>
      <c r="K642">
        <v>3</v>
      </c>
      <c r="L642">
        <v>30</v>
      </c>
      <c r="M642">
        <v>33</v>
      </c>
      <c r="N642" t="s">
        <v>84</v>
      </c>
      <c r="O642" t="s">
        <v>85</v>
      </c>
      <c r="P642" t="s">
        <v>90</v>
      </c>
    </row>
    <row r="643" spans="1:16" x14ac:dyDescent="0.3">
      <c r="A643">
        <v>642</v>
      </c>
      <c r="B643" s="1">
        <v>40573</v>
      </c>
      <c r="C643">
        <v>0</v>
      </c>
      <c r="D643" t="b">
        <v>0</v>
      </c>
      <c r="E643" t="s">
        <v>23</v>
      </c>
      <c r="F643" t="s">
        <v>30</v>
      </c>
      <c r="G643">
        <v>0.16</v>
      </c>
      <c r="H643">
        <v>0.18179999999999999</v>
      </c>
      <c r="I643">
        <v>0.8</v>
      </c>
      <c r="J643">
        <v>0.1045</v>
      </c>
      <c r="K643">
        <v>0</v>
      </c>
      <c r="L643">
        <v>33</v>
      </c>
      <c r="M643">
        <v>33</v>
      </c>
      <c r="N643" t="s">
        <v>84</v>
      </c>
      <c r="O643" t="s">
        <v>85</v>
      </c>
      <c r="P643" t="s">
        <v>90</v>
      </c>
    </row>
    <row r="644" spans="1:16" x14ac:dyDescent="0.3">
      <c r="A644">
        <v>643</v>
      </c>
      <c r="B644" s="1">
        <v>40573</v>
      </c>
      <c r="C644">
        <v>1</v>
      </c>
      <c r="D644" t="b">
        <v>0</v>
      </c>
      <c r="E644" t="s">
        <v>23</v>
      </c>
      <c r="F644" t="s">
        <v>30</v>
      </c>
      <c r="G644">
        <v>0.14000000000000001</v>
      </c>
      <c r="H644">
        <v>0.21210000000000001</v>
      </c>
      <c r="I644">
        <v>0.8</v>
      </c>
      <c r="J644">
        <v>0</v>
      </c>
      <c r="K644">
        <v>7</v>
      </c>
      <c r="L644">
        <v>22</v>
      </c>
      <c r="M644">
        <v>29</v>
      </c>
      <c r="N644" t="s">
        <v>84</v>
      </c>
      <c r="O644" t="s">
        <v>85</v>
      </c>
      <c r="P644" t="s">
        <v>90</v>
      </c>
    </row>
    <row r="645" spans="1:16" x14ac:dyDescent="0.3">
      <c r="A645">
        <v>644</v>
      </c>
      <c r="B645" s="1">
        <v>40573</v>
      </c>
      <c r="C645">
        <v>2</v>
      </c>
      <c r="D645" t="b">
        <v>0</v>
      </c>
      <c r="E645" t="s">
        <v>23</v>
      </c>
      <c r="F645" t="s">
        <v>30</v>
      </c>
      <c r="G645">
        <v>0.16</v>
      </c>
      <c r="H645">
        <v>0.2273</v>
      </c>
      <c r="I645">
        <v>0.8</v>
      </c>
      <c r="J645">
        <v>0</v>
      </c>
      <c r="K645">
        <v>1</v>
      </c>
      <c r="L645">
        <v>10</v>
      </c>
      <c r="M645">
        <v>11</v>
      </c>
      <c r="N645" t="s">
        <v>84</v>
      </c>
      <c r="O645" t="s">
        <v>85</v>
      </c>
      <c r="P645" t="s">
        <v>90</v>
      </c>
    </row>
    <row r="646" spans="1:16" x14ac:dyDescent="0.3">
      <c r="A646">
        <v>645</v>
      </c>
      <c r="B646" s="1">
        <v>40573</v>
      </c>
      <c r="C646">
        <v>3</v>
      </c>
      <c r="D646" t="b">
        <v>0</v>
      </c>
      <c r="E646" t="s">
        <v>23</v>
      </c>
      <c r="F646" t="s">
        <v>30</v>
      </c>
      <c r="G646">
        <v>0.14000000000000001</v>
      </c>
      <c r="H646">
        <v>0.21210000000000001</v>
      </c>
      <c r="I646">
        <v>0.93</v>
      </c>
      <c r="J646">
        <v>0</v>
      </c>
      <c r="K646">
        <v>1</v>
      </c>
      <c r="L646">
        <v>7</v>
      </c>
      <c r="M646">
        <v>8</v>
      </c>
      <c r="N646" t="s">
        <v>84</v>
      </c>
      <c r="O646" t="s">
        <v>85</v>
      </c>
      <c r="P646" t="s">
        <v>90</v>
      </c>
    </row>
    <row r="647" spans="1:16" x14ac:dyDescent="0.3">
      <c r="A647">
        <v>646</v>
      </c>
      <c r="B647" s="1">
        <v>40573</v>
      </c>
      <c r="C647">
        <v>4</v>
      </c>
      <c r="D647" t="b">
        <v>0</v>
      </c>
      <c r="E647" t="s">
        <v>23</v>
      </c>
      <c r="F647" t="s">
        <v>30</v>
      </c>
      <c r="G647">
        <v>0.14000000000000001</v>
      </c>
      <c r="H647">
        <v>0.21210000000000001</v>
      </c>
      <c r="I647">
        <v>0.93</v>
      </c>
      <c r="J647">
        <v>0</v>
      </c>
      <c r="K647">
        <v>0</v>
      </c>
      <c r="L647">
        <v>1</v>
      </c>
      <c r="M647">
        <v>1</v>
      </c>
      <c r="N647" t="s">
        <v>84</v>
      </c>
      <c r="O647" t="s">
        <v>85</v>
      </c>
      <c r="P647" t="s">
        <v>90</v>
      </c>
    </row>
    <row r="648" spans="1:16" x14ac:dyDescent="0.3">
      <c r="A648">
        <v>647</v>
      </c>
      <c r="B648" s="1">
        <v>40573</v>
      </c>
      <c r="C648">
        <v>5</v>
      </c>
      <c r="D648" t="b">
        <v>0</v>
      </c>
      <c r="E648" t="s">
        <v>23</v>
      </c>
      <c r="F648" t="s">
        <v>30</v>
      </c>
      <c r="G648">
        <v>0.14000000000000001</v>
      </c>
      <c r="H648">
        <v>0.21210000000000001</v>
      </c>
      <c r="I648">
        <v>0.86</v>
      </c>
      <c r="J648">
        <v>0</v>
      </c>
      <c r="K648">
        <v>0</v>
      </c>
      <c r="L648">
        <v>3</v>
      </c>
      <c r="M648">
        <v>3</v>
      </c>
      <c r="N648" t="s">
        <v>84</v>
      </c>
      <c r="O648" t="s">
        <v>85</v>
      </c>
      <c r="P648" t="s">
        <v>90</v>
      </c>
    </row>
    <row r="649" spans="1:16" x14ac:dyDescent="0.3">
      <c r="A649">
        <v>648</v>
      </c>
      <c r="B649" s="1">
        <v>40573</v>
      </c>
      <c r="C649">
        <v>7</v>
      </c>
      <c r="D649" t="b">
        <v>0</v>
      </c>
      <c r="E649" t="s">
        <v>23</v>
      </c>
      <c r="F649" t="s">
        <v>30</v>
      </c>
      <c r="G649">
        <v>0.14000000000000001</v>
      </c>
      <c r="H649">
        <v>0.21210000000000001</v>
      </c>
      <c r="I649">
        <v>0.86</v>
      </c>
      <c r="J649">
        <v>0</v>
      </c>
      <c r="K649">
        <v>0</v>
      </c>
      <c r="L649">
        <v>3</v>
      </c>
      <c r="M649">
        <v>3</v>
      </c>
      <c r="N649" t="s">
        <v>84</v>
      </c>
      <c r="O649" t="s">
        <v>86</v>
      </c>
      <c r="P649" t="s">
        <v>90</v>
      </c>
    </row>
    <row r="650" spans="1:16" x14ac:dyDescent="0.3">
      <c r="A650">
        <v>649</v>
      </c>
      <c r="B650" s="1">
        <v>40573</v>
      </c>
      <c r="C650">
        <v>8</v>
      </c>
      <c r="D650" t="b">
        <v>0</v>
      </c>
      <c r="E650" t="s">
        <v>23</v>
      </c>
      <c r="F650" t="s">
        <v>31</v>
      </c>
      <c r="G650">
        <v>0.14000000000000001</v>
      </c>
      <c r="H650">
        <v>0.21210000000000001</v>
      </c>
      <c r="I650">
        <v>0.86</v>
      </c>
      <c r="J650">
        <v>0</v>
      </c>
      <c r="K650">
        <v>1</v>
      </c>
      <c r="L650">
        <v>11</v>
      </c>
      <c r="M650">
        <v>12</v>
      </c>
      <c r="N650" t="s">
        <v>84</v>
      </c>
      <c r="O650" t="s">
        <v>86</v>
      </c>
      <c r="P650" t="s">
        <v>91</v>
      </c>
    </row>
    <row r="651" spans="1:16" x14ac:dyDescent="0.3">
      <c r="A651">
        <v>650</v>
      </c>
      <c r="B651" s="1">
        <v>40573</v>
      </c>
      <c r="C651">
        <v>9</v>
      </c>
      <c r="D651" t="b">
        <v>0</v>
      </c>
      <c r="E651" t="s">
        <v>23</v>
      </c>
      <c r="F651" t="s">
        <v>31</v>
      </c>
      <c r="G651">
        <v>0.16</v>
      </c>
      <c r="H651">
        <v>0.2273</v>
      </c>
      <c r="I651">
        <v>0.8</v>
      </c>
      <c r="J651">
        <v>0</v>
      </c>
      <c r="K651">
        <v>4</v>
      </c>
      <c r="L651">
        <v>34</v>
      </c>
      <c r="M651">
        <v>38</v>
      </c>
      <c r="N651" t="s">
        <v>84</v>
      </c>
      <c r="O651" t="s">
        <v>86</v>
      </c>
      <c r="P651" t="s">
        <v>91</v>
      </c>
    </row>
    <row r="652" spans="1:16" x14ac:dyDescent="0.3">
      <c r="A652">
        <v>651</v>
      </c>
      <c r="B652" s="1">
        <v>40573</v>
      </c>
      <c r="C652">
        <v>10</v>
      </c>
      <c r="D652" t="b">
        <v>0</v>
      </c>
      <c r="E652" t="s">
        <v>23</v>
      </c>
      <c r="F652" t="s">
        <v>31</v>
      </c>
      <c r="G652">
        <v>0.18</v>
      </c>
      <c r="H652">
        <v>0.2424</v>
      </c>
      <c r="I652">
        <v>0.8</v>
      </c>
      <c r="J652">
        <v>0</v>
      </c>
      <c r="K652">
        <v>7</v>
      </c>
      <c r="L652">
        <v>57</v>
      </c>
      <c r="M652">
        <v>64</v>
      </c>
      <c r="N652" t="s">
        <v>84</v>
      </c>
      <c r="O652" t="s">
        <v>85</v>
      </c>
      <c r="P652" t="s">
        <v>91</v>
      </c>
    </row>
    <row r="653" spans="1:16" x14ac:dyDescent="0.3">
      <c r="A653">
        <v>652</v>
      </c>
      <c r="B653" s="1">
        <v>40573</v>
      </c>
      <c r="C653">
        <v>11</v>
      </c>
      <c r="D653" t="b">
        <v>0</v>
      </c>
      <c r="E653" t="s">
        <v>23</v>
      </c>
      <c r="F653" t="s">
        <v>30</v>
      </c>
      <c r="G653">
        <v>0.22</v>
      </c>
      <c r="H653">
        <v>0.2727</v>
      </c>
      <c r="I653">
        <v>0.75</v>
      </c>
      <c r="J653">
        <v>0</v>
      </c>
      <c r="K653">
        <v>9</v>
      </c>
      <c r="L653">
        <v>50</v>
      </c>
      <c r="M653">
        <v>59</v>
      </c>
      <c r="N653" t="s">
        <v>84</v>
      </c>
      <c r="O653" t="s">
        <v>85</v>
      </c>
      <c r="P653" t="s">
        <v>90</v>
      </c>
    </row>
    <row r="654" spans="1:16" x14ac:dyDescent="0.3">
      <c r="A654">
        <v>653</v>
      </c>
      <c r="B654" s="1">
        <v>40573</v>
      </c>
      <c r="C654">
        <v>12</v>
      </c>
      <c r="D654" t="b">
        <v>0</v>
      </c>
      <c r="E654" t="s">
        <v>23</v>
      </c>
      <c r="F654" t="s">
        <v>30</v>
      </c>
      <c r="G654">
        <v>0.3</v>
      </c>
      <c r="H654">
        <v>0.31819999999999998</v>
      </c>
      <c r="I654">
        <v>0.52</v>
      </c>
      <c r="J654">
        <v>0.1045</v>
      </c>
      <c r="K654">
        <v>10</v>
      </c>
      <c r="L654">
        <v>87</v>
      </c>
      <c r="M654">
        <v>97</v>
      </c>
      <c r="N654" t="s">
        <v>84</v>
      </c>
      <c r="O654" t="s">
        <v>85</v>
      </c>
      <c r="P654" t="s">
        <v>90</v>
      </c>
    </row>
    <row r="655" spans="1:16" x14ac:dyDescent="0.3">
      <c r="A655">
        <v>654</v>
      </c>
      <c r="B655" s="1">
        <v>40573</v>
      </c>
      <c r="C655">
        <v>13</v>
      </c>
      <c r="D655" t="b">
        <v>0</v>
      </c>
      <c r="E655" t="s">
        <v>23</v>
      </c>
      <c r="F655" t="s">
        <v>30</v>
      </c>
      <c r="G655">
        <v>0.28000000000000003</v>
      </c>
      <c r="H655">
        <v>0.28789999999999999</v>
      </c>
      <c r="I655">
        <v>0.61</v>
      </c>
      <c r="J655">
        <v>0.1045</v>
      </c>
      <c r="K655">
        <v>13</v>
      </c>
      <c r="L655">
        <v>71</v>
      </c>
      <c r="M655">
        <v>84</v>
      </c>
      <c r="N655" t="s">
        <v>84</v>
      </c>
      <c r="O655" t="s">
        <v>85</v>
      </c>
      <c r="P655" t="s">
        <v>90</v>
      </c>
    </row>
    <row r="656" spans="1:16" x14ac:dyDescent="0.3">
      <c r="A656">
        <v>655</v>
      </c>
      <c r="B656" s="1">
        <v>40573</v>
      </c>
      <c r="C656">
        <v>14</v>
      </c>
      <c r="D656" t="b">
        <v>0</v>
      </c>
      <c r="E656" t="s">
        <v>23</v>
      </c>
      <c r="F656" t="s">
        <v>30</v>
      </c>
      <c r="G656">
        <v>0.28000000000000003</v>
      </c>
      <c r="H656">
        <v>0.30299999999999999</v>
      </c>
      <c r="I656">
        <v>0.61</v>
      </c>
      <c r="J656">
        <v>8.9599999999999999E-2</v>
      </c>
      <c r="K656">
        <v>18</v>
      </c>
      <c r="L656">
        <v>104</v>
      </c>
      <c r="M656">
        <v>122</v>
      </c>
      <c r="N656" t="s">
        <v>84</v>
      </c>
      <c r="O656" t="s">
        <v>85</v>
      </c>
      <c r="P656" t="s">
        <v>90</v>
      </c>
    </row>
    <row r="657" spans="1:16" x14ac:dyDescent="0.3">
      <c r="A657">
        <v>656</v>
      </c>
      <c r="B657" s="1">
        <v>40573</v>
      </c>
      <c r="C657">
        <v>15</v>
      </c>
      <c r="D657" t="b">
        <v>0</v>
      </c>
      <c r="E657" t="s">
        <v>23</v>
      </c>
      <c r="F657" t="s">
        <v>30</v>
      </c>
      <c r="G657">
        <v>0.3</v>
      </c>
      <c r="H657">
        <v>0.33329999999999999</v>
      </c>
      <c r="I657">
        <v>0.56000000000000005</v>
      </c>
      <c r="J657">
        <v>0</v>
      </c>
      <c r="K657">
        <v>14</v>
      </c>
      <c r="L657">
        <v>95</v>
      </c>
      <c r="M657">
        <v>109</v>
      </c>
      <c r="N657" t="s">
        <v>84</v>
      </c>
      <c r="O657" t="s">
        <v>85</v>
      </c>
      <c r="P657" t="s">
        <v>90</v>
      </c>
    </row>
    <row r="658" spans="1:16" x14ac:dyDescent="0.3">
      <c r="A658">
        <v>657</v>
      </c>
      <c r="B658" s="1">
        <v>40573</v>
      </c>
      <c r="C658">
        <v>16</v>
      </c>
      <c r="D658" t="b">
        <v>0</v>
      </c>
      <c r="E658" t="s">
        <v>23</v>
      </c>
      <c r="F658" t="s">
        <v>30</v>
      </c>
      <c r="G658">
        <v>0.3</v>
      </c>
      <c r="H658">
        <v>0.33329999999999999</v>
      </c>
      <c r="I658">
        <v>0.56000000000000005</v>
      </c>
      <c r="J658">
        <v>0</v>
      </c>
      <c r="K658">
        <v>19</v>
      </c>
      <c r="L658">
        <v>104</v>
      </c>
      <c r="M658">
        <v>123</v>
      </c>
      <c r="N658" t="s">
        <v>84</v>
      </c>
      <c r="O658" t="s">
        <v>85</v>
      </c>
      <c r="P658" t="s">
        <v>90</v>
      </c>
    </row>
    <row r="659" spans="1:16" x14ac:dyDescent="0.3">
      <c r="A659">
        <v>658</v>
      </c>
      <c r="B659" s="1">
        <v>40573</v>
      </c>
      <c r="C659">
        <v>17</v>
      </c>
      <c r="D659" t="b">
        <v>0</v>
      </c>
      <c r="E659" t="s">
        <v>23</v>
      </c>
      <c r="F659" t="s">
        <v>30</v>
      </c>
      <c r="G659">
        <v>0.3</v>
      </c>
      <c r="H659">
        <v>0.28789999999999999</v>
      </c>
      <c r="I659">
        <v>0.56000000000000005</v>
      </c>
      <c r="J659">
        <v>0.19400000000000001</v>
      </c>
      <c r="K659">
        <v>6</v>
      </c>
      <c r="L659">
        <v>71</v>
      </c>
      <c r="M659">
        <v>77</v>
      </c>
      <c r="N659" t="s">
        <v>84</v>
      </c>
      <c r="O659" t="s">
        <v>87</v>
      </c>
      <c r="P659" t="s">
        <v>90</v>
      </c>
    </row>
    <row r="660" spans="1:16" x14ac:dyDescent="0.3">
      <c r="A660">
        <v>659</v>
      </c>
      <c r="B660" s="1">
        <v>40573</v>
      </c>
      <c r="C660">
        <v>18</v>
      </c>
      <c r="D660" t="b">
        <v>0</v>
      </c>
      <c r="E660" t="s">
        <v>23</v>
      </c>
      <c r="F660" t="s">
        <v>30</v>
      </c>
      <c r="G660">
        <v>0.26</v>
      </c>
      <c r="H660">
        <v>0.2576</v>
      </c>
      <c r="I660">
        <v>0.65</v>
      </c>
      <c r="J660">
        <v>0.16420000000000001</v>
      </c>
      <c r="K660">
        <v>8</v>
      </c>
      <c r="L660">
        <v>57</v>
      </c>
      <c r="M660">
        <v>65</v>
      </c>
      <c r="N660" t="s">
        <v>84</v>
      </c>
      <c r="O660" t="s">
        <v>87</v>
      </c>
      <c r="P660" t="s">
        <v>90</v>
      </c>
    </row>
    <row r="661" spans="1:16" x14ac:dyDescent="0.3">
      <c r="A661">
        <v>660</v>
      </c>
      <c r="B661" s="1">
        <v>40573</v>
      </c>
      <c r="C661">
        <v>19</v>
      </c>
      <c r="D661" t="b">
        <v>0</v>
      </c>
      <c r="E661" t="s">
        <v>23</v>
      </c>
      <c r="F661" t="s">
        <v>30</v>
      </c>
      <c r="G661">
        <v>0.26</v>
      </c>
      <c r="H661">
        <v>0.2576</v>
      </c>
      <c r="I661">
        <v>0.65</v>
      </c>
      <c r="J661">
        <v>0.19400000000000001</v>
      </c>
      <c r="K661">
        <v>9</v>
      </c>
      <c r="L661">
        <v>46</v>
      </c>
      <c r="M661">
        <v>55</v>
      </c>
      <c r="N661" t="s">
        <v>84</v>
      </c>
      <c r="O661" t="s">
        <v>87</v>
      </c>
      <c r="P661" t="s">
        <v>90</v>
      </c>
    </row>
    <row r="662" spans="1:16" x14ac:dyDescent="0.3">
      <c r="A662">
        <v>661</v>
      </c>
      <c r="B662" s="1">
        <v>40573</v>
      </c>
      <c r="C662">
        <v>20</v>
      </c>
      <c r="D662" t="b">
        <v>0</v>
      </c>
      <c r="E662" t="s">
        <v>23</v>
      </c>
      <c r="F662" t="s">
        <v>31</v>
      </c>
      <c r="G662">
        <v>0.26</v>
      </c>
      <c r="H662">
        <v>0.2727</v>
      </c>
      <c r="I662">
        <v>0.65</v>
      </c>
      <c r="J662">
        <v>0.1045</v>
      </c>
      <c r="K662">
        <v>3</v>
      </c>
      <c r="L662">
        <v>30</v>
      </c>
      <c r="M662">
        <v>33</v>
      </c>
      <c r="N662" t="s">
        <v>84</v>
      </c>
      <c r="O662" t="s">
        <v>85</v>
      </c>
      <c r="P662" t="s">
        <v>91</v>
      </c>
    </row>
    <row r="663" spans="1:16" x14ac:dyDescent="0.3">
      <c r="A663">
        <v>662</v>
      </c>
      <c r="B663" s="1">
        <v>40573</v>
      </c>
      <c r="C663">
        <v>21</v>
      </c>
      <c r="D663" t="b">
        <v>0</v>
      </c>
      <c r="E663" t="s">
        <v>23</v>
      </c>
      <c r="F663" t="s">
        <v>31</v>
      </c>
      <c r="G663">
        <v>0.24</v>
      </c>
      <c r="H663">
        <v>0.2424</v>
      </c>
      <c r="I663">
        <v>0.7</v>
      </c>
      <c r="J663">
        <v>0.16420000000000001</v>
      </c>
      <c r="K663">
        <v>3</v>
      </c>
      <c r="L663">
        <v>25</v>
      </c>
      <c r="M663">
        <v>28</v>
      </c>
      <c r="N663" t="s">
        <v>84</v>
      </c>
      <c r="O663" t="s">
        <v>85</v>
      </c>
      <c r="P663" t="s">
        <v>91</v>
      </c>
    </row>
    <row r="664" spans="1:16" x14ac:dyDescent="0.3">
      <c r="A664">
        <v>663</v>
      </c>
      <c r="B664" s="1">
        <v>40573</v>
      </c>
      <c r="C664">
        <v>22</v>
      </c>
      <c r="D664" t="b">
        <v>0</v>
      </c>
      <c r="E664" t="s">
        <v>23</v>
      </c>
      <c r="F664" t="s">
        <v>31</v>
      </c>
      <c r="G664">
        <v>0.24</v>
      </c>
      <c r="H664">
        <v>0.2273</v>
      </c>
      <c r="I664">
        <v>0.7</v>
      </c>
      <c r="J664">
        <v>0.19400000000000001</v>
      </c>
      <c r="K664">
        <v>2</v>
      </c>
      <c r="L664">
        <v>19</v>
      </c>
      <c r="M664">
        <v>21</v>
      </c>
      <c r="N664" t="s">
        <v>84</v>
      </c>
      <c r="O664" t="s">
        <v>85</v>
      </c>
      <c r="P664" t="s">
        <v>91</v>
      </c>
    </row>
    <row r="665" spans="1:16" x14ac:dyDescent="0.3">
      <c r="A665">
        <v>664</v>
      </c>
      <c r="B665" s="1">
        <v>40573</v>
      </c>
      <c r="C665">
        <v>23</v>
      </c>
      <c r="D665" t="b">
        <v>0</v>
      </c>
      <c r="E665" t="s">
        <v>23</v>
      </c>
      <c r="F665" t="s">
        <v>31</v>
      </c>
      <c r="G665">
        <v>0.24</v>
      </c>
      <c r="H665">
        <v>0.21210000000000001</v>
      </c>
      <c r="I665">
        <v>0.65</v>
      </c>
      <c r="J665">
        <v>0.28360000000000002</v>
      </c>
      <c r="K665">
        <v>5</v>
      </c>
      <c r="L665">
        <v>16</v>
      </c>
      <c r="M665">
        <v>21</v>
      </c>
      <c r="N665" t="s">
        <v>84</v>
      </c>
      <c r="O665" t="s">
        <v>85</v>
      </c>
      <c r="P665" t="s">
        <v>91</v>
      </c>
    </row>
    <row r="666" spans="1:16" x14ac:dyDescent="0.3">
      <c r="A666">
        <v>665</v>
      </c>
      <c r="B666" s="1">
        <v>40574</v>
      </c>
      <c r="C666">
        <v>0</v>
      </c>
      <c r="D666" t="b">
        <v>0</v>
      </c>
      <c r="E666" t="s">
        <v>24</v>
      </c>
      <c r="F666" t="s">
        <v>31</v>
      </c>
      <c r="G666">
        <v>0.24</v>
      </c>
      <c r="H666">
        <v>0.2273</v>
      </c>
      <c r="I666">
        <v>0.65</v>
      </c>
      <c r="J666">
        <v>0.22389999999999999</v>
      </c>
      <c r="K666">
        <v>1</v>
      </c>
      <c r="L666">
        <v>6</v>
      </c>
      <c r="M666">
        <v>7</v>
      </c>
      <c r="N666" t="s">
        <v>18</v>
      </c>
      <c r="O666" t="s">
        <v>85</v>
      </c>
      <c r="P666" t="s">
        <v>91</v>
      </c>
    </row>
    <row r="667" spans="1:16" x14ac:dyDescent="0.3">
      <c r="A667">
        <v>666</v>
      </c>
      <c r="B667" s="1">
        <v>40574</v>
      </c>
      <c r="C667">
        <v>1</v>
      </c>
      <c r="D667" t="b">
        <v>0</v>
      </c>
      <c r="E667" t="s">
        <v>24</v>
      </c>
      <c r="F667" t="s">
        <v>30</v>
      </c>
      <c r="G667">
        <v>0.22</v>
      </c>
      <c r="H667">
        <v>0.21210000000000001</v>
      </c>
      <c r="I667">
        <v>0.64</v>
      </c>
      <c r="J667">
        <v>0.25369999999999998</v>
      </c>
      <c r="K667">
        <v>2</v>
      </c>
      <c r="L667">
        <v>5</v>
      </c>
      <c r="M667">
        <v>7</v>
      </c>
      <c r="N667" t="s">
        <v>18</v>
      </c>
      <c r="O667" t="s">
        <v>85</v>
      </c>
      <c r="P667" t="s">
        <v>90</v>
      </c>
    </row>
    <row r="668" spans="1:16" x14ac:dyDescent="0.3">
      <c r="A668">
        <v>667</v>
      </c>
      <c r="B668" s="1">
        <v>40574</v>
      </c>
      <c r="C668">
        <v>2</v>
      </c>
      <c r="D668" t="b">
        <v>0</v>
      </c>
      <c r="E668" t="s">
        <v>24</v>
      </c>
      <c r="F668" t="s">
        <v>30</v>
      </c>
      <c r="G668">
        <v>0.22</v>
      </c>
      <c r="H668">
        <v>0.2273</v>
      </c>
      <c r="I668">
        <v>0.64</v>
      </c>
      <c r="J668">
        <v>0.19400000000000001</v>
      </c>
      <c r="K668">
        <v>0</v>
      </c>
      <c r="L668">
        <v>1</v>
      </c>
      <c r="M668">
        <v>1</v>
      </c>
      <c r="N668" t="s">
        <v>18</v>
      </c>
      <c r="O668" t="s">
        <v>85</v>
      </c>
      <c r="P668" t="s">
        <v>90</v>
      </c>
    </row>
    <row r="669" spans="1:16" x14ac:dyDescent="0.3">
      <c r="A669">
        <v>668</v>
      </c>
      <c r="B669" s="1">
        <v>40574</v>
      </c>
      <c r="C669">
        <v>3</v>
      </c>
      <c r="D669" t="b">
        <v>0</v>
      </c>
      <c r="E669" t="s">
        <v>24</v>
      </c>
      <c r="F669" t="s">
        <v>30</v>
      </c>
      <c r="G669">
        <v>0.22</v>
      </c>
      <c r="H669">
        <v>0.2273</v>
      </c>
      <c r="I669">
        <v>0.64</v>
      </c>
      <c r="J669">
        <v>0.19400000000000001</v>
      </c>
      <c r="K669">
        <v>0</v>
      </c>
      <c r="L669">
        <v>2</v>
      </c>
      <c r="M669">
        <v>2</v>
      </c>
      <c r="N669" t="s">
        <v>18</v>
      </c>
      <c r="O669" t="s">
        <v>85</v>
      </c>
      <c r="P669" t="s">
        <v>90</v>
      </c>
    </row>
    <row r="670" spans="1:16" x14ac:dyDescent="0.3">
      <c r="A670">
        <v>669</v>
      </c>
      <c r="B670" s="1">
        <v>40574</v>
      </c>
      <c r="C670">
        <v>4</v>
      </c>
      <c r="D670" t="b">
        <v>0</v>
      </c>
      <c r="E670" t="s">
        <v>24</v>
      </c>
      <c r="F670" t="s">
        <v>30</v>
      </c>
      <c r="G670">
        <v>0.2</v>
      </c>
      <c r="H670">
        <v>0.19700000000000001</v>
      </c>
      <c r="I670">
        <v>0.59</v>
      </c>
      <c r="J670">
        <v>0.22389999999999999</v>
      </c>
      <c r="K670">
        <v>0</v>
      </c>
      <c r="L670">
        <v>2</v>
      </c>
      <c r="M670">
        <v>2</v>
      </c>
      <c r="N670" t="s">
        <v>18</v>
      </c>
      <c r="O670" t="s">
        <v>85</v>
      </c>
      <c r="P670" t="s">
        <v>90</v>
      </c>
    </row>
    <row r="671" spans="1:16" x14ac:dyDescent="0.3">
      <c r="A671">
        <v>670</v>
      </c>
      <c r="B671" s="1">
        <v>40574</v>
      </c>
      <c r="C671">
        <v>5</v>
      </c>
      <c r="D671" t="b">
        <v>0</v>
      </c>
      <c r="E671" t="s">
        <v>24</v>
      </c>
      <c r="F671" t="s">
        <v>30</v>
      </c>
      <c r="G671">
        <v>0.18</v>
      </c>
      <c r="H671">
        <v>0.16669999999999999</v>
      </c>
      <c r="I671">
        <v>0.64</v>
      </c>
      <c r="J671">
        <v>0.28360000000000002</v>
      </c>
      <c r="K671">
        <v>0</v>
      </c>
      <c r="L671">
        <v>8</v>
      </c>
      <c r="M671">
        <v>8</v>
      </c>
      <c r="N671" t="s">
        <v>18</v>
      </c>
      <c r="O671" t="s">
        <v>85</v>
      </c>
      <c r="P671" t="s">
        <v>90</v>
      </c>
    </row>
    <row r="672" spans="1:16" x14ac:dyDescent="0.3">
      <c r="A672">
        <v>671</v>
      </c>
      <c r="B672" s="1">
        <v>40574</v>
      </c>
      <c r="C672">
        <v>6</v>
      </c>
      <c r="D672" t="b">
        <v>0</v>
      </c>
      <c r="E672" t="s">
        <v>24</v>
      </c>
      <c r="F672" t="s">
        <v>30</v>
      </c>
      <c r="G672">
        <v>0.16</v>
      </c>
      <c r="H672">
        <v>0.13639999999999999</v>
      </c>
      <c r="I672">
        <v>0.69</v>
      </c>
      <c r="J672">
        <v>0.32840000000000003</v>
      </c>
      <c r="K672">
        <v>0</v>
      </c>
      <c r="L672">
        <v>37</v>
      </c>
      <c r="M672">
        <v>37</v>
      </c>
      <c r="N672" t="s">
        <v>18</v>
      </c>
      <c r="O672" t="s">
        <v>85</v>
      </c>
      <c r="P672" t="s">
        <v>90</v>
      </c>
    </row>
    <row r="673" spans="1:16" x14ac:dyDescent="0.3">
      <c r="A673">
        <v>672</v>
      </c>
      <c r="B673" s="1">
        <v>40574</v>
      </c>
      <c r="C673">
        <v>7</v>
      </c>
      <c r="D673" t="b">
        <v>0</v>
      </c>
      <c r="E673" t="s">
        <v>24</v>
      </c>
      <c r="F673" t="s">
        <v>31</v>
      </c>
      <c r="G673">
        <v>0.16</v>
      </c>
      <c r="H673">
        <v>0.13639999999999999</v>
      </c>
      <c r="I673">
        <v>0.64</v>
      </c>
      <c r="J673">
        <v>0.28360000000000002</v>
      </c>
      <c r="K673">
        <v>1</v>
      </c>
      <c r="L673">
        <v>71</v>
      </c>
      <c r="M673">
        <v>72</v>
      </c>
      <c r="N673" t="s">
        <v>18</v>
      </c>
      <c r="O673" t="s">
        <v>86</v>
      </c>
      <c r="P673" t="s">
        <v>91</v>
      </c>
    </row>
    <row r="674" spans="1:16" x14ac:dyDescent="0.3">
      <c r="A674">
        <v>673</v>
      </c>
      <c r="B674" s="1">
        <v>40574</v>
      </c>
      <c r="C674">
        <v>8</v>
      </c>
      <c r="D674" t="b">
        <v>0</v>
      </c>
      <c r="E674" t="s">
        <v>24</v>
      </c>
      <c r="F674" t="s">
        <v>31</v>
      </c>
      <c r="G674">
        <v>0.16</v>
      </c>
      <c r="H674">
        <v>0.13639999999999999</v>
      </c>
      <c r="I674">
        <v>0.59</v>
      </c>
      <c r="J674">
        <v>0.28360000000000002</v>
      </c>
      <c r="K674">
        <v>3</v>
      </c>
      <c r="L674">
        <v>182</v>
      </c>
      <c r="M674">
        <v>185</v>
      </c>
      <c r="N674" t="s">
        <v>18</v>
      </c>
      <c r="O674" t="s">
        <v>86</v>
      </c>
      <c r="P674" t="s">
        <v>91</v>
      </c>
    </row>
    <row r="675" spans="1:16" x14ac:dyDescent="0.3">
      <c r="A675">
        <v>674</v>
      </c>
      <c r="B675" s="1">
        <v>40574</v>
      </c>
      <c r="C675">
        <v>9</v>
      </c>
      <c r="D675" t="b">
        <v>0</v>
      </c>
      <c r="E675" t="s">
        <v>24</v>
      </c>
      <c r="F675" t="s">
        <v>31</v>
      </c>
      <c r="G675">
        <v>0.16</v>
      </c>
      <c r="H675">
        <v>0.13639999999999999</v>
      </c>
      <c r="I675">
        <v>0.59</v>
      </c>
      <c r="J675">
        <v>0.29849999999999999</v>
      </c>
      <c r="K675">
        <v>0</v>
      </c>
      <c r="L675">
        <v>112</v>
      </c>
      <c r="M675">
        <v>112</v>
      </c>
      <c r="N675" t="s">
        <v>18</v>
      </c>
      <c r="O675" t="s">
        <v>86</v>
      </c>
      <c r="P675" t="s">
        <v>91</v>
      </c>
    </row>
    <row r="676" spans="1:16" x14ac:dyDescent="0.3">
      <c r="A676">
        <v>675</v>
      </c>
      <c r="B676" s="1">
        <v>40574</v>
      </c>
      <c r="C676">
        <v>10</v>
      </c>
      <c r="D676" t="b">
        <v>0</v>
      </c>
      <c r="E676" t="s">
        <v>24</v>
      </c>
      <c r="F676" t="s">
        <v>31</v>
      </c>
      <c r="G676">
        <v>0.16</v>
      </c>
      <c r="H676">
        <v>0.1515</v>
      </c>
      <c r="I676">
        <v>0.59</v>
      </c>
      <c r="J676">
        <v>0.19400000000000001</v>
      </c>
      <c r="K676">
        <v>1</v>
      </c>
      <c r="L676">
        <v>68</v>
      </c>
      <c r="M676">
        <v>69</v>
      </c>
      <c r="N676" t="s">
        <v>18</v>
      </c>
      <c r="O676" t="s">
        <v>85</v>
      </c>
      <c r="P676" t="s">
        <v>91</v>
      </c>
    </row>
    <row r="677" spans="1:16" x14ac:dyDescent="0.3">
      <c r="A677">
        <v>676</v>
      </c>
      <c r="B677" s="1">
        <v>40574</v>
      </c>
      <c r="C677">
        <v>11</v>
      </c>
      <c r="D677" t="b">
        <v>0</v>
      </c>
      <c r="E677" t="s">
        <v>24</v>
      </c>
      <c r="F677" t="s">
        <v>31</v>
      </c>
      <c r="G677">
        <v>0.16</v>
      </c>
      <c r="H677">
        <v>0.1515</v>
      </c>
      <c r="I677">
        <v>0.59</v>
      </c>
      <c r="J677">
        <v>0.19400000000000001</v>
      </c>
      <c r="K677">
        <v>2</v>
      </c>
      <c r="L677">
        <v>46</v>
      </c>
      <c r="M677">
        <v>48</v>
      </c>
      <c r="N677" t="s">
        <v>18</v>
      </c>
      <c r="O677" t="s">
        <v>85</v>
      </c>
      <c r="P677" t="s">
        <v>91</v>
      </c>
    </row>
    <row r="678" spans="1:16" x14ac:dyDescent="0.3">
      <c r="A678">
        <v>677</v>
      </c>
      <c r="B678" s="1">
        <v>40574</v>
      </c>
      <c r="C678">
        <v>12</v>
      </c>
      <c r="D678" t="b">
        <v>0</v>
      </c>
      <c r="E678" t="s">
        <v>24</v>
      </c>
      <c r="F678" t="s">
        <v>31</v>
      </c>
      <c r="G678">
        <v>0.18</v>
      </c>
      <c r="H678">
        <v>0.21210000000000001</v>
      </c>
      <c r="I678">
        <v>0.55000000000000004</v>
      </c>
      <c r="J678">
        <v>0.1045</v>
      </c>
      <c r="K678">
        <v>6</v>
      </c>
      <c r="L678">
        <v>62</v>
      </c>
      <c r="M678">
        <v>68</v>
      </c>
      <c r="N678" t="s">
        <v>18</v>
      </c>
      <c r="O678" t="s">
        <v>85</v>
      </c>
      <c r="P678" t="s">
        <v>91</v>
      </c>
    </row>
    <row r="679" spans="1:16" x14ac:dyDescent="0.3">
      <c r="A679">
        <v>678</v>
      </c>
      <c r="B679" s="1">
        <v>40574</v>
      </c>
      <c r="C679">
        <v>13</v>
      </c>
      <c r="D679" t="b">
        <v>0</v>
      </c>
      <c r="E679" t="s">
        <v>24</v>
      </c>
      <c r="F679" t="s">
        <v>31</v>
      </c>
      <c r="G679">
        <v>0.16</v>
      </c>
      <c r="H679">
        <v>0.2273</v>
      </c>
      <c r="I679">
        <v>0.59</v>
      </c>
      <c r="J679">
        <v>0</v>
      </c>
      <c r="K679">
        <v>2</v>
      </c>
      <c r="L679">
        <v>52</v>
      </c>
      <c r="M679">
        <v>54</v>
      </c>
      <c r="N679" t="s">
        <v>18</v>
      </c>
      <c r="O679" t="s">
        <v>85</v>
      </c>
      <c r="P679" t="s">
        <v>91</v>
      </c>
    </row>
    <row r="680" spans="1:16" x14ac:dyDescent="0.3">
      <c r="A680">
        <v>679</v>
      </c>
      <c r="B680" s="1">
        <v>40574</v>
      </c>
      <c r="C680">
        <v>14</v>
      </c>
      <c r="D680" t="b">
        <v>0</v>
      </c>
      <c r="E680" t="s">
        <v>24</v>
      </c>
      <c r="F680" t="s">
        <v>31</v>
      </c>
      <c r="G680">
        <v>0.18</v>
      </c>
      <c r="H680">
        <v>0.19700000000000001</v>
      </c>
      <c r="I680">
        <v>0.55000000000000004</v>
      </c>
      <c r="J680">
        <v>0.1343</v>
      </c>
      <c r="K680">
        <v>1</v>
      </c>
      <c r="L680">
        <v>85</v>
      </c>
      <c r="M680">
        <v>86</v>
      </c>
      <c r="N680" t="s">
        <v>18</v>
      </c>
      <c r="O680" t="s">
        <v>85</v>
      </c>
      <c r="P680" t="s">
        <v>91</v>
      </c>
    </row>
    <row r="681" spans="1:16" x14ac:dyDescent="0.3">
      <c r="A681">
        <v>680</v>
      </c>
      <c r="B681" s="1">
        <v>40574</v>
      </c>
      <c r="C681">
        <v>15</v>
      </c>
      <c r="D681" t="b">
        <v>0</v>
      </c>
      <c r="E681" t="s">
        <v>24</v>
      </c>
      <c r="F681" t="s">
        <v>31</v>
      </c>
      <c r="G681">
        <v>0.16</v>
      </c>
      <c r="H681">
        <v>0.18179999999999999</v>
      </c>
      <c r="I681">
        <v>0.59</v>
      </c>
      <c r="J681">
        <v>0.1343</v>
      </c>
      <c r="K681">
        <v>3</v>
      </c>
      <c r="L681">
        <v>41</v>
      </c>
      <c r="M681">
        <v>44</v>
      </c>
      <c r="N681" t="s">
        <v>18</v>
      </c>
      <c r="O681" t="s">
        <v>85</v>
      </c>
      <c r="P681" t="s">
        <v>91</v>
      </c>
    </row>
    <row r="682" spans="1:16" x14ac:dyDescent="0.3">
      <c r="A682">
        <v>681</v>
      </c>
      <c r="B682" s="1">
        <v>40574</v>
      </c>
      <c r="C682">
        <v>16</v>
      </c>
      <c r="D682" t="b">
        <v>0</v>
      </c>
      <c r="E682" t="s">
        <v>24</v>
      </c>
      <c r="F682" t="s">
        <v>31</v>
      </c>
      <c r="G682">
        <v>0.16</v>
      </c>
      <c r="H682">
        <v>0.18179999999999999</v>
      </c>
      <c r="I682">
        <v>0.56000000000000005</v>
      </c>
      <c r="J682">
        <v>0.19400000000000001</v>
      </c>
      <c r="K682">
        <v>3</v>
      </c>
      <c r="L682">
        <v>83</v>
      </c>
      <c r="M682">
        <v>86</v>
      </c>
      <c r="N682" t="s">
        <v>18</v>
      </c>
      <c r="O682" t="s">
        <v>85</v>
      </c>
      <c r="P682" t="s">
        <v>91</v>
      </c>
    </row>
    <row r="683" spans="1:16" x14ac:dyDescent="0.3">
      <c r="A683">
        <v>682</v>
      </c>
      <c r="B683" s="1">
        <v>40574</v>
      </c>
      <c r="C683">
        <v>17</v>
      </c>
      <c r="D683" t="b">
        <v>0</v>
      </c>
      <c r="E683" t="s">
        <v>24</v>
      </c>
      <c r="F683" t="s">
        <v>31</v>
      </c>
      <c r="G683">
        <v>0.16</v>
      </c>
      <c r="H683">
        <v>0.1515</v>
      </c>
      <c r="I683">
        <v>0.59</v>
      </c>
      <c r="J683">
        <v>0.19400000000000001</v>
      </c>
      <c r="K683">
        <v>6</v>
      </c>
      <c r="L683">
        <v>155</v>
      </c>
      <c r="M683">
        <v>161</v>
      </c>
      <c r="N683" t="s">
        <v>18</v>
      </c>
      <c r="O683" t="s">
        <v>87</v>
      </c>
      <c r="P683" t="s">
        <v>91</v>
      </c>
    </row>
    <row r="684" spans="1:16" x14ac:dyDescent="0.3">
      <c r="A684">
        <v>683</v>
      </c>
      <c r="B684" s="1">
        <v>40574</v>
      </c>
      <c r="C684">
        <v>18</v>
      </c>
      <c r="D684" t="b">
        <v>0</v>
      </c>
      <c r="E684" t="s">
        <v>24</v>
      </c>
      <c r="F684" t="s">
        <v>31</v>
      </c>
      <c r="G684">
        <v>0.16</v>
      </c>
      <c r="H684">
        <v>0.1515</v>
      </c>
      <c r="I684">
        <v>0.55000000000000004</v>
      </c>
      <c r="J684">
        <v>0.22389999999999999</v>
      </c>
      <c r="K684">
        <v>3</v>
      </c>
      <c r="L684">
        <v>153</v>
      </c>
      <c r="M684">
        <v>156</v>
      </c>
      <c r="N684" t="s">
        <v>18</v>
      </c>
      <c r="O684" t="s">
        <v>87</v>
      </c>
      <c r="P684" t="s">
        <v>91</v>
      </c>
    </row>
    <row r="685" spans="1:16" x14ac:dyDescent="0.3">
      <c r="A685">
        <v>684</v>
      </c>
      <c r="B685" s="1">
        <v>40574</v>
      </c>
      <c r="C685">
        <v>19</v>
      </c>
      <c r="D685" t="b">
        <v>0</v>
      </c>
      <c r="E685" t="s">
        <v>24</v>
      </c>
      <c r="F685" t="s">
        <v>30</v>
      </c>
      <c r="G685">
        <v>0.3</v>
      </c>
      <c r="H685">
        <v>0.31819999999999998</v>
      </c>
      <c r="I685">
        <v>0.61</v>
      </c>
      <c r="J685">
        <v>0.1045</v>
      </c>
      <c r="K685">
        <v>3</v>
      </c>
      <c r="L685">
        <v>108</v>
      </c>
      <c r="M685">
        <v>111</v>
      </c>
      <c r="N685" t="s">
        <v>18</v>
      </c>
      <c r="O685" t="s">
        <v>87</v>
      </c>
      <c r="P685" t="s">
        <v>90</v>
      </c>
    </row>
    <row r="686" spans="1:16" x14ac:dyDescent="0.3">
      <c r="A686">
        <v>685</v>
      </c>
      <c r="B686" s="1">
        <v>40574</v>
      </c>
      <c r="C686">
        <v>20</v>
      </c>
      <c r="D686" t="b">
        <v>0</v>
      </c>
      <c r="E686" t="s">
        <v>24</v>
      </c>
      <c r="F686" t="s">
        <v>32</v>
      </c>
      <c r="G686">
        <v>0.16</v>
      </c>
      <c r="H686">
        <v>0.16669999999999999</v>
      </c>
      <c r="I686">
        <v>0.59</v>
      </c>
      <c r="J686">
        <v>0.16420000000000001</v>
      </c>
      <c r="K686">
        <v>0</v>
      </c>
      <c r="L686">
        <v>78</v>
      </c>
      <c r="M686">
        <v>78</v>
      </c>
      <c r="N686" t="s">
        <v>18</v>
      </c>
      <c r="O686" t="s">
        <v>85</v>
      </c>
      <c r="P686" t="s">
        <v>92</v>
      </c>
    </row>
    <row r="687" spans="1:16" x14ac:dyDescent="0.3">
      <c r="A687">
        <v>686</v>
      </c>
      <c r="B687" s="1">
        <v>40574</v>
      </c>
      <c r="C687">
        <v>21</v>
      </c>
      <c r="D687" t="b">
        <v>0</v>
      </c>
      <c r="E687" t="s">
        <v>24</v>
      </c>
      <c r="F687" t="s">
        <v>32</v>
      </c>
      <c r="G687">
        <v>0.16</v>
      </c>
      <c r="H687">
        <v>0.19700000000000001</v>
      </c>
      <c r="I687">
        <v>0.59</v>
      </c>
      <c r="J687">
        <v>8.9599999999999999E-2</v>
      </c>
      <c r="K687">
        <v>3</v>
      </c>
      <c r="L687">
        <v>53</v>
      </c>
      <c r="M687">
        <v>56</v>
      </c>
      <c r="N687" t="s">
        <v>18</v>
      </c>
      <c r="O687" t="s">
        <v>85</v>
      </c>
      <c r="P687" t="s">
        <v>92</v>
      </c>
    </row>
    <row r="688" spans="1:16" x14ac:dyDescent="0.3">
      <c r="A688">
        <v>687</v>
      </c>
      <c r="B688" s="1">
        <v>40574</v>
      </c>
      <c r="C688">
        <v>22</v>
      </c>
      <c r="D688" t="b">
        <v>0</v>
      </c>
      <c r="E688" t="s">
        <v>24</v>
      </c>
      <c r="F688" t="s">
        <v>31</v>
      </c>
      <c r="G688">
        <v>0.16</v>
      </c>
      <c r="H688">
        <v>0.18179999999999999</v>
      </c>
      <c r="I688">
        <v>0.59</v>
      </c>
      <c r="J688">
        <v>0.1045</v>
      </c>
      <c r="K688">
        <v>0</v>
      </c>
      <c r="L688">
        <v>34</v>
      </c>
      <c r="M688">
        <v>34</v>
      </c>
      <c r="N688" t="s">
        <v>18</v>
      </c>
      <c r="O688" t="s">
        <v>85</v>
      </c>
      <c r="P688" t="s">
        <v>91</v>
      </c>
    </row>
    <row r="689" spans="1:16" x14ac:dyDescent="0.3">
      <c r="A689">
        <v>688</v>
      </c>
      <c r="B689" s="1">
        <v>40574</v>
      </c>
      <c r="C689">
        <v>23</v>
      </c>
      <c r="D689" t="b">
        <v>0</v>
      </c>
      <c r="E689" t="s">
        <v>24</v>
      </c>
      <c r="F689" t="s">
        <v>31</v>
      </c>
      <c r="G689">
        <v>0.16</v>
      </c>
      <c r="H689">
        <v>0.19700000000000001</v>
      </c>
      <c r="I689">
        <v>0.64</v>
      </c>
      <c r="J689">
        <v>8.9599999999999999E-2</v>
      </c>
      <c r="K689">
        <v>2</v>
      </c>
      <c r="L689">
        <v>15</v>
      </c>
      <c r="M689">
        <v>17</v>
      </c>
      <c r="N689" t="s">
        <v>18</v>
      </c>
      <c r="O689" t="s">
        <v>85</v>
      </c>
      <c r="P689" t="s">
        <v>91</v>
      </c>
    </row>
    <row r="690" spans="1:16" x14ac:dyDescent="0.3">
      <c r="A690">
        <v>689</v>
      </c>
      <c r="B690" s="1">
        <v>40575</v>
      </c>
      <c r="C690">
        <v>0</v>
      </c>
      <c r="D690" t="b">
        <v>0</v>
      </c>
      <c r="E690" t="s">
        <v>25</v>
      </c>
      <c r="F690" t="s">
        <v>31</v>
      </c>
      <c r="G690">
        <v>0.16</v>
      </c>
      <c r="H690">
        <v>0.18179999999999999</v>
      </c>
      <c r="I690">
        <v>0.64</v>
      </c>
      <c r="J690">
        <v>0.1045</v>
      </c>
      <c r="K690">
        <v>2</v>
      </c>
      <c r="L690">
        <v>6</v>
      </c>
      <c r="M690">
        <v>8</v>
      </c>
      <c r="N690" t="s">
        <v>18</v>
      </c>
      <c r="O690" t="s">
        <v>85</v>
      </c>
      <c r="P690" t="s">
        <v>91</v>
      </c>
    </row>
    <row r="691" spans="1:16" x14ac:dyDescent="0.3">
      <c r="A691">
        <v>690</v>
      </c>
      <c r="B691" s="1">
        <v>40575</v>
      </c>
      <c r="C691">
        <v>1</v>
      </c>
      <c r="D691" t="b">
        <v>0</v>
      </c>
      <c r="E691" t="s">
        <v>25</v>
      </c>
      <c r="F691" t="s">
        <v>31</v>
      </c>
      <c r="G691">
        <v>0.16</v>
      </c>
      <c r="H691">
        <v>0.18179999999999999</v>
      </c>
      <c r="I691">
        <v>0.69</v>
      </c>
      <c r="J691">
        <v>0.1045</v>
      </c>
      <c r="K691">
        <v>0</v>
      </c>
      <c r="L691">
        <v>3</v>
      </c>
      <c r="M691">
        <v>3</v>
      </c>
      <c r="N691" t="s">
        <v>18</v>
      </c>
      <c r="O691" t="s">
        <v>85</v>
      </c>
      <c r="P691" t="s">
        <v>91</v>
      </c>
    </row>
    <row r="692" spans="1:16" x14ac:dyDescent="0.3">
      <c r="A692">
        <v>691</v>
      </c>
      <c r="B692" s="1">
        <v>40575</v>
      </c>
      <c r="C692">
        <v>2</v>
      </c>
      <c r="D692" t="b">
        <v>0</v>
      </c>
      <c r="E692" t="s">
        <v>25</v>
      </c>
      <c r="F692" t="s">
        <v>31</v>
      </c>
      <c r="G692">
        <v>0.16</v>
      </c>
      <c r="H692">
        <v>0.2273</v>
      </c>
      <c r="I692">
        <v>0.69</v>
      </c>
      <c r="J692">
        <v>0</v>
      </c>
      <c r="K692">
        <v>0</v>
      </c>
      <c r="L692">
        <v>2</v>
      </c>
      <c r="M692">
        <v>2</v>
      </c>
      <c r="N692" t="s">
        <v>18</v>
      </c>
      <c r="O692" t="s">
        <v>85</v>
      </c>
      <c r="P692" t="s">
        <v>91</v>
      </c>
    </row>
    <row r="693" spans="1:16" x14ac:dyDescent="0.3">
      <c r="A693">
        <v>692</v>
      </c>
      <c r="B693" s="1">
        <v>40575</v>
      </c>
      <c r="C693">
        <v>3</v>
      </c>
      <c r="D693" t="b">
        <v>0</v>
      </c>
      <c r="E693" t="s">
        <v>25</v>
      </c>
      <c r="F693" t="s">
        <v>31</v>
      </c>
      <c r="G693">
        <v>0.16</v>
      </c>
      <c r="H693">
        <v>0.2273</v>
      </c>
      <c r="I693">
        <v>0.69</v>
      </c>
      <c r="J693">
        <v>0</v>
      </c>
      <c r="K693">
        <v>0</v>
      </c>
      <c r="L693">
        <v>2</v>
      </c>
      <c r="M693">
        <v>2</v>
      </c>
      <c r="N693" t="s">
        <v>18</v>
      </c>
      <c r="O693" t="s">
        <v>85</v>
      </c>
      <c r="P693" t="s">
        <v>91</v>
      </c>
    </row>
    <row r="694" spans="1:16" x14ac:dyDescent="0.3">
      <c r="A694">
        <v>693</v>
      </c>
      <c r="B694" s="1">
        <v>40575</v>
      </c>
      <c r="C694">
        <v>5</v>
      </c>
      <c r="D694" t="b">
        <v>0</v>
      </c>
      <c r="E694" t="s">
        <v>25</v>
      </c>
      <c r="F694" t="s">
        <v>32</v>
      </c>
      <c r="G694">
        <v>0.14000000000000001</v>
      </c>
      <c r="H694">
        <v>0.21210000000000001</v>
      </c>
      <c r="I694">
        <v>0.93</v>
      </c>
      <c r="J694">
        <v>0</v>
      </c>
      <c r="K694">
        <v>0</v>
      </c>
      <c r="L694">
        <v>3</v>
      </c>
      <c r="M694">
        <v>3</v>
      </c>
      <c r="N694" t="s">
        <v>18</v>
      </c>
      <c r="O694" t="s">
        <v>85</v>
      </c>
      <c r="P694" t="s">
        <v>92</v>
      </c>
    </row>
    <row r="695" spans="1:16" x14ac:dyDescent="0.3">
      <c r="A695">
        <v>694</v>
      </c>
      <c r="B695" s="1">
        <v>40575</v>
      </c>
      <c r="C695">
        <v>6</v>
      </c>
      <c r="D695" t="b">
        <v>0</v>
      </c>
      <c r="E695" t="s">
        <v>25</v>
      </c>
      <c r="F695" t="s">
        <v>32</v>
      </c>
      <c r="G695">
        <v>0.14000000000000001</v>
      </c>
      <c r="H695">
        <v>0.21210000000000001</v>
      </c>
      <c r="I695">
        <v>0.93</v>
      </c>
      <c r="J695">
        <v>0</v>
      </c>
      <c r="K695">
        <v>0</v>
      </c>
      <c r="L695">
        <v>22</v>
      </c>
      <c r="M695">
        <v>22</v>
      </c>
      <c r="N695" t="s">
        <v>18</v>
      </c>
      <c r="O695" t="s">
        <v>85</v>
      </c>
      <c r="P695" t="s">
        <v>92</v>
      </c>
    </row>
    <row r="696" spans="1:16" x14ac:dyDescent="0.3">
      <c r="A696">
        <v>695</v>
      </c>
      <c r="B696" s="1">
        <v>40575</v>
      </c>
      <c r="C696">
        <v>7</v>
      </c>
      <c r="D696" t="b">
        <v>0</v>
      </c>
      <c r="E696" t="s">
        <v>25</v>
      </c>
      <c r="F696" t="s">
        <v>32</v>
      </c>
      <c r="G696">
        <v>0.16</v>
      </c>
      <c r="H696">
        <v>0.2273</v>
      </c>
      <c r="I696">
        <v>0.93</v>
      </c>
      <c r="J696">
        <v>0</v>
      </c>
      <c r="K696">
        <v>0</v>
      </c>
      <c r="L696">
        <v>52</v>
      </c>
      <c r="M696">
        <v>52</v>
      </c>
      <c r="N696" t="s">
        <v>18</v>
      </c>
      <c r="O696" t="s">
        <v>86</v>
      </c>
      <c r="P696" t="s">
        <v>92</v>
      </c>
    </row>
    <row r="697" spans="1:16" x14ac:dyDescent="0.3">
      <c r="A697">
        <v>696</v>
      </c>
      <c r="B697" s="1">
        <v>40575</v>
      </c>
      <c r="C697">
        <v>8</v>
      </c>
      <c r="D697" t="b">
        <v>0</v>
      </c>
      <c r="E697" t="s">
        <v>25</v>
      </c>
      <c r="F697" t="s">
        <v>32</v>
      </c>
      <c r="G697">
        <v>0.16</v>
      </c>
      <c r="H697">
        <v>0.2273</v>
      </c>
      <c r="I697">
        <v>0.93</v>
      </c>
      <c r="J697">
        <v>0</v>
      </c>
      <c r="K697">
        <v>3</v>
      </c>
      <c r="L697">
        <v>132</v>
      </c>
      <c r="M697">
        <v>135</v>
      </c>
      <c r="N697" t="s">
        <v>18</v>
      </c>
      <c r="O697" t="s">
        <v>86</v>
      </c>
      <c r="P697" t="s">
        <v>92</v>
      </c>
    </row>
    <row r="698" spans="1:16" x14ac:dyDescent="0.3">
      <c r="A698">
        <v>697</v>
      </c>
      <c r="B698" s="1">
        <v>40575</v>
      </c>
      <c r="C698">
        <v>9</v>
      </c>
      <c r="D698" t="b">
        <v>0</v>
      </c>
      <c r="E698" t="s">
        <v>25</v>
      </c>
      <c r="F698" t="s">
        <v>31</v>
      </c>
      <c r="G698">
        <v>0.16</v>
      </c>
      <c r="H698">
        <v>0.2273</v>
      </c>
      <c r="I698">
        <v>0.93</v>
      </c>
      <c r="J698">
        <v>0</v>
      </c>
      <c r="K698">
        <v>2</v>
      </c>
      <c r="L698">
        <v>114</v>
      </c>
      <c r="M698">
        <v>116</v>
      </c>
      <c r="N698" t="s">
        <v>18</v>
      </c>
      <c r="O698" t="s">
        <v>86</v>
      </c>
      <c r="P698" t="s">
        <v>91</v>
      </c>
    </row>
    <row r="699" spans="1:16" x14ac:dyDescent="0.3">
      <c r="A699">
        <v>698</v>
      </c>
      <c r="B699" s="1">
        <v>40575</v>
      </c>
      <c r="C699">
        <v>10</v>
      </c>
      <c r="D699" t="b">
        <v>0</v>
      </c>
      <c r="E699" t="s">
        <v>25</v>
      </c>
      <c r="F699" t="s">
        <v>31</v>
      </c>
      <c r="G699">
        <v>0.16</v>
      </c>
      <c r="H699">
        <v>0.2273</v>
      </c>
      <c r="I699">
        <v>0.93</v>
      </c>
      <c r="J699">
        <v>0</v>
      </c>
      <c r="K699">
        <v>0</v>
      </c>
      <c r="L699">
        <v>47</v>
      </c>
      <c r="M699">
        <v>47</v>
      </c>
      <c r="N699" t="s">
        <v>18</v>
      </c>
      <c r="O699" t="s">
        <v>85</v>
      </c>
      <c r="P699" t="s">
        <v>91</v>
      </c>
    </row>
    <row r="700" spans="1:16" x14ac:dyDescent="0.3">
      <c r="A700">
        <v>699</v>
      </c>
      <c r="B700" s="1">
        <v>40575</v>
      </c>
      <c r="C700">
        <v>11</v>
      </c>
      <c r="D700" t="b">
        <v>0</v>
      </c>
      <c r="E700" t="s">
        <v>25</v>
      </c>
      <c r="F700" t="s">
        <v>31</v>
      </c>
      <c r="G700">
        <v>0.18</v>
      </c>
      <c r="H700">
        <v>0.2424</v>
      </c>
      <c r="I700">
        <v>0.86</v>
      </c>
      <c r="J700">
        <v>0</v>
      </c>
      <c r="K700">
        <v>2</v>
      </c>
      <c r="L700">
        <v>49</v>
      </c>
      <c r="M700">
        <v>51</v>
      </c>
      <c r="N700" t="s">
        <v>18</v>
      </c>
      <c r="O700" t="s">
        <v>85</v>
      </c>
      <c r="P700" t="s">
        <v>91</v>
      </c>
    </row>
    <row r="701" spans="1:16" x14ac:dyDescent="0.3">
      <c r="A701">
        <v>700</v>
      </c>
      <c r="B701" s="1">
        <v>40575</v>
      </c>
      <c r="C701">
        <v>12</v>
      </c>
      <c r="D701" t="b">
        <v>0</v>
      </c>
      <c r="E701" t="s">
        <v>25</v>
      </c>
      <c r="F701" t="s">
        <v>31</v>
      </c>
      <c r="G701">
        <v>0.2</v>
      </c>
      <c r="H701">
        <v>0.2576</v>
      </c>
      <c r="I701">
        <v>0.86</v>
      </c>
      <c r="J701">
        <v>0</v>
      </c>
      <c r="K701">
        <v>2</v>
      </c>
      <c r="L701">
        <v>53</v>
      </c>
      <c r="M701">
        <v>55</v>
      </c>
      <c r="N701" t="s">
        <v>18</v>
      </c>
      <c r="O701" t="s">
        <v>85</v>
      </c>
      <c r="P701" t="s">
        <v>91</v>
      </c>
    </row>
    <row r="702" spans="1:16" x14ac:dyDescent="0.3">
      <c r="A702">
        <v>701</v>
      </c>
      <c r="B702" s="1">
        <v>40575</v>
      </c>
      <c r="C702">
        <v>13</v>
      </c>
      <c r="D702" t="b">
        <v>0</v>
      </c>
      <c r="E702" t="s">
        <v>25</v>
      </c>
      <c r="F702" t="s">
        <v>31</v>
      </c>
      <c r="G702">
        <v>0.2</v>
      </c>
      <c r="H702">
        <v>0.2576</v>
      </c>
      <c r="I702">
        <v>0.86</v>
      </c>
      <c r="J702">
        <v>0</v>
      </c>
      <c r="K702">
        <v>3</v>
      </c>
      <c r="L702">
        <v>49</v>
      </c>
      <c r="M702">
        <v>52</v>
      </c>
      <c r="N702" t="s">
        <v>18</v>
      </c>
      <c r="O702" t="s">
        <v>85</v>
      </c>
      <c r="P702" t="s">
        <v>91</v>
      </c>
    </row>
    <row r="703" spans="1:16" x14ac:dyDescent="0.3">
      <c r="A703">
        <v>702</v>
      </c>
      <c r="B703" s="1">
        <v>40575</v>
      </c>
      <c r="C703">
        <v>14</v>
      </c>
      <c r="D703" t="b">
        <v>0</v>
      </c>
      <c r="E703" t="s">
        <v>25</v>
      </c>
      <c r="F703" t="s">
        <v>31</v>
      </c>
      <c r="G703">
        <v>0.22</v>
      </c>
      <c r="H703">
        <v>0.2576</v>
      </c>
      <c r="I703">
        <v>0.8</v>
      </c>
      <c r="J703">
        <v>8.9599999999999999E-2</v>
      </c>
      <c r="K703">
        <v>5</v>
      </c>
      <c r="L703">
        <v>49</v>
      </c>
      <c r="M703">
        <v>54</v>
      </c>
      <c r="N703" t="s">
        <v>18</v>
      </c>
      <c r="O703" t="s">
        <v>85</v>
      </c>
      <c r="P703" t="s">
        <v>91</v>
      </c>
    </row>
    <row r="704" spans="1:16" x14ac:dyDescent="0.3">
      <c r="A704">
        <v>703</v>
      </c>
      <c r="B704" s="1">
        <v>40575</v>
      </c>
      <c r="C704">
        <v>15</v>
      </c>
      <c r="D704" t="b">
        <v>0</v>
      </c>
      <c r="E704" t="s">
        <v>25</v>
      </c>
      <c r="F704" t="s">
        <v>31</v>
      </c>
      <c r="G704">
        <v>0.24</v>
      </c>
      <c r="H704">
        <v>0.28789999999999999</v>
      </c>
      <c r="I704">
        <v>0.75</v>
      </c>
      <c r="J704">
        <v>0</v>
      </c>
      <c r="K704">
        <v>7</v>
      </c>
      <c r="L704">
        <v>45</v>
      </c>
      <c r="M704">
        <v>52</v>
      </c>
      <c r="N704" t="s">
        <v>18</v>
      </c>
      <c r="O704" t="s">
        <v>85</v>
      </c>
      <c r="P704" t="s">
        <v>91</v>
      </c>
    </row>
    <row r="705" spans="1:16" x14ac:dyDescent="0.3">
      <c r="A705">
        <v>704</v>
      </c>
      <c r="B705" s="1">
        <v>40575</v>
      </c>
      <c r="C705">
        <v>16</v>
      </c>
      <c r="D705" t="b">
        <v>0</v>
      </c>
      <c r="E705" t="s">
        <v>25</v>
      </c>
      <c r="F705" t="s">
        <v>31</v>
      </c>
      <c r="G705">
        <v>0.24</v>
      </c>
      <c r="H705">
        <v>0.2424</v>
      </c>
      <c r="I705">
        <v>0.75</v>
      </c>
      <c r="J705">
        <v>0.1343</v>
      </c>
      <c r="K705">
        <v>3</v>
      </c>
      <c r="L705">
        <v>61</v>
      </c>
      <c r="M705">
        <v>64</v>
      </c>
      <c r="N705" t="s">
        <v>18</v>
      </c>
      <c r="O705" t="s">
        <v>85</v>
      </c>
      <c r="P705" t="s">
        <v>91</v>
      </c>
    </row>
    <row r="706" spans="1:16" x14ac:dyDescent="0.3">
      <c r="A706">
        <v>705</v>
      </c>
      <c r="B706" s="1">
        <v>40575</v>
      </c>
      <c r="C706">
        <v>17</v>
      </c>
      <c r="D706" t="b">
        <v>0</v>
      </c>
      <c r="E706" t="s">
        <v>25</v>
      </c>
      <c r="F706" t="s">
        <v>31</v>
      </c>
      <c r="G706">
        <v>0.24</v>
      </c>
      <c r="H706">
        <v>0.28789999999999999</v>
      </c>
      <c r="I706">
        <v>0.75</v>
      </c>
      <c r="J706">
        <v>0</v>
      </c>
      <c r="K706">
        <v>4</v>
      </c>
      <c r="L706">
        <v>172</v>
      </c>
      <c r="M706">
        <v>176</v>
      </c>
      <c r="N706" t="s">
        <v>18</v>
      </c>
      <c r="O706" t="s">
        <v>87</v>
      </c>
      <c r="P706" t="s">
        <v>91</v>
      </c>
    </row>
    <row r="707" spans="1:16" x14ac:dyDescent="0.3">
      <c r="A707">
        <v>706</v>
      </c>
      <c r="B707" s="1">
        <v>40575</v>
      </c>
      <c r="C707">
        <v>18</v>
      </c>
      <c r="D707" t="b">
        <v>0</v>
      </c>
      <c r="E707" t="s">
        <v>25</v>
      </c>
      <c r="F707" t="s">
        <v>31</v>
      </c>
      <c r="G707">
        <v>0.24</v>
      </c>
      <c r="H707">
        <v>0.2576</v>
      </c>
      <c r="I707">
        <v>0.81</v>
      </c>
      <c r="J707">
        <v>0.1045</v>
      </c>
      <c r="K707">
        <v>3</v>
      </c>
      <c r="L707">
        <v>165</v>
      </c>
      <c r="M707">
        <v>168</v>
      </c>
      <c r="N707" t="s">
        <v>18</v>
      </c>
      <c r="O707" t="s">
        <v>87</v>
      </c>
      <c r="P707" t="s">
        <v>91</v>
      </c>
    </row>
    <row r="708" spans="1:16" x14ac:dyDescent="0.3">
      <c r="A708">
        <v>707</v>
      </c>
      <c r="B708" s="1">
        <v>40575</v>
      </c>
      <c r="C708">
        <v>19</v>
      </c>
      <c r="D708" t="b">
        <v>0</v>
      </c>
      <c r="E708" t="s">
        <v>25</v>
      </c>
      <c r="F708" t="s">
        <v>31</v>
      </c>
      <c r="G708">
        <v>0.24</v>
      </c>
      <c r="H708">
        <v>0.2424</v>
      </c>
      <c r="I708">
        <v>0.81</v>
      </c>
      <c r="J708">
        <v>0.1343</v>
      </c>
      <c r="K708">
        <v>3</v>
      </c>
      <c r="L708">
        <v>105</v>
      </c>
      <c r="M708">
        <v>108</v>
      </c>
      <c r="N708" t="s">
        <v>18</v>
      </c>
      <c r="O708" t="s">
        <v>87</v>
      </c>
      <c r="P708" t="s">
        <v>91</v>
      </c>
    </row>
    <row r="709" spans="1:16" x14ac:dyDescent="0.3">
      <c r="A709">
        <v>708</v>
      </c>
      <c r="B709" s="1">
        <v>40575</v>
      </c>
      <c r="C709">
        <v>20</v>
      </c>
      <c r="D709" t="b">
        <v>0</v>
      </c>
      <c r="E709" t="s">
        <v>25</v>
      </c>
      <c r="F709" t="s">
        <v>31</v>
      </c>
      <c r="G709">
        <v>0.22</v>
      </c>
      <c r="H709">
        <v>0.2273</v>
      </c>
      <c r="I709">
        <v>0.87</v>
      </c>
      <c r="J709">
        <v>0.1343</v>
      </c>
      <c r="K709">
        <v>5</v>
      </c>
      <c r="L709">
        <v>69</v>
      </c>
      <c r="M709">
        <v>74</v>
      </c>
      <c r="N709" t="s">
        <v>18</v>
      </c>
      <c r="O709" t="s">
        <v>85</v>
      </c>
      <c r="P709" t="s">
        <v>91</v>
      </c>
    </row>
    <row r="710" spans="1:16" x14ac:dyDescent="0.3">
      <c r="A710">
        <v>709</v>
      </c>
      <c r="B710" s="1">
        <v>40575</v>
      </c>
      <c r="C710">
        <v>21</v>
      </c>
      <c r="D710" t="b">
        <v>0</v>
      </c>
      <c r="E710" t="s">
        <v>25</v>
      </c>
      <c r="F710" t="s">
        <v>31</v>
      </c>
      <c r="G710">
        <v>0.22</v>
      </c>
      <c r="H710">
        <v>0.2273</v>
      </c>
      <c r="I710">
        <v>0.87</v>
      </c>
      <c r="J710">
        <v>0.1343</v>
      </c>
      <c r="K710">
        <v>0</v>
      </c>
      <c r="L710">
        <v>64</v>
      </c>
      <c r="M710">
        <v>64</v>
      </c>
      <c r="N710" t="s">
        <v>18</v>
      </c>
      <c r="O710" t="s">
        <v>85</v>
      </c>
      <c r="P710" t="s">
        <v>91</v>
      </c>
    </row>
    <row r="711" spans="1:16" x14ac:dyDescent="0.3">
      <c r="A711">
        <v>710</v>
      </c>
      <c r="B711" s="1">
        <v>40575</v>
      </c>
      <c r="C711">
        <v>22</v>
      </c>
      <c r="D711" t="b">
        <v>0</v>
      </c>
      <c r="E711" t="s">
        <v>25</v>
      </c>
      <c r="F711" t="s">
        <v>31</v>
      </c>
      <c r="G711">
        <v>0.22</v>
      </c>
      <c r="H711">
        <v>0.2576</v>
      </c>
      <c r="I711">
        <v>0.87</v>
      </c>
      <c r="J711">
        <v>8.9599999999999999E-2</v>
      </c>
      <c r="K711">
        <v>2</v>
      </c>
      <c r="L711">
        <v>34</v>
      </c>
      <c r="M711">
        <v>36</v>
      </c>
      <c r="N711" t="s">
        <v>18</v>
      </c>
      <c r="O711" t="s">
        <v>85</v>
      </c>
      <c r="P711" t="s">
        <v>91</v>
      </c>
    </row>
    <row r="712" spans="1:16" x14ac:dyDescent="0.3">
      <c r="A712">
        <v>711</v>
      </c>
      <c r="B712" s="1">
        <v>40575</v>
      </c>
      <c r="C712">
        <v>23</v>
      </c>
      <c r="D712" t="b">
        <v>0</v>
      </c>
      <c r="E712" t="s">
        <v>25</v>
      </c>
      <c r="F712" t="s">
        <v>32</v>
      </c>
      <c r="G712">
        <v>0.2</v>
      </c>
      <c r="H712">
        <v>0.19700000000000001</v>
      </c>
      <c r="I712">
        <v>0.93</v>
      </c>
      <c r="J712">
        <v>0.19400000000000001</v>
      </c>
      <c r="K712">
        <v>1</v>
      </c>
      <c r="L712">
        <v>15</v>
      </c>
      <c r="M712">
        <v>16</v>
      </c>
      <c r="N712" t="s">
        <v>18</v>
      </c>
      <c r="O712" t="s">
        <v>85</v>
      </c>
      <c r="P712" t="s">
        <v>92</v>
      </c>
    </row>
    <row r="713" spans="1:16" x14ac:dyDescent="0.3">
      <c r="A713">
        <v>712</v>
      </c>
      <c r="B713" s="1">
        <v>40576</v>
      </c>
      <c r="C713">
        <v>0</v>
      </c>
      <c r="D713" t="b">
        <v>0</v>
      </c>
      <c r="E713" t="s">
        <v>26</v>
      </c>
      <c r="F713" t="s">
        <v>32</v>
      </c>
      <c r="G713">
        <v>0.22</v>
      </c>
      <c r="H713">
        <v>0.2424</v>
      </c>
      <c r="I713">
        <v>0.93</v>
      </c>
      <c r="J713">
        <v>0.1045</v>
      </c>
      <c r="K713">
        <v>0</v>
      </c>
      <c r="L713">
        <v>2</v>
      </c>
      <c r="M713">
        <v>2</v>
      </c>
      <c r="N713" t="s">
        <v>18</v>
      </c>
      <c r="O713" t="s">
        <v>85</v>
      </c>
      <c r="P713" t="s">
        <v>92</v>
      </c>
    </row>
    <row r="714" spans="1:16" x14ac:dyDescent="0.3">
      <c r="A714">
        <v>713</v>
      </c>
      <c r="B714" s="1">
        <v>40576</v>
      </c>
      <c r="C714">
        <v>1</v>
      </c>
      <c r="D714" t="b">
        <v>0</v>
      </c>
      <c r="E714" t="s">
        <v>26</v>
      </c>
      <c r="F714" t="s">
        <v>32</v>
      </c>
      <c r="G714">
        <v>0.22</v>
      </c>
      <c r="H714">
        <v>0.2273</v>
      </c>
      <c r="I714">
        <v>0.93</v>
      </c>
      <c r="J714">
        <v>0.19400000000000001</v>
      </c>
      <c r="K714">
        <v>0</v>
      </c>
      <c r="L714">
        <v>3</v>
      </c>
      <c r="M714">
        <v>3</v>
      </c>
      <c r="N714" t="s">
        <v>18</v>
      </c>
      <c r="O714" t="s">
        <v>85</v>
      </c>
      <c r="P714" t="s">
        <v>92</v>
      </c>
    </row>
    <row r="715" spans="1:16" x14ac:dyDescent="0.3">
      <c r="A715">
        <v>714</v>
      </c>
      <c r="B715" s="1">
        <v>40576</v>
      </c>
      <c r="C715">
        <v>2</v>
      </c>
      <c r="D715" t="b">
        <v>0</v>
      </c>
      <c r="E715" t="s">
        <v>26</v>
      </c>
      <c r="F715" t="s">
        <v>32</v>
      </c>
      <c r="G715">
        <v>0.22</v>
      </c>
      <c r="H715">
        <v>0.2273</v>
      </c>
      <c r="I715">
        <v>0.93</v>
      </c>
      <c r="J715">
        <v>0.1343</v>
      </c>
      <c r="K715">
        <v>4</v>
      </c>
      <c r="L715">
        <v>0</v>
      </c>
      <c r="M715">
        <v>4</v>
      </c>
      <c r="N715" t="s">
        <v>18</v>
      </c>
      <c r="O715" t="s">
        <v>85</v>
      </c>
      <c r="P715" t="s">
        <v>92</v>
      </c>
    </row>
    <row r="716" spans="1:16" x14ac:dyDescent="0.3">
      <c r="A716">
        <v>715</v>
      </c>
      <c r="B716" s="1">
        <v>40576</v>
      </c>
      <c r="C716">
        <v>3</v>
      </c>
      <c r="D716" t="b">
        <v>0</v>
      </c>
      <c r="E716" t="s">
        <v>26</v>
      </c>
      <c r="F716" t="s">
        <v>32</v>
      </c>
      <c r="G716">
        <v>0.22</v>
      </c>
      <c r="H716">
        <v>0.2273</v>
      </c>
      <c r="I716">
        <v>0.93</v>
      </c>
      <c r="J716">
        <v>0.1343</v>
      </c>
      <c r="K716">
        <v>0</v>
      </c>
      <c r="L716">
        <v>1</v>
      </c>
      <c r="M716">
        <v>1</v>
      </c>
      <c r="N716" t="s">
        <v>18</v>
      </c>
      <c r="O716" t="s">
        <v>85</v>
      </c>
      <c r="P716" t="s">
        <v>92</v>
      </c>
    </row>
    <row r="717" spans="1:16" x14ac:dyDescent="0.3">
      <c r="A717">
        <v>716</v>
      </c>
      <c r="B717" s="1">
        <v>40576</v>
      </c>
      <c r="C717">
        <v>4</v>
      </c>
      <c r="D717" t="b">
        <v>0</v>
      </c>
      <c r="E717" t="s">
        <v>26</v>
      </c>
      <c r="F717" t="s">
        <v>32</v>
      </c>
      <c r="G717">
        <v>0.22</v>
      </c>
      <c r="H717">
        <v>0.21210000000000001</v>
      </c>
      <c r="I717">
        <v>0.93</v>
      </c>
      <c r="J717">
        <v>0.28360000000000002</v>
      </c>
      <c r="K717">
        <v>0</v>
      </c>
      <c r="L717">
        <v>1</v>
      </c>
      <c r="M717">
        <v>1</v>
      </c>
      <c r="N717" t="s">
        <v>18</v>
      </c>
      <c r="O717" t="s">
        <v>85</v>
      </c>
      <c r="P717" t="s">
        <v>92</v>
      </c>
    </row>
    <row r="718" spans="1:16" x14ac:dyDescent="0.3">
      <c r="A718">
        <v>717</v>
      </c>
      <c r="B718" s="1">
        <v>40576</v>
      </c>
      <c r="C718">
        <v>5</v>
      </c>
      <c r="D718" t="b">
        <v>0</v>
      </c>
      <c r="E718" t="s">
        <v>26</v>
      </c>
      <c r="F718" t="s">
        <v>32</v>
      </c>
      <c r="G718">
        <v>0.22</v>
      </c>
      <c r="H718">
        <v>0.2424</v>
      </c>
      <c r="I718">
        <v>0.93</v>
      </c>
      <c r="J718">
        <v>0.1045</v>
      </c>
      <c r="K718">
        <v>0</v>
      </c>
      <c r="L718">
        <v>3</v>
      </c>
      <c r="M718">
        <v>3</v>
      </c>
      <c r="N718" t="s">
        <v>18</v>
      </c>
      <c r="O718" t="s">
        <v>85</v>
      </c>
      <c r="P718" t="s">
        <v>92</v>
      </c>
    </row>
    <row r="719" spans="1:16" x14ac:dyDescent="0.3">
      <c r="A719">
        <v>718</v>
      </c>
      <c r="B719" s="1">
        <v>40576</v>
      </c>
      <c r="C719">
        <v>6</v>
      </c>
      <c r="D719" t="b">
        <v>0</v>
      </c>
      <c r="E719" t="s">
        <v>26</v>
      </c>
      <c r="F719" t="s">
        <v>32</v>
      </c>
      <c r="G719">
        <v>0.22</v>
      </c>
      <c r="H719">
        <v>0.2424</v>
      </c>
      <c r="I719">
        <v>0.93</v>
      </c>
      <c r="J719">
        <v>0.1045</v>
      </c>
      <c r="K719">
        <v>1</v>
      </c>
      <c r="L719">
        <v>17</v>
      </c>
      <c r="M719">
        <v>18</v>
      </c>
      <c r="N719" t="s">
        <v>18</v>
      </c>
      <c r="O719" t="s">
        <v>85</v>
      </c>
      <c r="P719" t="s">
        <v>92</v>
      </c>
    </row>
    <row r="720" spans="1:16" x14ac:dyDescent="0.3">
      <c r="A720">
        <v>719</v>
      </c>
      <c r="B720" s="1">
        <v>40576</v>
      </c>
      <c r="C720">
        <v>7</v>
      </c>
      <c r="D720" t="b">
        <v>0</v>
      </c>
      <c r="E720" t="s">
        <v>26</v>
      </c>
      <c r="F720" t="s">
        <v>32</v>
      </c>
      <c r="G720">
        <v>0.22</v>
      </c>
      <c r="H720">
        <v>0.21210000000000001</v>
      </c>
      <c r="I720">
        <v>0.93</v>
      </c>
      <c r="J720">
        <v>0.22389999999999999</v>
      </c>
      <c r="K720">
        <v>1</v>
      </c>
      <c r="L720">
        <v>48</v>
      </c>
      <c r="M720">
        <v>49</v>
      </c>
      <c r="N720" t="s">
        <v>18</v>
      </c>
      <c r="O720" t="s">
        <v>86</v>
      </c>
      <c r="P720" t="s">
        <v>92</v>
      </c>
    </row>
    <row r="721" spans="1:16" x14ac:dyDescent="0.3">
      <c r="A721">
        <v>720</v>
      </c>
      <c r="B721" s="1">
        <v>40576</v>
      </c>
      <c r="C721">
        <v>8</v>
      </c>
      <c r="D721" t="b">
        <v>0</v>
      </c>
      <c r="E721" t="s">
        <v>26</v>
      </c>
      <c r="F721" t="s">
        <v>32</v>
      </c>
      <c r="G721">
        <v>0.22</v>
      </c>
      <c r="H721">
        <v>0.21210000000000001</v>
      </c>
      <c r="I721">
        <v>0.93</v>
      </c>
      <c r="J721">
        <v>0.22389999999999999</v>
      </c>
      <c r="K721">
        <v>1</v>
      </c>
      <c r="L721">
        <v>154</v>
      </c>
      <c r="M721">
        <v>155</v>
      </c>
      <c r="N721" t="s">
        <v>18</v>
      </c>
      <c r="O721" t="s">
        <v>86</v>
      </c>
      <c r="P721" t="s">
        <v>92</v>
      </c>
    </row>
    <row r="722" spans="1:16" x14ac:dyDescent="0.3">
      <c r="A722">
        <v>721</v>
      </c>
      <c r="B722" s="1">
        <v>40576</v>
      </c>
      <c r="C722">
        <v>9</v>
      </c>
      <c r="D722" t="b">
        <v>0</v>
      </c>
      <c r="E722" t="s">
        <v>26</v>
      </c>
      <c r="F722" t="s">
        <v>31</v>
      </c>
      <c r="G722">
        <v>0.24</v>
      </c>
      <c r="H722">
        <v>0.2576</v>
      </c>
      <c r="I722">
        <v>0.93</v>
      </c>
      <c r="J722">
        <v>8.9599999999999999E-2</v>
      </c>
      <c r="K722">
        <v>4</v>
      </c>
      <c r="L722">
        <v>119</v>
      </c>
      <c r="M722">
        <v>123</v>
      </c>
      <c r="N722" t="s">
        <v>18</v>
      </c>
      <c r="O722" t="s">
        <v>86</v>
      </c>
      <c r="P722" t="s">
        <v>91</v>
      </c>
    </row>
    <row r="723" spans="1:16" x14ac:dyDescent="0.3">
      <c r="A723">
        <v>722</v>
      </c>
      <c r="B723" s="1">
        <v>40576</v>
      </c>
      <c r="C723">
        <v>10</v>
      </c>
      <c r="D723" t="b">
        <v>0</v>
      </c>
      <c r="E723" t="s">
        <v>26</v>
      </c>
      <c r="F723" t="s">
        <v>31</v>
      </c>
      <c r="G723">
        <v>0.22</v>
      </c>
      <c r="H723">
        <v>0.2727</v>
      </c>
      <c r="I723">
        <v>1</v>
      </c>
      <c r="J723">
        <v>0</v>
      </c>
      <c r="K723">
        <v>2</v>
      </c>
      <c r="L723">
        <v>59</v>
      </c>
      <c r="M723">
        <v>61</v>
      </c>
      <c r="N723" t="s">
        <v>18</v>
      </c>
      <c r="O723" t="s">
        <v>85</v>
      </c>
      <c r="P723" t="s">
        <v>91</v>
      </c>
    </row>
    <row r="724" spans="1:16" x14ac:dyDescent="0.3">
      <c r="A724">
        <v>723</v>
      </c>
      <c r="B724" s="1">
        <v>40576</v>
      </c>
      <c r="C724">
        <v>11</v>
      </c>
      <c r="D724" t="b">
        <v>0</v>
      </c>
      <c r="E724" t="s">
        <v>26</v>
      </c>
      <c r="F724" t="s">
        <v>31</v>
      </c>
      <c r="G724">
        <v>0.24</v>
      </c>
      <c r="H724">
        <v>0.2273</v>
      </c>
      <c r="I724">
        <v>0.93</v>
      </c>
      <c r="J724">
        <v>0.19400000000000001</v>
      </c>
      <c r="K724">
        <v>5</v>
      </c>
      <c r="L724">
        <v>47</v>
      </c>
      <c r="M724">
        <v>52</v>
      </c>
      <c r="N724" t="s">
        <v>18</v>
      </c>
      <c r="O724" t="s">
        <v>85</v>
      </c>
      <c r="P724" t="s">
        <v>91</v>
      </c>
    </row>
    <row r="725" spans="1:16" x14ac:dyDescent="0.3">
      <c r="A725">
        <v>724</v>
      </c>
      <c r="B725" s="1">
        <v>40576</v>
      </c>
      <c r="C725">
        <v>12</v>
      </c>
      <c r="D725" t="b">
        <v>0</v>
      </c>
      <c r="E725" t="s">
        <v>26</v>
      </c>
      <c r="F725" t="s">
        <v>31</v>
      </c>
      <c r="G725">
        <v>0.24</v>
      </c>
      <c r="H725">
        <v>0.2273</v>
      </c>
      <c r="I725">
        <v>0.93</v>
      </c>
      <c r="J725">
        <v>0.22389999999999999</v>
      </c>
      <c r="K725">
        <v>3</v>
      </c>
      <c r="L725">
        <v>61</v>
      </c>
      <c r="M725">
        <v>64</v>
      </c>
      <c r="N725" t="s">
        <v>18</v>
      </c>
      <c r="O725" t="s">
        <v>85</v>
      </c>
      <c r="P725" t="s">
        <v>91</v>
      </c>
    </row>
    <row r="726" spans="1:16" x14ac:dyDescent="0.3">
      <c r="A726">
        <v>725</v>
      </c>
      <c r="B726" s="1">
        <v>40576</v>
      </c>
      <c r="C726">
        <v>13</v>
      </c>
      <c r="D726" t="b">
        <v>0</v>
      </c>
      <c r="E726" t="s">
        <v>26</v>
      </c>
      <c r="F726" t="s">
        <v>30</v>
      </c>
      <c r="G726">
        <v>0.34</v>
      </c>
      <c r="H726">
        <v>0.33329999999999999</v>
      </c>
      <c r="I726">
        <v>0.93</v>
      </c>
      <c r="J726">
        <v>0.16420000000000001</v>
      </c>
      <c r="K726">
        <v>1</v>
      </c>
      <c r="L726">
        <v>74</v>
      </c>
      <c r="M726">
        <v>75</v>
      </c>
      <c r="N726" t="s">
        <v>18</v>
      </c>
      <c r="O726" t="s">
        <v>85</v>
      </c>
      <c r="P726" t="s">
        <v>90</v>
      </c>
    </row>
    <row r="727" spans="1:16" x14ac:dyDescent="0.3">
      <c r="A727">
        <v>726</v>
      </c>
      <c r="B727" s="1">
        <v>40576</v>
      </c>
      <c r="C727">
        <v>14</v>
      </c>
      <c r="D727" t="b">
        <v>0</v>
      </c>
      <c r="E727" t="s">
        <v>26</v>
      </c>
      <c r="F727" t="s">
        <v>30</v>
      </c>
      <c r="G727">
        <v>0.38</v>
      </c>
      <c r="H727">
        <v>0.39389999999999997</v>
      </c>
      <c r="I727">
        <v>0.82</v>
      </c>
      <c r="J727">
        <v>0.3881</v>
      </c>
      <c r="K727">
        <v>2</v>
      </c>
      <c r="L727">
        <v>61</v>
      </c>
      <c r="M727">
        <v>63</v>
      </c>
      <c r="N727" t="s">
        <v>18</v>
      </c>
      <c r="O727" t="s">
        <v>85</v>
      </c>
      <c r="P727" t="s">
        <v>90</v>
      </c>
    </row>
    <row r="728" spans="1:16" x14ac:dyDescent="0.3">
      <c r="A728">
        <v>727</v>
      </c>
      <c r="B728" s="1">
        <v>40576</v>
      </c>
      <c r="C728">
        <v>15</v>
      </c>
      <c r="D728" t="b">
        <v>0</v>
      </c>
      <c r="E728" t="s">
        <v>26</v>
      </c>
      <c r="F728" t="s">
        <v>30</v>
      </c>
      <c r="G728">
        <v>0.38</v>
      </c>
      <c r="H728">
        <v>0.39389999999999997</v>
      </c>
      <c r="I728">
        <v>0.76</v>
      </c>
      <c r="J728">
        <v>0.32840000000000003</v>
      </c>
      <c r="K728">
        <v>10</v>
      </c>
      <c r="L728">
        <v>66</v>
      </c>
      <c r="M728">
        <v>76</v>
      </c>
      <c r="N728" t="s">
        <v>18</v>
      </c>
      <c r="O728" t="s">
        <v>85</v>
      </c>
      <c r="P728" t="s">
        <v>90</v>
      </c>
    </row>
    <row r="729" spans="1:16" x14ac:dyDescent="0.3">
      <c r="A729">
        <v>728</v>
      </c>
      <c r="B729" s="1">
        <v>40576</v>
      </c>
      <c r="C729">
        <v>16</v>
      </c>
      <c r="D729" t="b">
        <v>0</v>
      </c>
      <c r="E729" t="s">
        <v>26</v>
      </c>
      <c r="F729" t="s">
        <v>30</v>
      </c>
      <c r="G729">
        <v>0.36</v>
      </c>
      <c r="H729">
        <v>0.33329999999999999</v>
      </c>
      <c r="I729">
        <v>0.71</v>
      </c>
      <c r="J729">
        <v>0.29849999999999999</v>
      </c>
      <c r="K729">
        <v>8</v>
      </c>
      <c r="L729">
        <v>95</v>
      </c>
      <c r="M729">
        <v>103</v>
      </c>
      <c r="N729" t="s">
        <v>18</v>
      </c>
      <c r="O729" t="s">
        <v>85</v>
      </c>
      <c r="P729" t="s">
        <v>90</v>
      </c>
    </row>
    <row r="730" spans="1:16" x14ac:dyDescent="0.3">
      <c r="A730">
        <v>729</v>
      </c>
      <c r="B730" s="1">
        <v>40576</v>
      </c>
      <c r="C730">
        <v>17</v>
      </c>
      <c r="D730" t="b">
        <v>0</v>
      </c>
      <c r="E730" t="s">
        <v>26</v>
      </c>
      <c r="F730" t="s">
        <v>30</v>
      </c>
      <c r="G730">
        <v>0.36</v>
      </c>
      <c r="H730">
        <v>0.31819999999999998</v>
      </c>
      <c r="I730">
        <v>0.53</v>
      </c>
      <c r="J730">
        <v>0.52239999999999998</v>
      </c>
      <c r="K730">
        <v>7</v>
      </c>
      <c r="L730">
        <v>183</v>
      </c>
      <c r="M730">
        <v>190</v>
      </c>
      <c r="N730" t="s">
        <v>18</v>
      </c>
      <c r="O730" t="s">
        <v>87</v>
      </c>
      <c r="P730" t="s">
        <v>90</v>
      </c>
    </row>
    <row r="731" spans="1:16" x14ac:dyDescent="0.3">
      <c r="A731">
        <v>730</v>
      </c>
      <c r="B731" s="1">
        <v>40576</v>
      </c>
      <c r="C731">
        <v>18</v>
      </c>
      <c r="D731" t="b">
        <v>0</v>
      </c>
      <c r="E731" t="s">
        <v>26</v>
      </c>
      <c r="F731" t="s">
        <v>30</v>
      </c>
      <c r="G731">
        <v>0.34</v>
      </c>
      <c r="H731">
        <v>0.28789999999999999</v>
      </c>
      <c r="I731">
        <v>0.42</v>
      </c>
      <c r="J731">
        <v>0.55220000000000002</v>
      </c>
      <c r="K731">
        <v>7</v>
      </c>
      <c r="L731">
        <v>175</v>
      </c>
      <c r="M731">
        <v>182</v>
      </c>
      <c r="N731" t="s">
        <v>18</v>
      </c>
      <c r="O731" t="s">
        <v>87</v>
      </c>
      <c r="P731" t="s">
        <v>90</v>
      </c>
    </row>
    <row r="732" spans="1:16" x14ac:dyDescent="0.3">
      <c r="A732">
        <v>731</v>
      </c>
      <c r="B732" s="1">
        <v>40576</v>
      </c>
      <c r="C732">
        <v>19</v>
      </c>
      <c r="D732" t="b">
        <v>0</v>
      </c>
      <c r="E732" t="s">
        <v>26</v>
      </c>
      <c r="F732" t="s">
        <v>30</v>
      </c>
      <c r="G732">
        <v>0.28000000000000003</v>
      </c>
      <c r="H732">
        <v>0.2424</v>
      </c>
      <c r="I732">
        <v>0.45</v>
      </c>
      <c r="J732">
        <v>0.49249999999999999</v>
      </c>
      <c r="K732">
        <v>3</v>
      </c>
      <c r="L732">
        <v>88</v>
      </c>
      <c r="M732">
        <v>91</v>
      </c>
      <c r="N732" t="s">
        <v>18</v>
      </c>
      <c r="O732" t="s">
        <v>87</v>
      </c>
      <c r="P732" t="s">
        <v>90</v>
      </c>
    </row>
    <row r="733" spans="1:16" x14ac:dyDescent="0.3">
      <c r="A733">
        <v>732</v>
      </c>
      <c r="B733" s="1">
        <v>40576</v>
      </c>
      <c r="C733">
        <v>20</v>
      </c>
      <c r="D733" t="b">
        <v>0</v>
      </c>
      <c r="E733" t="s">
        <v>26</v>
      </c>
      <c r="F733" t="s">
        <v>30</v>
      </c>
      <c r="G733">
        <v>0.24</v>
      </c>
      <c r="H733">
        <v>0.19700000000000001</v>
      </c>
      <c r="I733">
        <v>0.48</v>
      </c>
      <c r="J733">
        <v>0.55220000000000002</v>
      </c>
      <c r="K733">
        <v>4</v>
      </c>
      <c r="L733">
        <v>71</v>
      </c>
      <c r="M733">
        <v>75</v>
      </c>
      <c r="N733" t="s">
        <v>18</v>
      </c>
      <c r="O733" t="s">
        <v>85</v>
      </c>
      <c r="P733" t="s">
        <v>90</v>
      </c>
    </row>
    <row r="734" spans="1:16" x14ac:dyDescent="0.3">
      <c r="A734">
        <v>733</v>
      </c>
      <c r="B734" s="1">
        <v>40576</v>
      </c>
      <c r="C734">
        <v>21</v>
      </c>
      <c r="D734" t="b">
        <v>0</v>
      </c>
      <c r="E734" t="s">
        <v>26</v>
      </c>
      <c r="F734" t="s">
        <v>30</v>
      </c>
      <c r="G734">
        <v>0.22</v>
      </c>
      <c r="H734">
        <v>0.19700000000000001</v>
      </c>
      <c r="I734">
        <v>0.47</v>
      </c>
      <c r="J734">
        <v>0.32840000000000003</v>
      </c>
      <c r="K734">
        <v>1</v>
      </c>
      <c r="L734">
        <v>62</v>
      </c>
      <c r="M734">
        <v>63</v>
      </c>
      <c r="N734" t="s">
        <v>18</v>
      </c>
      <c r="O734" t="s">
        <v>85</v>
      </c>
      <c r="P734" t="s">
        <v>90</v>
      </c>
    </row>
    <row r="735" spans="1:16" x14ac:dyDescent="0.3">
      <c r="A735">
        <v>734</v>
      </c>
      <c r="B735" s="1">
        <v>40576</v>
      </c>
      <c r="C735">
        <v>22</v>
      </c>
      <c r="D735" t="b">
        <v>0</v>
      </c>
      <c r="E735" t="s">
        <v>26</v>
      </c>
      <c r="F735" t="s">
        <v>30</v>
      </c>
      <c r="G735">
        <v>0.22</v>
      </c>
      <c r="H735">
        <v>0.21210000000000001</v>
      </c>
      <c r="I735">
        <v>0.44</v>
      </c>
      <c r="J735">
        <v>0.25369999999999998</v>
      </c>
      <c r="K735">
        <v>5</v>
      </c>
      <c r="L735">
        <v>35</v>
      </c>
      <c r="M735">
        <v>40</v>
      </c>
      <c r="N735" t="s">
        <v>18</v>
      </c>
      <c r="O735" t="s">
        <v>85</v>
      </c>
      <c r="P735" t="s">
        <v>90</v>
      </c>
    </row>
    <row r="736" spans="1:16" x14ac:dyDescent="0.3">
      <c r="A736">
        <v>735</v>
      </c>
      <c r="B736" s="1">
        <v>40576</v>
      </c>
      <c r="C736">
        <v>23</v>
      </c>
      <c r="D736" t="b">
        <v>0</v>
      </c>
      <c r="E736" t="s">
        <v>26</v>
      </c>
      <c r="F736" t="s">
        <v>30</v>
      </c>
      <c r="G736">
        <v>0.2</v>
      </c>
      <c r="H736">
        <v>0.16669999999999999</v>
      </c>
      <c r="I736">
        <v>0.44</v>
      </c>
      <c r="J736">
        <v>0.44779999999999998</v>
      </c>
      <c r="K736">
        <v>3</v>
      </c>
      <c r="L736">
        <v>29</v>
      </c>
      <c r="M736">
        <v>32</v>
      </c>
      <c r="N736" t="s">
        <v>18</v>
      </c>
      <c r="O736" t="s">
        <v>85</v>
      </c>
      <c r="P736" t="s">
        <v>90</v>
      </c>
    </row>
    <row r="737" spans="1:16" x14ac:dyDescent="0.3">
      <c r="A737">
        <v>736</v>
      </c>
      <c r="B737" s="1">
        <v>40577</v>
      </c>
      <c r="C737">
        <v>0</v>
      </c>
      <c r="D737" t="b">
        <v>0</v>
      </c>
      <c r="E737" t="s">
        <v>27</v>
      </c>
      <c r="F737" t="s">
        <v>30</v>
      </c>
      <c r="G737">
        <v>0.2</v>
      </c>
      <c r="H737">
        <v>0.16669999999999999</v>
      </c>
      <c r="I737">
        <v>0.4</v>
      </c>
      <c r="J737">
        <v>0.44779999999999998</v>
      </c>
      <c r="K737">
        <v>1</v>
      </c>
      <c r="L737">
        <v>11</v>
      </c>
      <c r="M737">
        <v>12</v>
      </c>
      <c r="N737" t="s">
        <v>18</v>
      </c>
      <c r="O737" t="s">
        <v>85</v>
      </c>
      <c r="P737" t="s">
        <v>90</v>
      </c>
    </row>
    <row r="738" spans="1:16" x14ac:dyDescent="0.3">
      <c r="A738">
        <v>737</v>
      </c>
      <c r="B738" s="1">
        <v>40577</v>
      </c>
      <c r="C738">
        <v>1</v>
      </c>
      <c r="D738" t="b">
        <v>0</v>
      </c>
      <c r="E738" t="s">
        <v>27</v>
      </c>
      <c r="F738" t="s">
        <v>30</v>
      </c>
      <c r="G738">
        <v>0.2</v>
      </c>
      <c r="H738">
        <v>0.1515</v>
      </c>
      <c r="I738">
        <v>0.44</v>
      </c>
      <c r="J738">
        <v>0.52239999999999998</v>
      </c>
      <c r="K738">
        <v>0</v>
      </c>
      <c r="L738">
        <v>5</v>
      </c>
      <c r="M738">
        <v>5</v>
      </c>
      <c r="N738" t="s">
        <v>18</v>
      </c>
      <c r="O738" t="s">
        <v>85</v>
      </c>
      <c r="P738" t="s">
        <v>90</v>
      </c>
    </row>
    <row r="739" spans="1:16" x14ac:dyDescent="0.3">
      <c r="A739">
        <v>738</v>
      </c>
      <c r="B739" s="1">
        <v>40577</v>
      </c>
      <c r="C739">
        <v>2</v>
      </c>
      <c r="D739" t="b">
        <v>0</v>
      </c>
      <c r="E739" t="s">
        <v>27</v>
      </c>
      <c r="F739" t="s">
        <v>30</v>
      </c>
      <c r="G739">
        <v>0.18</v>
      </c>
      <c r="H739">
        <v>0.16669999999999999</v>
      </c>
      <c r="I739">
        <v>0.43</v>
      </c>
      <c r="J739">
        <v>0.25369999999999998</v>
      </c>
      <c r="K739">
        <v>0</v>
      </c>
      <c r="L739">
        <v>2</v>
      </c>
      <c r="M739">
        <v>2</v>
      </c>
      <c r="N739" t="s">
        <v>18</v>
      </c>
      <c r="O739" t="s">
        <v>85</v>
      </c>
      <c r="P739" t="s">
        <v>90</v>
      </c>
    </row>
    <row r="740" spans="1:16" x14ac:dyDescent="0.3">
      <c r="A740">
        <v>739</v>
      </c>
      <c r="B740" s="1">
        <v>40577</v>
      </c>
      <c r="C740">
        <v>3</v>
      </c>
      <c r="D740" t="b">
        <v>0</v>
      </c>
      <c r="E740" t="s">
        <v>27</v>
      </c>
      <c r="F740" t="s">
        <v>30</v>
      </c>
      <c r="G740">
        <v>0.18</v>
      </c>
      <c r="H740">
        <v>0.16669999999999999</v>
      </c>
      <c r="I740">
        <v>0.43</v>
      </c>
      <c r="J740">
        <v>0.25369999999999998</v>
      </c>
      <c r="K740">
        <v>0</v>
      </c>
      <c r="L740">
        <v>1</v>
      </c>
      <c r="M740">
        <v>1</v>
      </c>
      <c r="N740" t="s">
        <v>18</v>
      </c>
      <c r="O740" t="s">
        <v>85</v>
      </c>
      <c r="P740" t="s">
        <v>90</v>
      </c>
    </row>
    <row r="741" spans="1:16" x14ac:dyDescent="0.3">
      <c r="A741">
        <v>740</v>
      </c>
      <c r="B741" s="1">
        <v>40577</v>
      </c>
      <c r="C741">
        <v>5</v>
      </c>
      <c r="D741" t="b">
        <v>0</v>
      </c>
      <c r="E741" t="s">
        <v>27</v>
      </c>
      <c r="F741" t="s">
        <v>30</v>
      </c>
      <c r="G741">
        <v>0.16</v>
      </c>
      <c r="H741">
        <v>0.13639999999999999</v>
      </c>
      <c r="I741">
        <v>0.5</v>
      </c>
      <c r="J741">
        <v>0.29849999999999999</v>
      </c>
      <c r="K741">
        <v>0</v>
      </c>
      <c r="L741">
        <v>2</v>
      </c>
      <c r="M741">
        <v>2</v>
      </c>
      <c r="N741" t="s">
        <v>18</v>
      </c>
      <c r="O741" t="s">
        <v>85</v>
      </c>
      <c r="P741" t="s">
        <v>90</v>
      </c>
    </row>
    <row r="742" spans="1:16" x14ac:dyDescent="0.3">
      <c r="A742">
        <v>741</v>
      </c>
      <c r="B742" s="1">
        <v>40577</v>
      </c>
      <c r="C742">
        <v>6</v>
      </c>
      <c r="D742" t="b">
        <v>0</v>
      </c>
      <c r="E742" t="s">
        <v>27</v>
      </c>
      <c r="F742" t="s">
        <v>30</v>
      </c>
      <c r="G742">
        <v>0.16</v>
      </c>
      <c r="H742">
        <v>0.13639999999999999</v>
      </c>
      <c r="I742">
        <v>0.43</v>
      </c>
      <c r="J742">
        <v>0.35820000000000002</v>
      </c>
      <c r="K742">
        <v>0</v>
      </c>
      <c r="L742">
        <v>39</v>
      </c>
      <c r="M742">
        <v>39</v>
      </c>
      <c r="N742" t="s">
        <v>18</v>
      </c>
      <c r="O742" t="s">
        <v>85</v>
      </c>
      <c r="P742" t="s">
        <v>90</v>
      </c>
    </row>
    <row r="743" spans="1:16" x14ac:dyDescent="0.3">
      <c r="A743">
        <v>742</v>
      </c>
      <c r="B743" s="1">
        <v>40577</v>
      </c>
      <c r="C743">
        <v>7</v>
      </c>
      <c r="D743" t="b">
        <v>0</v>
      </c>
      <c r="E743" t="s">
        <v>27</v>
      </c>
      <c r="F743" t="s">
        <v>30</v>
      </c>
      <c r="G743">
        <v>0.14000000000000001</v>
      </c>
      <c r="H743">
        <v>0.1212</v>
      </c>
      <c r="I743">
        <v>0.5</v>
      </c>
      <c r="J743">
        <v>0.32840000000000003</v>
      </c>
      <c r="K743">
        <v>1</v>
      </c>
      <c r="L743">
        <v>86</v>
      </c>
      <c r="M743">
        <v>87</v>
      </c>
      <c r="N743" t="s">
        <v>18</v>
      </c>
      <c r="O743" t="s">
        <v>86</v>
      </c>
      <c r="P743" t="s">
        <v>90</v>
      </c>
    </row>
    <row r="744" spans="1:16" x14ac:dyDescent="0.3">
      <c r="A744">
        <v>743</v>
      </c>
      <c r="B744" s="1">
        <v>40577</v>
      </c>
      <c r="C744">
        <v>8</v>
      </c>
      <c r="D744" t="b">
        <v>0</v>
      </c>
      <c r="E744" t="s">
        <v>27</v>
      </c>
      <c r="F744" t="s">
        <v>30</v>
      </c>
      <c r="G744">
        <v>0.14000000000000001</v>
      </c>
      <c r="H744">
        <v>0.1212</v>
      </c>
      <c r="I744">
        <v>0.5</v>
      </c>
      <c r="J744">
        <v>0.35820000000000002</v>
      </c>
      <c r="K744">
        <v>4</v>
      </c>
      <c r="L744">
        <v>184</v>
      </c>
      <c r="M744">
        <v>188</v>
      </c>
      <c r="N744" t="s">
        <v>18</v>
      </c>
      <c r="O744" t="s">
        <v>86</v>
      </c>
      <c r="P744" t="s">
        <v>90</v>
      </c>
    </row>
    <row r="745" spans="1:16" x14ac:dyDescent="0.3">
      <c r="A745">
        <v>744</v>
      </c>
      <c r="B745" s="1">
        <v>40577</v>
      </c>
      <c r="C745">
        <v>9</v>
      </c>
      <c r="D745" t="b">
        <v>0</v>
      </c>
      <c r="E745" t="s">
        <v>27</v>
      </c>
      <c r="F745" t="s">
        <v>30</v>
      </c>
      <c r="G745">
        <v>0.16</v>
      </c>
      <c r="H745">
        <v>0.13639999999999999</v>
      </c>
      <c r="I745">
        <v>0.47</v>
      </c>
      <c r="J745">
        <v>0.29849999999999999</v>
      </c>
      <c r="K745">
        <v>6</v>
      </c>
      <c r="L745">
        <v>127</v>
      </c>
      <c r="M745">
        <v>133</v>
      </c>
      <c r="N745" t="s">
        <v>18</v>
      </c>
      <c r="O745" t="s">
        <v>86</v>
      </c>
      <c r="P745" t="s">
        <v>90</v>
      </c>
    </row>
    <row r="746" spans="1:16" x14ac:dyDescent="0.3">
      <c r="A746">
        <v>745</v>
      </c>
      <c r="B746" s="1">
        <v>40577</v>
      </c>
      <c r="C746">
        <v>10</v>
      </c>
      <c r="D746" t="b">
        <v>0</v>
      </c>
      <c r="E746" t="s">
        <v>27</v>
      </c>
      <c r="F746" t="s">
        <v>30</v>
      </c>
      <c r="G746">
        <v>0.18</v>
      </c>
      <c r="H746">
        <v>0.1515</v>
      </c>
      <c r="I746">
        <v>0.43</v>
      </c>
      <c r="J746">
        <v>0.32840000000000003</v>
      </c>
      <c r="K746">
        <v>2</v>
      </c>
      <c r="L746">
        <v>50</v>
      </c>
      <c r="M746">
        <v>52</v>
      </c>
      <c r="N746" t="s">
        <v>18</v>
      </c>
      <c r="O746" t="s">
        <v>85</v>
      </c>
      <c r="P746" t="s">
        <v>90</v>
      </c>
    </row>
    <row r="747" spans="1:16" x14ac:dyDescent="0.3">
      <c r="A747">
        <v>746</v>
      </c>
      <c r="B747" s="1">
        <v>40577</v>
      </c>
      <c r="C747">
        <v>11</v>
      </c>
      <c r="D747" t="b">
        <v>0</v>
      </c>
      <c r="E747" t="s">
        <v>27</v>
      </c>
      <c r="F747" t="s">
        <v>30</v>
      </c>
      <c r="G747">
        <v>0.18</v>
      </c>
      <c r="H747">
        <v>0.13639999999999999</v>
      </c>
      <c r="I747">
        <v>0.43</v>
      </c>
      <c r="J747">
        <v>0.44779999999999998</v>
      </c>
      <c r="K747">
        <v>9</v>
      </c>
      <c r="L747">
        <v>55</v>
      </c>
      <c r="M747">
        <v>64</v>
      </c>
      <c r="N747" t="s">
        <v>18</v>
      </c>
      <c r="O747" t="s">
        <v>85</v>
      </c>
      <c r="P747" t="s">
        <v>90</v>
      </c>
    </row>
    <row r="748" spans="1:16" x14ac:dyDescent="0.3">
      <c r="A748">
        <v>747</v>
      </c>
      <c r="B748" s="1">
        <v>40577</v>
      </c>
      <c r="C748">
        <v>12</v>
      </c>
      <c r="D748" t="b">
        <v>0</v>
      </c>
      <c r="E748" t="s">
        <v>27</v>
      </c>
      <c r="F748" t="s">
        <v>30</v>
      </c>
      <c r="G748">
        <v>0.2</v>
      </c>
      <c r="H748">
        <v>0.18179999999999999</v>
      </c>
      <c r="I748">
        <v>0.4</v>
      </c>
      <c r="J748">
        <v>0.35820000000000002</v>
      </c>
      <c r="K748">
        <v>2</v>
      </c>
      <c r="L748">
        <v>67</v>
      </c>
      <c r="M748">
        <v>69</v>
      </c>
      <c r="N748" t="s">
        <v>18</v>
      </c>
      <c r="O748" t="s">
        <v>85</v>
      </c>
      <c r="P748" t="s">
        <v>90</v>
      </c>
    </row>
    <row r="749" spans="1:16" x14ac:dyDescent="0.3">
      <c r="A749">
        <v>748</v>
      </c>
      <c r="B749" s="1">
        <v>40577</v>
      </c>
      <c r="C749">
        <v>13</v>
      </c>
      <c r="D749" t="b">
        <v>0</v>
      </c>
      <c r="E749" t="s">
        <v>27</v>
      </c>
      <c r="F749" t="s">
        <v>30</v>
      </c>
      <c r="G749">
        <v>0.2</v>
      </c>
      <c r="H749">
        <v>0.16669999999999999</v>
      </c>
      <c r="I749">
        <v>0.4</v>
      </c>
      <c r="J749">
        <v>0.41789999999999999</v>
      </c>
      <c r="K749">
        <v>4</v>
      </c>
      <c r="L749">
        <v>47</v>
      </c>
      <c r="M749">
        <v>51</v>
      </c>
      <c r="N749" t="s">
        <v>18</v>
      </c>
      <c r="O749" t="s">
        <v>85</v>
      </c>
      <c r="P749" t="s">
        <v>90</v>
      </c>
    </row>
    <row r="750" spans="1:16" x14ac:dyDescent="0.3">
      <c r="A750">
        <v>749</v>
      </c>
      <c r="B750" s="1">
        <v>40577</v>
      </c>
      <c r="C750">
        <v>14</v>
      </c>
      <c r="D750" t="b">
        <v>0</v>
      </c>
      <c r="E750" t="s">
        <v>27</v>
      </c>
      <c r="F750" t="s">
        <v>30</v>
      </c>
      <c r="G750">
        <v>0.22</v>
      </c>
      <c r="H750">
        <v>0.19700000000000001</v>
      </c>
      <c r="I750">
        <v>0.37</v>
      </c>
      <c r="J750">
        <v>0.3881</v>
      </c>
      <c r="K750">
        <v>4</v>
      </c>
      <c r="L750">
        <v>43</v>
      </c>
      <c r="M750">
        <v>47</v>
      </c>
      <c r="N750" t="s">
        <v>18</v>
      </c>
      <c r="O750" t="s">
        <v>85</v>
      </c>
      <c r="P750" t="s">
        <v>90</v>
      </c>
    </row>
    <row r="751" spans="1:16" x14ac:dyDescent="0.3">
      <c r="A751">
        <v>750</v>
      </c>
      <c r="B751" s="1">
        <v>40577</v>
      </c>
      <c r="C751">
        <v>15</v>
      </c>
      <c r="D751" t="b">
        <v>0</v>
      </c>
      <c r="E751" t="s">
        <v>27</v>
      </c>
      <c r="F751" t="s">
        <v>30</v>
      </c>
      <c r="G751">
        <v>0.22</v>
      </c>
      <c r="H751">
        <v>0.19700000000000001</v>
      </c>
      <c r="I751">
        <v>0.37</v>
      </c>
      <c r="J751">
        <v>0.32840000000000003</v>
      </c>
      <c r="K751">
        <v>4</v>
      </c>
      <c r="L751">
        <v>56</v>
      </c>
      <c r="M751">
        <v>60</v>
      </c>
      <c r="N751" t="s">
        <v>18</v>
      </c>
      <c r="O751" t="s">
        <v>85</v>
      </c>
      <c r="P751" t="s">
        <v>90</v>
      </c>
    </row>
    <row r="752" spans="1:16" x14ac:dyDescent="0.3">
      <c r="A752">
        <v>751</v>
      </c>
      <c r="B752" s="1">
        <v>40577</v>
      </c>
      <c r="C752">
        <v>16</v>
      </c>
      <c r="D752" t="b">
        <v>0</v>
      </c>
      <c r="E752" t="s">
        <v>27</v>
      </c>
      <c r="F752" t="s">
        <v>30</v>
      </c>
      <c r="G752">
        <v>0.22</v>
      </c>
      <c r="H752">
        <v>0.21210000000000001</v>
      </c>
      <c r="I752">
        <v>0.37</v>
      </c>
      <c r="J752">
        <v>0.25369999999999998</v>
      </c>
      <c r="K752">
        <v>5</v>
      </c>
      <c r="L752">
        <v>73</v>
      </c>
      <c r="M752">
        <v>78</v>
      </c>
      <c r="N752" t="s">
        <v>18</v>
      </c>
      <c r="O752" t="s">
        <v>85</v>
      </c>
      <c r="P752" t="s">
        <v>90</v>
      </c>
    </row>
    <row r="753" spans="1:16" x14ac:dyDescent="0.3">
      <c r="A753">
        <v>752</v>
      </c>
      <c r="B753" s="1">
        <v>40577</v>
      </c>
      <c r="C753">
        <v>17</v>
      </c>
      <c r="D753" t="b">
        <v>0</v>
      </c>
      <c r="E753" t="s">
        <v>27</v>
      </c>
      <c r="F753" t="s">
        <v>30</v>
      </c>
      <c r="G753">
        <v>0.2</v>
      </c>
      <c r="H753">
        <v>0.19700000000000001</v>
      </c>
      <c r="I753">
        <v>0.4</v>
      </c>
      <c r="J753">
        <v>0.19400000000000001</v>
      </c>
      <c r="K753">
        <v>5</v>
      </c>
      <c r="L753">
        <v>170</v>
      </c>
      <c r="M753">
        <v>175</v>
      </c>
      <c r="N753" t="s">
        <v>18</v>
      </c>
      <c r="O753" t="s">
        <v>87</v>
      </c>
      <c r="P753" t="s">
        <v>90</v>
      </c>
    </row>
    <row r="754" spans="1:16" x14ac:dyDescent="0.3">
      <c r="A754">
        <v>753</v>
      </c>
      <c r="B754" s="1">
        <v>40577</v>
      </c>
      <c r="C754">
        <v>18</v>
      </c>
      <c r="D754" t="b">
        <v>0</v>
      </c>
      <c r="E754" t="s">
        <v>27</v>
      </c>
      <c r="F754" t="s">
        <v>30</v>
      </c>
      <c r="G754">
        <v>0.2</v>
      </c>
      <c r="H754">
        <v>0.21210000000000001</v>
      </c>
      <c r="I754">
        <v>0.4</v>
      </c>
      <c r="J754">
        <v>0.16420000000000001</v>
      </c>
      <c r="K754">
        <v>2</v>
      </c>
      <c r="L754">
        <v>145</v>
      </c>
      <c r="M754">
        <v>147</v>
      </c>
      <c r="N754" t="s">
        <v>18</v>
      </c>
      <c r="O754" t="s">
        <v>87</v>
      </c>
      <c r="P754" t="s">
        <v>90</v>
      </c>
    </row>
    <row r="755" spans="1:16" x14ac:dyDescent="0.3">
      <c r="A755">
        <v>754</v>
      </c>
      <c r="B755" s="1">
        <v>40577</v>
      </c>
      <c r="C755">
        <v>19</v>
      </c>
      <c r="D755" t="b">
        <v>0</v>
      </c>
      <c r="E755" t="s">
        <v>27</v>
      </c>
      <c r="F755" t="s">
        <v>30</v>
      </c>
      <c r="G755">
        <v>0.2</v>
      </c>
      <c r="H755">
        <v>0.2576</v>
      </c>
      <c r="I755">
        <v>0.4</v>
      </c>
      <c r="J755">
        <v>0</v>
      </c>
      <c r="K755">
        <v>4</v>
      </c>
      <c r="L755">
        <v>92</v>
      </c>
      <c r="M755">
        <v>96</v>
      </c>
      <c r="N755" t="s">
        <v>18</v>
      </c>
      <c r="O755" t="s">
        <v>87</v>
      </c>
      <c r="P755" t="s">
        <v>90</v>
      </c>
    </row>
    <row r="756" spans="1:16" x14ac:dyDescent="0.3">
      <c r="A756">
        <v>755</v>
      </c>
      <c r="B756" s="1">
        <v>40577</v>
      </c>
      <c r="C756">
        <v>20</v>
      </c>
      <c r="D756" t="b">
        <v>0</v>
      </c>
      <c r="E756" t="s">
        <v>27</v>
      </c>
      <c r="F756" t="s">
        <v>30</v>
      </c>
      <c r="G756">
        <v>0.2</v>
      </c>
      <c r="H756">
        <v>0.2273</v>
      </c>
      <c r="I756">
        <v>0.47</v>
      </c>
      <c r="J756">
        <v>8.9599999999999999E-2</v>
      </c>
      <c r="K756">
        <v>1</v>
      </c>
      <c r="L756">
        <v>108</v>
      </c>
      <c r="M756">
        <v>109</v>
      </c>
      <c r="N756" t="s">
        <v>18</v>
      </c>
      <c r="O756" t="s">
        <v>85</v>
      </c>
      <c r="P756" t="s">
        <v>90</v>
      </c>
    </row>
    <row r="757" spans="1:16" x14ac:dyDescent="0.3">
      <c r="A757">
        <v>756</v>
      </c>
      <c r="B757" s="1">
        <v>40577</v>
      </c>
      <c r="C757">
        <v>21</v>
      </c>
      <c r="D757" t="b">
        <v>0</v>
      </c>
      <c r="E757" t="s">
        <v>27</v>
      </c>
      <c r="F757" t="s">
        <v>30</v>
      </c>
      <c r="G757">
        <v>0.18</v>
      </c>
      <c r="H757">
        <v>0.21210000000000001</v>
      </c>
      <c r="I757">
        <v>0.55000000000000004</v>
      </c>
      <c r="J757">
        <v>0.1045</v>
      </c>
      <c r="K757">
        <v>1</v>
      </c>
      <c r="L757">
        <v>53</v>
      </c>
      <c r="M757">
        <v>54</v>
      </c>
      <c r="N757" t="s">
        <v>18</v>
      </c>
      <c r="O757" t="s">
        <v>85</v>
      </c>
      <c r="P757" t="s">
        <v>90</v>
      </c>
    </row>
    <row r="758" spans="1:16" x14ac:dyDescent="0.3">
      <c r="A758">
        <v>757</v>
      </c>
      <c r="B758" s="1">
        <v>40577</v>
      </c>
      <c r="C758">
        <v>22</v>
      </c>
      <c r="D758" t="b">
        <v>0</v>
      </c>
      <c r="E758" t="s">
        <v>27</v>
      </c>
      <c r="F758" t="s">
        <v>30</v>
      </c>
      <c r="G758">
        <v>0.18</v>
      </c>
      <c r="H758">
        <v>0.21210000000000001</v>
      </c>
      <c r="I758">
        <v>0.51</v>
      </c>
      <c r="J758">
        <v>8.9599999999999999E-2</v>
      </c>
      <c r="K758">
        <v>2</v>
      </c>
      <c r="L758">
        <v>39</v>
      </c>
      <c r="M758">
        <v>41</v>
      </c>
      <c r="N758" t="s">
        <v>18</v>
      </c>
      <c r="O758" t="s">
        <v>85</v>
      </c>
      <c r="P758" t="s">
        <v>90</v>
      </c>
    </row>
    <row r="759" spans="1:16" x14ac:dyDescent="0.3">
      <c r="A759">
        <v>758</v>
      </c>
      <c r="B759" s="1">
        <v>40577</v>
      </c>
      <c r="C759">
        <v>23</v>
      </c>
      <c r="D759" t="b">
        <v>0</v>
      </c>
      <c r="E759" t="s">
        <v>27</v>
      </c>
      <c r="F759" t="s">
        <v>30</v>
      </c>
      <c r="G759">
        <v>0.2</v>
      </c>
      <c r="H759">
        <v>0.2273</v>
      </c>
      <c r="I759">
        <v>0.47</v>
      </c>
      <c r="J759">
        <v>0.1045</v>
      </c>
      <c r="K759">
        <v>4</v>
      </c>
      <c r="L759">
        <v>34</v>
      </c>
      <c r="M759">
        <v>38</v>
      </c>
      <c r="N759" t="s">
        <v>18</v>
      </c>
      <c r="O759" t="s">
        <v>85</v>
      </c>
      <c r="P759" t="s">
        <v>90</v>
      </c>
    </row>
    <row r="760" spans="1:16" x14ac:dyDescent="0.3">
      <c r="A760">
        <v>759</v>
      </c>
      <c r="B760" s="1">
        <v>40578</v>
      </c>
      <c r="C760">
        <v>0</v>
      </c>
      <c r="D760" t="b">
        <v>0</v>
      </c>
      <c r="E760" t="s">
        <v>28</v>
      </c>
      <c r="F760" t="s">
        <v>31</v>
      </c>
      <c r="G760">
        <v>0.2</v>
      </c>
      <c r="H760">
        <v>0.2576</v>
      </c>
      <c r="I760">
        <v>0.44</v>
      </c>
      <c r="J760">
        <v>0</v>
      </c>
      <c r="K760">
        <v>3</v>
      </c>
      <c r="L760">
        <v>10</v>
      </c>
      <c r="M760">
        <v>13</v>
      </c>
      <c r="N760" t="s">
        <v>18</v>
      </c>
      <c r="O760" t="s">
        <v>85</v>
      </c>
      <c r="P760" t="s">
        <v>91</v>
      </c>
    </row>
    <row r="761" spans="1:16" x14ac:dyDescent="0.3">
      <c r="A761">
        <v>760</v>
      </c>
      <c r="B761" s="1">
        <v>40578</v>
      </c>
      <c r="C761">
        <v>1</v>
      </c>
      <c r="D761" t="b">
        <v>0</v>
      </c>
      <c r="E761" t="s">
        <v>28</v>
      </c>
      <c r="F761" t="s">
        <v>31</v>
      </c>
      <c r="G761">
        <v>0.16</v>
      </c>
      <c r="H761">
        <v>0.2273</v>
      </c>
      <c r="I761">
        <v>0.59</v>
      </c>
      <c r="J761">
        <v>0</v>
      </c>
      <c r="K761">
        <v>0</v>
      </c>
      <c r="L761">
        <v>7</v>
      </c>
      <c r="M761">
        <v>7</v>
      </c>
      <c r="N761" t="s">
        <v>18</v>
      </c>
      <c r="O761" t="s">
        <v>85</v>
      </c>
      <c r="P761" t="s">
        <v>91</v>
      </c>
    </row>
    <row r="762" spans="1:16" x14ac:dyDescent="0.3">
      <c r="A762">
        <v>761</v>
      </c>
      <c r="B762" s="1">
        <v>40578</v>
      </c>
      <c r="C762">
        <v>2</v>
      </c>
      <c r="D762" t="b">
        <v>0</v>
      </c>
      <c r="E762" t="s">
        <v>28</v>
      </c>
      <c r="F762" t="s">
        <v>31</v>
      </c>
      <c r="G762">
        <v>0.14000000000000001</v>
      </c>
      <c r="H762">
        <v>0.16669999999999999</v>
      </c>
      <c r="I762">
        <v>0.63</v>
      </c>
      <c r="J762">
        <v>0.1045</v>
      </c>
      <c r="K762">
        <v>0</v>
      </c>
      <c r="L762">
        <v>1</v>
      </c>
      <c r="M762">
        <v>1</v>
      </c>
      <c r="N762" t="s">
        <v>18</v>
      </c>
      <c r="O762" t="s">
        <v>85</v>
      </c>
      <c r="P762" t="s">
        <v>91</v>
      </c>
    </row>
    <row r="763" spans="1:16" x14ac:dyDescent="0.3">
      <c r="A763">
        <v>762</v>
      </c>
      <c r="B763" s="1">
        <v>40578</v>
      </c>
      <c r="C763">
        <v>3</v>
      </c>
      <c r="D763" t="b">
        <v>0</v>
      </c>
      <c r="E763" t="s">
        <v>28</v>
      </c>
      <c r="F763" t="s">
        <v>31</v>
      </c>
      <c r="G763">
        <v>0.14000000000000001</v>
      </c>
      <c r="H763">
        <v>0.16669999999999999</v>
      </c>
      <c r="I763">
        <v>0.63</v>
      </c>
      <c r="J763">
        <v>0.1045</v>
      </c>
      <c r="K763">
        <v>0</v>
      </c>
      <c r="L763">
        <v>1</v>
      </c>
      <c r="M763">
        <v>1</v>
      </c>
      <c r="N763" t="s">
        <v>18</v>
      </c>
      <c r="O763" t="s">
        <v>85</v>
      </c>
      <c r="P763" t="s">
        <v>91</v>
      </c>
    </row>
    <row r="764" spans="1:16" x14ac:dyDescent="0.3">
      <c r="A764">
        <v>763</v>
      </c>
      <c r="B764" s="1">
        <v>40578</v>
      </c>
      <c r="C764">
        <v>5</v>
      </c>
      <c r="D764" t="b">
        <v>0</v>
      </c>
      <c r="E764" t="s">
        <v>28</v>
      </c>
      <c r="F764" t="s">
        <v>31</v>
      </c>
      <c r="G764">
        <v>0.14000000000000001</v>
      </c>
      <c r="H764">
        <v>0.1515</v>
      </c>
      <c r="I764">
        <v>0.63</v>
      </c>
      <c r="J764">
        <v>0.1343</v>
      </c>
      <c r="K764">
        <v>0</v>
      </c>
      <c r="L764">
        <v>7</v>
      </c>
      <c r="M764">
        <v>7</v>
      </c>
      <c r="N764" t="s">
        <v>18</v>
      </c>
      <c r="O764" t="s">
        <v>85</v>
      </c>
      <c r="P764" t="s">
        <v>91</v>
      </c>
    </row>
    <row r="765" spans="1:16" x14ac:dyDescent="0.3">
      <c r="A765">
        <v>764</v>
      </c>
      <c r="B765" s="1">
        <v>40578</v>
      </c>
      <c r="C765">
        <v>6</v>
      </c>
      <c r="D765" t="b">
        <v>0</v>
      </c>
      <c r="E765" t="s">
        <v>28</v>
      </c>
      <c r="F765" t="s">
        <v>31</v>
      </c>
      <c r="G765">
        <v>0.16</v>
      </c>
      <c r="H765">
        <v>0.2273</v>
      </c>
      <c r="I765">
        <v>0.55000000000000004</v>
      </c>
      <c r="J765">
        <v>0</v>
      </c>
      <c r="K765">
        <v>2</v>
      </c>
      <c r="L765">
        <v>26</v>
      </c>
      <c r="M765">
        <v>28</v>
      </c>
      <c r="N765" t="s">
        <v>18</v>
      </c>
      <c r="O765" t="s">
        <v>85</v>
      </c>
      <c r="P765" t="s">
        <v>91</v>
      </c>
    </row>
    <row r="766" spans="1:16" x14ac:dyDescent="0.3">
      <c r="A766">
        <v>765</v>
      </c>
      <c r="B766" s="1">
        <v>40578</v>
      </c>
      <c r="C766">
        <v>7</v>
      </c>
      <c r="D766" t="b">
        <v>0</v>
      </c>
      <c r="E766" t="s">
        <v>28</v>
      </c>
      <c r="F766" t="s">
        <v>30</v>
      </c>
      <c r="G766">
        <v>0.14000000000000001</v>
      </c>
      <c r="H766">
        <v>0.21210000000000001</v>
      </c>
      <c r="I766">
        <v>0.59</v>
      </c>
      <c r="J766">
        <v>0</v>
      </c>
      <c r="K766">
        <v>0</v>
      </c>
      <c r="L766">
        <v>87</v>
      </c>
      <c r="M766">
        <v>87</v>
      </c>
      <c r="N766" t="s">
        <v>18</v>
      </c>
      <c r="O766" t="s">
        <v>86</v>
      </c>
      <c r="P766" t="s">
        <v>90</v>
      </c>
    </row>
    <row r="767" spans="1:16" x14ac:dyDescent="0.3">
      <c r="A767">
        <v>766</v>
      </c>
      <c r="B767" s="1">
        <v>40578</v>
      </c>
      <c r="C767">
        <v>8</v>
      </c>
      <c r="D767" t="b">
        <v>0</v>
      </c>
      <c r="E767" t="s">
        <v>28</v>
      </c>
      <c r="F767" t="s">
        <v>30</v>
      </c>
      <c r="G767">
        <v>0.14000000000000001</v>
      </c>
      <c r="H767">
        <v>0.1515</v>
      </c>
      <c r="I767">
        <v>0.74</v>
      </c>
      <c r="J767">
        <v>0.1343</v>
      </c>
      <c r="K767">
        <v>3</v>
      </c>
      <c r="L767">
        <v>217</v>
      </c>
      <c r="M767">
        <v>220</v>
      </c>
      <c r="N767" t="s">
        <v>18</v>
      </c>
      <c r="O767" t="s">
        <v>86</v>
      </c>
      <c r="P767" t="s">
        <v>90</v>
      </c>
    </row>
    <row r="768" spans="1:16" x14ac:dyDescent="0.3">
      <c r="A768">
        <v>767</v>
      </c>
      <c r="B768" s="1">
        <v>40578</v>
      </c>
      <c r="C768">
        <v>9</v>
      </c>
      <c r="D768" t="b">
        <v>0</v>
      </c>
      <c r="E768" t="s">
        <v>28</v>
      </c>
      <c r="F768" t="s">
        <v>31</v>
      </c>
      <c r="G768">
        <v>0.16</v>
      </c>
      <c r="H768">
        <v>0.18179999999999999</v>
      </c>
      <c r="I768">
        <v>0.8</v>
      </c>
      <c r="J768">
        <v>0.1343</v>
      </c>
      <c r="K768">
        <v>3</v>
      </c>
      <c r="L768">
        <v>124</v>
      </c>
      <c r="M768">
        <v>127</v>
      </c>
      <c r="N768" t="s">
        <v>18</v>
      </c>
      <c r="O768" t="s">
        <v>86</v>
      </c>
      <c r="P768" t="s">
        <v>91</v>
      </c>
    </row>
    <row r="769" spans="1:16" x14ac:dyDescent="0.3">
      <c r="A769">
        <v>768</v>
      </c>
      <c r="B769" s="1">
        <v>40578</v>
      </c>
      <c r="C769">
        <v>10</v>
      </c>
      <c r="D769" t="b">
        <v>0</v>
      </c>
      <c r="E769" t="s">
        <v>28</v>
      </c>
      <c r="F769" t="s">
        <v>31</v>
      </c>
      <c r="G769">
        <v>0.2</v>
      </c>
      <c r="H769">
        <v>0.21210000000000001</v>
      </c>
      <c r="I769">
        <v>0.51</v>
      </c>
      <c r="J769">
        <v>0.1343</v>
      </c>
      <c r="K769">
        <v>5</v>
      </c>
      <c r="L769">
        <v>46</v>
      </c>
      <c r="M769">
        <v>51</v>
      </c>
      <c r="N769" t="s">
        <v>18</v>
      </c>
      <c r="O769" t="s">
        <v>85</v>
      </c>
      <c r="P769" t="s">
        <v>91</v>
      </c>
    </row>
    <row r="770" spans="1:16" x14ac:dyDescent="0.3">
      <c r="A770">
        <v>769</v>
      </c>
      <c r="B770" s="1">
        <v>40578</v>
      </c>
      <c r="C770">
        <v>11</v>
      </c>
      <c r="D770" t="b">
        <v>0</v>
      </c>
      <c r="E770" t="s">
        <v>28</v>
      </c>
      <c r="F770" t="s">
        <v>30</v>
      </c>
      <c r="G770">
        <v>0.22</v>
      </c>
      <c r="H770">
        <v>0.2273</v>
      </c>
      <c r="I770">
        <v>0.51</v>
      </c>
      <c r="J770">
        <v>0.16420000000000001</v>
      </c>
      <c r="K770">
        <v>3</v>
      </c>
      <c r="L770">
        <v>61</v>
      </c>
      <c r="M770">
        <v>64</v>
      </c>
      <c r="N770" t="s">
        <v>18</v>
      </c>
      <c r="O770" t="s">
        <v>85</v>
      </c>
      <c r="P770" t="s">
        <v>90</v>
      </c>
    </row>
    <row r="771" spans="1:16" x14ac:dyDescent="0.3">
      <c r="A771">
        <v>770</v>
      </c>
      <c r="B771" s="1">
        <v>40578</v>
      </c>
      <c r="C771">
        <v>12</v>
      </c>
      <c r="D771" t="b">
        <v>0</v>
      </c>
      <c r="E771" t="s">
        <v>28</v>
      </c>
      <c r="F771" t="s">
        <v>31</v>
      </c>
      <c r="G771">
        <v>0.24</v>
      </c>
      <c r="H771">
        <v>0.2424</v>
      </c>
      <c r="I771">
        <v>0.48</v>
      </c>
      <c r="J771">
        <v>0.16420000000000001</v>
      </c>
      <c r="K771">
        <v>8</v>
      </c>
      <c r="L771">
        <v>78</v>
      </c>
      <c r="M771">
        <v>86</v>
      </c>
      <c r="N771" t="s">
        <v>18</v>
      </c>
      <c r="O771" t="s">
        <v>85</v>
      </c>
      <c r="P771" t="s">
        <v>91</v>
      </c>
    </row>
    <row r="772" spans="1:16" x14ac:dyDescent="0.3">
      <c r="A772">
        <v>771</v>
      </c>
      <c r="B772" s="1">
        <v>40578</v>
      </c>
      <c r="C772">
        <v>13</v>
      </c>
      <c r="D772" t="b">
        <v>0</v>
      </c>
      <c r="E772" t="s">
        <v>28</v>
      </c>
      <c r="F772" t="s">
        <v>31</v>
      </c>
      <c r="G772">
        <v>0.26</v>
      </c>
      <c r="H772">
        <v>0.2576</v>
      </c>
      <c r="I772">
        <v>0.5</v>
      </c>
      <c r="J772">
        <v>0.22389999999999999</v>
      </c>
      <c r="K772">
        <v>9</v>
      </c>
      <c r="L772">
        <v>73</v>
      </c>
      <c r="M772">
        <v>82</v>
      </c>
      <c r="N772" t="s">
        <v>18</v>
      </c>
      <c r="O772" t="s">
        <v>85</v>
      </c>
      <c r="P772" t="s">
        <v>91</v>
      </c>
    </row>
    <row r="773" spans="1:16" x14ac:dyDescent="0.3">
      <c r="A773">
        <v>772</v>
      </c>
      <c r="B773" s="1">
        <v>40578</v>
      </c>
      <c r="C773">
        <v>14</v>
      </c>
      <c r="D773" t="b">
        <v>0</v>
      </c>
      <c r="E773" t="s">
        <v>28</v>
      </c>
      <c r="F773" t="s">
        <v>31</v>
      </c>
      <c r="G773">
        <v>0.28000000000000003</v>
      </c>
      <c r="H773">
        <v>0.2727</v>
      </c>
      <c r="I773">
        <v>0.45</v>
      </c>
      <c r="J773">
        <v>0.16420000000000001</v>
      </c>
      <c r="K773">
        <v>15</v>
      </c>
      <c r="L773">
        <v>76</v>
      </c>
      <c r="M773">
        <v>91</v>
      </c>
      <c r="N773" t="s">
        <v>18</v>
      </c>
      <c r="O773" t="s">
        <v>85</v>
      </c>
      <c r="P773" t="s">
        <v>91</v>
      </c>
    </row>
    <row r="774" spans="1:16" x14ac:dyDescent="0.3">
      <c r="A774">
        <v>773</v>
      </c>
      <c r="B774" s="1">
        <v>40578</v>
      </c>
      <c r="C774">
        <v>15</v>
      </c>
      <c r="D774" t="b">
        <v>0</v>
      </c>
      <c r="E774" t="s">
        <v>28</v>
      </c>
      <c r="F774" t="s">
        <v>31</v>
      </c>
      <c r="G774">
        <v>0.28000000000000003</v>
      </c>
      <c r="H774">
        <v>0.2727</v>
      </c>
      <c r="I774">
        <v>0.48</v>
      </c>
      <c r="J774">
        <v>0.25369999999999998</v>
      </c>
      <c r="K774">
        <v>9</v>
      </c>
      <c r="L774">
        <v>81</v>
      </c>
      <c r="M774">
        <v>90</v>
      </c>
      <c r="N774" t="s">
        <v>18</v>
      </c>
      <c r="O774" t="s">
        <v>85</v>
      </c>
      <c r="P774" t="s">
        <v>91</v>
      </c>
    </row>
    <row r="775" spans="1:16" x14ac:dyDescent="0.3">
      <c r="A775">
        <v>774</v>
      </c>
      <c r="B775" s="1">
        <v>40578</v>
      </c>
      <c r="C775">
        <v>16</v>
      </c>
      <c r="D775" t="b">
        <v>0</v>
      </c>
      <c r="E775" t="s">
        <v>28</v>
      </c>
      <c r="F775" t="s">
        <v>31</v>
      </c>
      <c r="G775">
        <v>0.3</v>
      </c>
      <c r="H775">
        <v>0.28789999999999999</v>
      </c>
      <c r="I775">
        <v>0.42</v>
      </c>
      <c r="J775">
        <v>0.22389999999999999</v>
      </c>
      <c r="K775">
        <v>8</v>
      </c>
      <c r="L775">
        <v>91</v>
      </c>
      <c r="M775">
        <v>99</v>
      </c>
      <c r="N775" t="s">
        <v>18</v>
      </c>
      <c r="O775" t="s">
        <v>85</v>
      </c>
      <c r="P775" t="s">
        <v>91</v>
      </c>
    </row>
    <row r="776" spans="1:16" x14ac:dyDescent="0.3">
      <c r="A776">
        <v>775</v>
      </c>
      <c r="B776" s="1">
        <v>40578</v>
      </c>
      <c r="C776">
        <v>17</v>
      </c>
      <c r="D776" t="b">
        <v>0</v>
      </c>
      <c r="E776" t="s">
        <v>28</v>
      </c>
      <c r="F776" t="s">
        <v>31</v>
      </c>
      <c r="G776">
        <v>0.26</v>
      </c>
      <c r="H776">
        <v>0.2727</v>
      </c>
      <c r="I776">
        <v>0.56000000000000005</v>
      </c>
      <c r="J776">
        <v>0.1343</v>
      </c>
      <c r="K776">
        <v>10</v>
      </c>
      <c r="L776">
        <v>195</v>
      </c>
      <c r="M776">
        <v>205</v>
      </c>
      <c r="N776" t="s">
        <v>18</v>
      </c>
      <c r="O776" t="s">
        <v>87</v>
      </c>
      <c r="P776" t="s">
        <v>91</v>
      </c>
    </row>
    <row r="777" spans="1:16" x14ac:dyDescent="0.3">
      <c r="A777">
        <v>776</v>
      </c>
      <c r="B777" s="1">
        <v>40578</v>
      </c>
      <c r="C777">
        <v>18</v>
      </c>
      <c r="D777" t="b">
        <v>0</v>
      </c>
      <c r="E777" t="s">
        <v>28</v>
      </c>
      <c r="F777" t="s">
        <v>31</v>
      </c>
      <c r="G777">
        <v>0.24</v>
      </c>
      <c r="H777">
        <v>0.2576</v>
      </c>
      <c r="I777">
        <v>0.6</v>
      </c>
      <c r="J777">
        <v>0.1045</v>
      </c>
      <c r="K777">
        <v>3</v>
      </c>
      <c r="L777">
        <v>152</v>
      </c>
      <c r="M777">
        <v>155</v>
      </c>
      <c r="N777" t="s">
        <v>18</v>
      </c>
      <c r="O777" t="s">
        <v>87</v>
      </c>
      <c r="P777" t="s">
        <v>91</v>
      </c>
    </row>
    <row r="778" spans="1:16" x14ac:dyDescent="0.3">
      <c r="A778">
        <v>777</v>
      </c>
      <c r="B778" s="1">
        <v>40578</v>
      </c>
      <c r="C778">
        <v>19</v>
      </c>
      <c r="D778" t="b">
        <v>0</v>
      </c>
      <c r="E778" t="s">
        <v>28</v>
      </c>
      <c r="F778" t="s">
        <v>31</v>
      </c>
      <c r="G778">
        <v>0.24</v>
      </c>
      <c r="H778">
        <v>0.2424</v>
      </c>
      <c r="I778">
        <v>0.65</v>
      </c>
      <c r="J778">
        <v>0.1343</v>
      </c>
      <c r="K778">
        <v>1</v>
      </c>
      <c r="L778">
        <v>102</v>
      </c>
      <c r="M778">
        <v>103</v>
      </c>
      <c r="N778" t="s">
        <v>18</v>
      </c>
      <c r="O778" t="s">
        <v>87</v>
      </c>
      <c r="P778" t="s">
        <v>91</v>
      </c>
    </row>
    <row r="779" spans="1:16" x14ac:dyDescent="0.3">
      <c r="A779">
        <v>778</v>
      </c>
      <c r="B779" s="1">
        <v>40578</v>
      </c>
      <c r="C779">
        <v>20</v>
      </c>
      <c r="D779" t="b">
        <v>0</v>
      </c>
      <c r="E779" t="s">
        <v>28</v>
      </c>
      <c r="F779" t="s">
        <v>31</v>
      </c>
      <c r="G779">
        <v>0.24</v>
      </c>
      <c r="H779">
        <v>0.2424</v>
      </c>
      <c r="I779">
        <v>0.65</v>
      </c>
      <c r="J779">
        <v>0.16420000000000001</v>
      </c>
      <c r="K779">
        <v>2</v>
      </c>
      <c r="L779">
        <v>69</v>
      </c>
      <c r="M779">
        <v>71</v>
      </c>
      <c r="N779" t="s">
        <v>18</v>
      </c>
      <c r="O779" t="s">
        <v>85</v>
      </c>
      <c r="P779" t="s">
        <v>91</v>
      </c>
    </row>
    <row r="780" spans="1:16" x14ac:dyDescent="0.3">
      <c r="A780">
        <v>779</v>
      </c>
      <c r="B780" s="1">
        <v>40578</v>
      </c>
      <c r="C780">
        <v>21</v>
      </c>
      <c r="D780" t="b">
        <v>0</v>
      </c>
      <c r="E780" t="s">
        <v>28</v>
      </c>
      <c r="F780" t="s">
        <v>31</v>
      </c>
      <c r="G780">
        <v>0.24</v>
      </c>
      <c r="H780">
        <v>0.2424</v>
      </c>
      <c r="I780">
        <v>0.7</v>
      </c>
      <c r="J780">
        <v>0.16420000000000001</v>
      </c>
      <c r="K780">
        <v>2</v>
      </c>
      <c r="L780">
        <v>41</v>
      </c>
      <c r="M780">
        <v>43</v>
      </c>
      <c r="N780" t="s">
        <v>18</v>
      </c>
      <c r="O780" t="s">
        <v>85</v>
      </c>
      <c r="P780" t="s">
        <v>91</v>
      </c>
    </row>
    <row r="781" spans="1:16" x14ac:dyDescent="0.3">
      <c r="A781">
        <v>780</v>
      </c>
      <c r="B781" s="1">
        <v>40578</v>
      </c>
      <c r="C781">
        <v>22</v>
      </c>
      <c r="D781" t="b">
        <v>0</v>
      </c>
      <c r="E781" t="s">
        <v>28</v>
      </c>
      <c r="F781" t="s">
        <v>31</v>
      </c>
      <c r="G781">
        <v>0.24</v>
      </c>
      <c r="H781">
        <v>0.2424</v>
      </c>
      <c r="I781">
        <v>0.65</v>
      </c>
      <c r="J781">
        <v>0.16420000000000001</v>
      </c>
      <c r="K781">
        <v>1</v>
      </c>
      <c r="L781">
        <v>45</v>
      </c>
      <c r="M781">
        <v>46</v>
      </c>
      <c r="N781" t="s">
        <v>18</v>
      </c>
      <c r="O781" t="s">
        <v>85</v>
      </c>
      <c r="P781" t="s">
        <v>91</v>
      </c>
    </row>
    <row r="782" spans="1:16" x14ac:dyDescent="0.3">
      <c r="A782">
        <v>781</v>
      </c>
      <c r="B782" s="1">
        <v>40578</v>
      </c>
      <c r="C782">
        <v>23</v>
      </c>
      <c r="D782" t="b">
        <v>0</v>
      </c>
      <c r="E782" t="s">
        <v>28</v>
      </c>
      <c r="F782" t="s">
        <v>31</v>
      </c>
      <c r="G782">
        <v>0.24</v>
      </c>
      <c r="H782">
        <v>0.2424</v>
      </c>
      <c r="I782">
        <v>0.7</v>
      </c>
      <c r="J782">
        <v>0.1343</v>
      </c>
      <c r="K782">
        <v>1</v>
      </c>
      <c r="L782">
        <v>30</v>
      </c>
      <c r="M782">
        <v>31</v>
      </c>
      <c r="N782" t="s">
        <v>18</v>
      </c>
      <c r="O782" t="s">
        <v>85</v>
      </c>
      <c r="P782" t="s">
        <v>91</v>
      </c>
    </row>
    <row r="783" spans="1:16" x14ac:dyDescent="0.3">
      <c r="A783">
        <v>782</v>
      </c>
      <c r="B783" s="1">
        <v>40579</v>
      </c>
      <c r="C783">
        <v>0</v>
      </c>
      <c r="D783" t="b">
        <v>0</v>
      </c>
      <c r="E783" t="s">
        <v>29</v>
      </c>
      <c r="F783" t="s">
        <v>31</v>
      </c>
      <c r="G783">
        <v>0.24</v>
      </c>
      <c r="H783">
        <v>0.2424</v>
      </c>
      <c r="I783">
        <v>0.7</v>
      </c>
      <c r="J783">
        <v>0.16420000000000001</v>
      </c>
      <c r="K783">
        <v>3</v>
      </c>
      <c r="L783">
        <v>36</v>
      </c>
      <c r="M783">
        <v>39</v>
      </c>
      <c r="N783" t="s">
        <v>84</v>
      </c>
      <c r="O783" t="s">
        <v>85</v>
      </c>
      <c r="P783" t="s">
        <v>91</v>
      </c>
    </row>
    <row r="784" spans="1:16" x14ac:dyDescent="0.3">
      <c r="A784">
        <v>783</v>
      </c>
      <c r="B784" s="1">
        <v>40579</v>
      </c>
      <c r="C784">
        <v>1</v>
      </c>
      <c r="D784" t="b">
        <v>0</v>
      </c>
      <c r="E784" t="s">
        <v>29</v>
      </c>
      <c r="F784" t="s">
        <v>31</v>
      </c>
      <c r="G784">
        <v>0.24</v>
      </c>
      <c r="H784">
        <v>0.2424</v>
      </c>
      <c r="I784">
        <v>0.65</v>
      </c>
      <c r="J784">
        <v>0.16420000000000001</v>
      </c>
      <c r="K784">
        <v>1</v>
      </c>
      <c r="L784">
        <v>17</v>
      </c>
      <c r="M784">
        <v>18</v>
      </c>
      <c r="N784" t="s">
        <v>84</v>
      </c>
      <c r="O784" t="s">
        <v>85</v>
      </c>
      <c r="P784" t="s">
        <v>91</v>
      </c>
    </row>
    <row r="785" spans="1:16" x14ac:dyDescent="0.3">
      <c r="A785">
        <v>784</v>
      </c>
      <c r="B785" s="1">
        <v>40579</v>
      </c>
      <c r="C785">
        <v>2</v>
      </c>
      <c r="D785" t="b">
        <v>0</v>
      </c>
      <c r="E785" t="s">
        <v>29</v>
      </c>
      <c r="F785" t="s">
        <v>31</v>
      </c>
      <c r="G785">
        <v>0.24</v>
      </c>
      <c r="H785">
        <v>0.2424</v>
      </c>
      <c r="I785">
        <v>0.75</v>
      </c>
      <c r="J785">
        <v>0.16420000000000001</v>
      </c>
      <c r="K785">
        <v>5</v>
      </c>
      <c r="L785">
        <v>12</v>
      </c>
      <c r="M785">
        <v>17</v>
      </c>
      <c r="N785" t="s">
        <v>84</v>
      </c>
      <c r="O785" t="s">
        <v>85</v>
      </c>
      <c r="P785" t="s">
        <v>91</v>
      </c>
    </row>
    <row r="786" spans="1:16" x14ac:dyDescent="0.3">
      <c r="A786">
        <v>785</v>
      </c>
      <c r="B786" s="1">
        <v>40579</v>
      </c>
      <c r="C786">
        <v>3</v>
      </c>
      <c r="D786" t="b">
        <v>0</v>
      </c>
      <c r="E786" t="s">
        <v>29</v>
      </c>
      <c r="F786" t="s">
        <v>31</v>
      </c>
      <c r="G786">
        <v>0.24</v>
      </c>
      <c r="H786">
        <v>0.2424</v>
      </c>
      <c r="I786">
        <v>0.75</v>
      </c>
      <c r="J786">
        <v>0.16420000000000001</v>
      </c>
      <c r="K786">
        <v>1</v>
      </c>
      <c r="L786">
        <v>10</v>
      </c>
      <c r="M786">
        <v>11</v>
      </c>
      <c r="N786" t="s">
        <v>84</v>
      </c>
      <c r="O786" t="s">
        <v>85</v>
      </c>
      <c r="P786" t="s">
        <v>91</v>
      </c>
    </row>
    <row r="787" spans="1:16" x14ac:dyDescent="0.3">
      <c r="A787">
        <v>786</v>
      </c>
      <c r="B787" s="1">
        <v>40579</v>
      </c>
      <c r="C787">
        <v>4</v>
      </c>
      <c r="D787" t="b">
        <v>0</v>
      </c>
      <c r="E787" t="s">
        <v>29</v>
      </c>
      <c r="F787" t="s">
        <v>32</v>
      </c>
      <c r="G787">
        <v>0.22</v>
      </c>
      <c r="H787">
        <v>0.2273</v>
      </c>
      <c r="I787">
        <v>0.93</v>
      </c>
      <c r="J787">
        <v>0.1343</v>
      </c>
      <c r="K787">
        <v>0</v>
      </c>
      <c r="L787">
        <v>8</v>
      </c>
      <c r="M787">
        <v>8</v>
      </c>
      <c r="N787" t="s">
        <v>84</v>
      </c>
      <c r="O787" t="s">
        <v>85</v>
      </c>
      <c r="P787" t="s">
        <v>92</v>
      </c>
    </row>
    <row r="788" spans="1:16" x14ac:dyDescent="0.3">
      <c r="A788">
        <v>787</v>
      </c>
      <c r="B788" s="1">
        <v>40579</v>
      </c>
      <c r="C788">
        <v>5</v>
      </c>
      <c r="D788" t="b">
        <v>0</v>
      </c>
      <c r="E788" t="s">
        <v>29</v>
      </c>
      <c r="F788" t="s">
        <v>32</v>
      </c>
      <c r="G788">
        <v>0.2</v>
      </c>
      <c r="H788">
        <v>0.2273</v>
      </c>
      <c r="I788">
        <v>1</v>
      </c>
      <c r="J788">
        <v>8.9599999999999999E-2</v>
      </c>
      <c r="K788">
        <v>0</v>
      </c>
      <c r="L788">
        <v>9</v>
      </c>
      <c r="M788">
        <v>9</v>
      </c>
      <c r="N788" t="s">
        <v>84</v>
      </c>
      <c r="O788" t="s">
        <v>85</v>
      </c>
      <c r="P788" t="s">
        <v>92</v>
      </c>
    </row>
    <row r="789" spans="1:16" x14ac:dyDescent="0.3">
      <c r="A789">
        <v>788</v>
      </c>
      <c r="B789" s="1">
        <v>40579</v>
      </c>
      <c r="C789">
        <v>6</v>
      </c>
      <c r="D789" t="b">
        <v>0</v>
      </c>
      <c r="E789" t="s">
        <v>29</v>
      </c>
      <c r="F789" t="s">
        <v>32</v>
      </c>
      <c r="G789">
        <v>0.2</v>
      </c>
      <c r="H789">
        <v>0.2576</v>
      </c>
      <c r="I789">
        <v>1</v>
      </c>
      <c r="J789">
        <v>0</v>
      </c>
      <c r="K789">
        <v>0</v>
      </c>
      <c r="L789">
        <v>4</v>
      </c>
      <c r="M789">
        <v>4</v>
      </c>
      <c r="N789" t="s">
        <v>84</v>
      </c>
      <c r="O789" t="s">
        <v>85</v>
      </c>
      <c r="P789" t="s">
        <v>92</v>
      </c>
    </row>
    <row r="790" spans="1:16" x14ac:dyDescent="0.3">
      <c r="A790">
        <v>789</v>
      </c>
      <c r="B790" s="1">
        <v>40579</v>
      </c>
      <c r="C790">
        <v>7</v>
      </c>
      <c r="D790" t="b">
        <v>0</v>
      </c>
      <c r="E790" t="s">
        <v>29</v>
      </c>
      <c r="F790" t="s">
        <v>32</v>
      </c>
      <c r="G790">
        <v>0.22</v>
      </c>
      <c r="H790">
        <v>0.2576</v>
      </c>
      <c r="I790">
        <v>0.93</v>
      </c>
      <c r="J790">
        <v>8.9599999999999999E-2</v>
      </c>
      <c r="K790">
        <v>0</v>
      </c>
      <c r="L790">
        <v>4</v>
      </c>
      <c r="M790">
        <v>4</v>
      </c>
      <c r="N790" t="s">
        <v>84</v>
      </c>
      <c r="O790" t="s">
        <v>86</v>
      </c>
      <c r="P790" t="s">
        <v>92</v>
      </c>
    </row>
    <row r="791" spans="1:16" x14ac:dyDescent="0.3">
      <c r="A791">
        <v>790</v>
      </c>
      <c r="B791" s="1">
        <v>40579</v>
      </c>
      <c r="C791">
        <v>8</v>
      </c>
      <c r="D791" t="b">
        <v>0</v>
      </c>
      <c r="E791" t="s">
        <v>29</v>
      </c>
      <c r="F791" t="s">
        <v>32</v>
      </c>
      <c r="G791">
        <v>0.2</v>
      </c>
      <c r="H791">
        <v>0.2273</v>
      </c>
      <c r="I791">
        <v>1</v>
      </c>
      <c r="J791">
        <v>8.9599999999999999E-2</v>
      </c>
      <c r="K791">
        <v>0</v>
      </c>
      <c r="L791">
        <v>10</v>
      </c>
      <c r="M791">
        <v>10</v>
      </c>
      <c r="N791" t="s">
        <v>84</v>
      </c>
      <c r="O791" t="s">
        <v>86</v>
      </c>
      <c r="P791" t="s">
        <v>92</v>
      </c>
    </row>
    <row r="792" spans="1:16" x14ac:dyDescent="0.3">
      <c r="A792">
        <v>791</v>
      </c>
      <c r="B792" s="1">
        <v>40579</v>
      </c>
      <c r="C792">
        <v>9</v>
      </c>
      <c r="D792" t="b">
        <v>0</v>
      </c>
      <c r="E792" t="s">
        <v>29</v>
      </c>
      <c r="F792" t="s">
        <v>32</v>
      </c>
      <c r="G792">
        <v>0.2</v>
      </c>
      <c r="H792">
        <v>0.2273</v>
      </c>
      <c r="I792">
        <v>1</v>
      </c>
      <c r="J792">
        <v>8.9599999999999999E-2</v>
      </c>
      <c r="K792">
        <v>3</v>
      </c>
      <c r="L792">
        <v>17</v>
      </c>
      <c r="M792">
        <v>20</v>
      </c>
      <c r="N792" t="s">
        <v>84</v>
      </c>
      <c r="O792" t="s">
        <v>86</v>
      </c>
      <c r="P792" t="s">
        <v>92</v>
      </c>
    </row>
    <row r="793" spans="1:16" x14ac:dyDescent="0.3">
      <c r="A793">
        <v>792</v>
      </c>
      <c r="B793" s="1">
        <v>40579</v>
      </c>
      <c r="C793">
        <v>10</v>
      </c>
      <c r="D793" t="b">
        <v>0</v>
      </c>
      <c r="E793" t="s">
        <v>29</v>
      </c>
      <c r="F793" t="s">
        <v>32</v>
      </c>
      <c r="G793">
        <v>0.2</v>
      </c>
      <c r="H793">
        <v>0.21210000000000001</v>
      </c>
      <c r="I793">
        <v>1</v>
      </c>
      <c r="J793">
        <v>0.1343</v>
      </c>
      <c r="K793">
        <v>3</v>
      </c>
      <c r="L793">
        <v>31</v>
      </c>
      <c r="M793">
        <v>34</v>
      </c>
      <c r="N793" t="s">
        <v>84</v>
      </c>
      <c r="O793" t="s">
        <v>85</v>
      </c>
      <c r="P793" t="s">
        <v>92</v>
      </c>
    </row>
    <row r="794" spans="1:16" x14ac:dyDescent="0.3">
      <c r="A794">
        <v>793</v>
      </c>
      <c r="B794" s="1">
        <v>40579</v>
      </c>
      <c r="C794">
        <v>11</v>
      </c>
      <c r="D794" t="b">
        <v>0</v>
      </c>
      <c r="E794" t="s">
        <v>29</v>
      </c>
      <c r="F794" t="s">
        <v>32</v>
      </c>
      <c r="G794">
        <v>0.22</v>
      </c>
      <c r="H794">
        <v>0.2273</v>
      </c>
      <c r="I794">
        <v>1</v>
      </c>
      <c r="J794">
        <v>0.1343</v>
      </c>
      <c r="K794">
        <v>1</v>
      </c>
      <c r="L794">
        <v>46</v>
      </c>
      <c r="M794">
        <v>47</v>
      </c>
      <c r="N794" t="s">
        <v>84</v>
      </c>
      <c r="O794" t="s">
        <v>85</v>
      </c>
      <c r="P794" t="s">
        <v>92</v>
      </c>
    </row>
    <row r="795" spans="1:16" x14ac:dyDescent="0.3">
      <c r="A795">
        <v>794</v>
      </c>
      <c r="B795" s="1">
        <v>40579</v>
      </c>
      <c r="C795">
        <v>12</v>
      </c>
      <c r="D795" t="b">
        <v>0</v>
      </c>
      <c r="E795" t="s">
        <v>29</v>
      </c>
      <c r="F795" t="s">
        <v>32</v>
      </c>
      <c r="G795">
        <v>0.22</v>
      </c>
      <c r="H795">
        <v>0.2273</v>
      </c>
      <c r="I795">
        <v>1</v>
      </c>
      <c r="J795">
        <v>0.16420000000000001</v>
      </c>
      <c r="K795">
        <v>10</v>
      </c>
      <c r="L795">
        <v>42</v>
      </c>
      <c r="M795">
        <v>52</v>
      </c>
      <c r="N795" t="s">
        <v>84</v>
      </c>
      <c r="O795" t="s">
        <v>85</v>
      </c>
      <c r="P795" t="s">
        <v>92</v>
      </c>
    </row>
    <row r="796" spans="1:16" x14ac:dyDescent="0.3">
      <c r="A796">
        <v>795</v>
      </c>
      <c r="B796" s="1">
        <v>40579</v>
      </c>
      <c r="C796">
        <v>13</v>
      </c>
      <c r="D796" t="b">
        <v>0</v>
      </c>
      <c r="E796" t="s">
        <v>29</v>
      </c>
      <c r="F796" t="s">
        <v>32</v>
      </c>
      <c r="G796">
        <v>0.22</v>
      </c>
      <c r="H796">
        <v>0.2273</v>
      </c>
      <c r="I796">
        <v>1</v>
      </c>
      <c r="J796">
        <v>0.16420000000000001</v>
      </c>
      <c r="K796">
        <v>10</v>
      </c>
      <c r="L796">
        <v>62</v>
      </c>
      <c r="M796">
        <v>72</v>
      </c>
      <c r="N796" t="s">
        <v>84</v>
      </c>
      <c r="O796" t="s">
        <v>85</v>
      </c>
      <c r="P796" t="s">
        <v>92</v>
      </c>
    </row>
    <row r="797" spans="1:16" x14ac:dyDescent="0.3">
      <c r="A797">
        <v>796</v>
      </c>
      <c r="B797" s="1">
        <v>40579</v>
      </c>
      <c r="C797">
        <v>14</v>
      </c>
      <c r="D797" t="b">
        <v>0</v>
      </c>
      <c r="E797" t="s">
        <v>29</v>
      </c>
      <c r="F797" t="s">
        <v>32</v>
      </c>
      <c r="G797">
        <v>0.22</v>
      </c>
      <c r="H797">
        <v>0.2727</v>
      </c>
      <c r="I797">
        <v>1</v>
      </c>
      <c r="J797">
        <v>0</v>
      </c>
      <c r="K797">
        <v>5</v>
      </c>
      <c r="L797">
        <v>50</v>
      </c>
      <c r="M797">
        <v>55</v>
      </c>
      <c r="N797" t="s">
        <v>84</v>
      </c>
      <c r="O797" t="s">
        <v>85</v>
      </c>
      <c r="P797" t="s">
        <v>92</v>
      </c>
    </row>
    <row r="798" spans="1:16" x14ac:dyDescent="0.3">
      <c r="A798">
        <v>797</v>
      </c>
      <c r="B798" s="1">
        <v>40579</v>
      </c>
      <c r="C798">
        <v>15</v>
      </c>
      <c r="D798" t="b">
        <v>0</v>
      </c>
      <c r="E798" t="s">
        <v>29</v>
      </c>
      <c r="F798" t="s">
        <v>32</v>
      </c>
      <c r="G798">
        <v>0.22</v>
      </c>
      <c r="H798">
        <v>0.2727</v>
      </c>
      <c r="I798">
        <v>1</v>
      </c>
      <c r="J798">
        <v>0</v>
      </c>
      <c r="K798">
        <v>11</v>
      </c>
      <c r="L798">
        <v>49</v>
      </c>
      <c r="M798">
        <v>60</v>
      </c>
      <c r="N798" t="s">
        <v>84</v>
      </c>
      <c r="O798" t="s">
        <v>85</v>
      </c>
      <c r="P798" t="s">
        <v>92</v>
      </c>
    </row>
    <row r="799" spans="1:16" x14ac:dyDescent="0.3">
      <c r="A799">
        <v>798</v>
      </c>
      <c r="B799" s="1">
        <v>40579</v>
      </c>
      <c r="C799">
        <v>16</v>
      </c>
      <c r="D799" t="b">
        <v>0</v>
      </c>
      <c r="E799" t="s">
        <v>29</v>
      </c>
      <c r="F799" t="s">
        <v>32</v>
      </c>
      <c r="G799">
        <v>0.22</v>
      </c>
      <c r="H799">
        <v>0.2273</v>
      </c>
      <c r="I799">
        <v>1</v>
      </c>
      <c r="J799">
        <v>0.1343</v>
      </c>
      <c r="K799">
        <v>8</v>
      </c>
      <c r="L799">
        <v>63</v>
      </c>
      <c r="M799">
        <v>71</v>
      </c>
      <c r="N799" t="s">
        <v>84</v>
      </c>
      <c r="O799" t="s">
        <v>85</v>
      </c>
      <c r="P799" t="s">
        <v>92</v>
      </c>
    </row>
    <row r="800" spans="1:16" x14ac:dyDescent="0.3">
      <c r="A800">
        <v>799</v>
      </c>
      <c r="B800" s="1">
        <v>40579</v>
      </c>
      <c r="C800">
        <v>17</v>
      </c>
      <c r="D800" t="b">
        <v>0</v>
      </c>
      <c r="E800" t="s">
        <v>29</v>
      </c>
      <c r="F800" t="s">
        <v>31</v>
      </c>
      <c r="G800">
        <v>0.24</v>
      </c>
      <c r="H800">
        <v>0.21210000000000001</v>
      </c>
      <c r="I800">
        <v>1</v>
      </c>
      <c r="J800">
        <v>0.28360000000000002</v>
      </c>
      <c r="K800">
        <v>14</v>
      </c>
      <c r="L800">
        <v>64</v>
      </c>
      <c r="M800">
        <v>78</v>
      </c>
      <c r="N800" t="s">
        <v>84</v>
      </c>
      <c r="O800" t="s">
        <v>87</v>
      </c>
      <c r="P800" t="s">
        <v>91</v>
      </c>
    </row>
    <row r="801" spans="1:16" x14ac:dyDescent="0.3">
      <c r="A801">
        <v>800</v>
      </c>
      <c r="B801" s="1">
        <v>40579</v>
      </c>
      <c r="C801">
        <v>18</v>
      </c>
      <c r="D801" t="b">
        <v>0</v>
      </c>
      <c r="E801" t="s">
        <v>29</v>
      </c>
      <c r="F801" t="s">
        <v>31</v>
      </c>
      <c r="G801">
        <v>0.28000000000000003</v>
      </c>
      <c r="H801">
        <v>0.2424</v>
      </c>
      <c r="I801">
        <v>0.93</v>
      </c>
      <c r="J801">
        <v>0.44779999999999998</v>
      </c>
      <c r="K801">
        <v>2</v>
      </c>
      <c r="L801">
        <v>81</v>
      </c>
      <c r="M801">
        <v>83</v>
      </c>
      <c r="N801" t="s">
        <v>84</v>
      </c>
      <c r="O801" t="s">
        <v>87</v>
      </c>
      <c r="P801" t="s">
        <v>91</v>
      </c>
    </row>
    <row r="802" spans="1:16" x14ac:dyDescent="0.3">
      <c r="A802">
        <v>801</v>
      </c>
      <c r="B802" s="1">
        <v>40579</v>
      </c>
      <c r="C802">
        <v>19</v>
      </c>
      <c r="D802" t="b">
        <v>0</v>
      </c>
      <c r="E802" t="s">
        <v>29</v>
      </c>
      <c r="F802" t="s">
        <v>31</v>
      </c>
      <c r="G802">
        <v>0.28000000000000003</v>
      </c>
      <c r="H802">
        <v>0.2424</v>
      </c>
      <c r="I802">
        <v>0.93</v>
      </c>
      <c r="J802">
        <v>0.44779999999999998</v>
      </c>
      <c r="K802">
        <v>6</v>
      </c>
      <c r="L802">
        <v>78</v>
      </c>
      <c r="M802">
        <v>84</v>
      </c>
      <c r="N802" t="s">
        <v>84</v>
      </c>
      <c r="O802" t="s">
        <v>87</v>
      </c>
      <c r="P802" t="s">
        <v>91</v>
      </c>
    </row>
    <row r="803" spans="1:16" x14ac:dyDescent="0.3">
      <c r="A803">
        <v>802</v>
      </c>
      <c r="B803" s="1">
        <v>40579</v>
      </c>
      <c r="C803">
        <v>20</v>
      </c>
      <c r="D803" t="b">
        <v>0</v>
      </c>
      <c r="E803" t="s">
        <v>29</v>
      </c>
      <c r="F803" t="s">
        <v>30</v>
      </c>
      <c r="G803">
        <v>0.3</v>
      </c>
      <c r="H803">
        <v>0.28789999999999999</v>
      </c>
      <c r="I803">
        <v>0.87</v>
      </c>
      <c r="J803">
        <v>0.25369999999999998</v>
      </c>
      <c r="K803">
        <v>5</v>
      </c>
      <c r="L803">
        <v>64</v>
      </c>
      <c r="M803">
        <v>69</v>
      </c>
      <c r="N803" t="s">
        <v>84</v>
      </c>
      <c r="O803" t="s">
        <v>85</v>
      </c>
      <c r="P803" t="s">
        <v>90</v>
      </c>
    </row>
    <row r="804" spans="1:16" x14ac:dyDescent="0.3">
      <c r="A804">
        <v>803</v>
      </c>
      <c r="B804" s="1">
        <v>40579</v>
      </c>
      <c r="C804">
        <v>21</v>
      </c>
      <c r="D804" t="b">
        <v>0</v>
      </c>
      <c r="E804" t="s">
        <v>29</v>
      </c>
      <c r="F804" t="s">
        <v>30</v>
      </c>
      <c r="G804">
        <v>0.26</v>
      </c>
      <c r="H804">
        <v>0.2576</v>
      </c>
      <c r="I804">
        <v>1</v>
      </c>
      <c r="J804">
        <v>0.19400000000000001</v>
      </c>
      <c r="K804">
        <v>3</v>
      </c>
      <c r="L804">
        <v>53</v>
      </c>
      <c r="M804">
        <v>56</v>
      </c>
      <c r="N804" t="s">
        <v>84</v>
      </c>
      <c r="O804" t="s">
        <v>85</v>
      </c>
      <c r="P804" t="s">
        <v>90</v>
      </c>
    </row>
    <row r="805" spans="1:16" x14ac:dyDescent="0.3">
      <c r="A805">
        <v>804</v>
      </c>
      <c r="B805" s="1">
        <v>40579</v>
      </c>
      <c r="C805">
        <v>22</v>
      </c>
      <c r="D805" t="b">
        <v>0</v>
      </c>
      <c r="E805" t="s">
        <v>29</v>
      </c>
      <c r="F805" t="s">
        <v>30</v>
      </c>
      <c r="G805">
        <v>0.26</v>
      </c>
      <c r="H805">
        <v>0.2727</v>
      </c>
      <c r="I805">
        <v>0.93</v>
      </c>
      <c r="J805">
        <v>0.1343</v>
      </c>
      <c r="K805">
        <v>2</v>
      </c>
      <c r="L805">
        <v>43</v>
      </c>
      <c r="M805">
        <v>45</v>
      </c>
      <c r="N805" t="s">
        <v>84</v>
      </c>
      <c r="O805" t="s">
        <v>85</v>
      </c>
      <c r="P805" t="s">
        <v>90</v>
      </c>
    </row>
    <row r="806" spans="1:16" x14ac:dyDescent="0.3">
      <c r="A806">
        <v>805</v>
      </c>
      <c r="B806" s="1">
        <v>40579</v>
      </c>
      <c r="C806">
        <v>23</v>
      </c>
      <c r="D806" t="b">
        <v>0</v>
      </c>
      <c r="E806" t="s">
        <v>29</v>
      </c>
      <c r="F806" t="s">
        <v>30</v>
      </c>
      <c r="G806">
        <v>0.26</v>
      </c>
      <c r="H806">
        <v>0.2576</v>
      </c>
      <c r="I806">
        <v>0.93</v>
      </c>
      <c r="J806">
        <v>0.22389999999999999</v>
      </c>
      <c r="K806">
        <v>7</v>
      </c>
      <c r="L806">
        <v>52</v>
      </c>
      <c r="M806">
        <v>59</v>
      </c>
      <c r="N806" t="s">
        <v>84</v>
      </c>
      <c r="O806" t="s">
        <v>85</v>
      </c>
      <c r="P806" t="s">
        <v>90</v>
      </c>
    </row>
    <row r="807" spans="1:16" x14ac:dyDescent="0.3">
      <c r="A807">
        <v>806</v>
      </c>
      <c r="B807" s="1">
        <v>40580</v>
      </c>
      <c r="C807">
        <v>0</v>
      </c>
      <c r="D807" t="b">
        <v>0</v>
      </c>
      <c r="E807" t="s">
        <v>23</v>
      </c>
      <c r="F807" t="s">
        <v>30</v>
      </c>
      <c r="G807">
        <v>0.26</v>
      </c>
      <c r="H807">
        <v>0.2576</v>
      </c>
      <c r="I807">
        <v>0.7</v>
      </c>
      <c r="J807">
        <v>0.19400000000000001</v>
      </c>
      <c r="K807">
        <v>2</v>
      </c>
      <c r="L807">
        <v>37</v>
      </c>
      <c r="M807">
        <v>39</v>
      </c>
      <c r="N807" t="s">
        <v>84</v>
      </c>
      <c r="O807" t="s">
        <v>85</v>
      </c>
      <c r="P807" t="s">
        <v>90</v>
      </c>
    </row>
    <row r="808" spans="1:16" x14ac:dyDescent="0.3">
      <c r="A808">
        <v>807</v>
      </c>
      <c r="B808" s="1">
        <v>40580</v>
      </c>
      <c r="C808">
        <v>1</v>
      </c>
      <c r="D808" t="b">
        <v>0</v>
      </c>
      <c r="E808" t="s">
        <v>23</v>
      </c>
      <c r="F808" t="s">
        <v>30</v>
      </c>
      <c r="G808">
        <v>0.26</v>
      </c>
      <c r="H808">
        <v>0.2273</v>
      </c>
      <c r="I808">
        <v>0.65</v>
      </c>
      <c r="J808">
        <v>0.41789999999999999</v>
      </c>
      <c r="K808">
        <v>4</v>
      </c>
      <c r="L808">
        <v>40</v>
      </c>
      <c r="M808">
        <v>44</v>
      </c>
      <c r="N808" t="s">
        <v>84</v>
      </c>
      <c r="O808" t="s">
        <v>85</v>
      </c>
      <c r="P808" t="s">
        <v>90</v>
      </c>
    </row>
    <row r="809" spans="1:16" x14ac:dyDescent="0.3">
      <c r="A809">
        <v>808</v>
      </c>
      <c r="B809" s="1">
        <v>40580</v>
      </c>
      <c r="C809">
        <v>2</v>
      </c>
      <c r="D809" t="b">
        <v>0</v>
      </c>
      <c r="E809" t="s">
        <v>23</v>
      </c>
      <c r="F809" t="s">
        <v>30</v>
      </c>
      <c r="G809">
        <v>0.26</v>
      </c>
      <c r="H809">
        <v>0.2273</v>
      </c>
      <c r="I809">
        <v>0.6</v>
      </c>
      <c r="J809">
        <v>0.32840000000000003</v>
      </c>
      <c r="K809">
        <v>0</v>
      </c>
      <c r="L809">
        <v>20</v>
      </c>
      <c r="M809">
        <v>20</v>
      </c>
      <c r="N809" t="s">
        <v>84</v>
      </c>
      <c r="O809" t="s">
        <v>85</v>
      </c>
      <c r="P809" t="s">
        <v>90</v>
      </c>
    </row>
    <row r="810" spans="1:16" x14ac:dyDescent="0.3">
      <c r="A810">
        <v>809</v>
      </c>
      <c r="B810" s="1">
        <v>40580</v>
      </c>
      <c r="C810">
        <v>3</v>
      </c>
      <c r="D810" t="b">
        <v>0</v>
      </c>
      <c r="E810" t="s">
        <v>23</v>
      </c>
      <c r="F810" t="s">
        <v>30</v>
      </c>
      <c r="G810">
        <v>0.26</v>
      </c>
      <c r="H810">
        <v>0.28789999999999999</v>
      </c>
      <c r="I810">
        <v>0.6</v>
      </c>
      <c r="J810">
        <v>8.9599999999999999E-2</v>
      </c>
      <c r="K810">
        <v>3</v>
      </c>
      <c r="L810">
        <v>10</v>
      </c>
      <c r="M810">
        <v>13</v>
      </c>
      <c r="N810" t="s">
        <v>84</v>
      </c>
      <c r="O810" t="s">
        <v>85</v>
      </c>
      <c r="P810" t="s">
        <v>90</v>
      </c>
    </row>
    <row r="811" spans="1:16" x14ac:dyDescent="0.3">
      <c r="A811">
        <v>810</v>
      </c>
      <c r="B811" s="1">
        <v>40580</v>
      </c>
      <c r="C811">
        <v>4</v>
      </c>
      <c r="D811" t="b">
        <v>0</v>
      </c>
      <c r="E811" t="s">
        <v>23</v>
      </c>
      <c r="F811" t="s">
        <v>30</v>
      </c>
      <c r="G811">
        <v>0.26</v>
      </c>
      <c r="H811">
        <v>0.2273</v>
      </c>
      <c r="I811">
        <v>0.6</v>
      </c>
      <c r="J811">
        <v>0.35820000000000002</v>
      </c>
      <c r="K811">
        <v>0</v>
      </c>
      <c r="L811">
        <v>2</v>
      </c>
      <c r="M811">
        <v>2</v>
      </c>
      <c r="N811" t="s">
        <v>84</v>
      </c>
      <c r="O811" t="s">
        <v>85</v>
      </c>
      <c r="P811" t="s">
        <v>90</v>
      </c>
    </row>
    <row r="812" spans="1:16" x14ac:dyDescent="0.3">
      <c r="A812">
        <v>811</v>
      </c>
      <c r="B812" s="1">
        <v>40580</v>
      </c>
      <c r="C812">
        <v>5</v>
      </c>
      <c r="D812" t="b">
        <v>0</v>
      </c>
      <c r="E812" t="s">
        <v>23</v>
      </c>
      <c r="F812" t="s">
        <v>30</v>
      </c>
      <c r="G812">
        <v>0.26</v>
      </c>
      <c r="H812">
        <v>0.2576</v>
      </c>
      <c r="I812">
        <v>0.6</v>
      </c>
      <c r="J812">
        <v>0.22389999999999999</v>
      </c>
      <c r="K812">
        <v>0</v>
      </c>
      <c r="L812">
        <v>1</v>
      </c>
      <c r="M812">
        <v>1</v>
      </c>
      <c r="N812" t="s">
        <v>84</v>
      </c>
      <c r="O812" t="s">
        <v>85</v>
      </c>
      <c r="P812" t="s">
        <v>90</v>
      </c>
    </row>
    <row r="813" spans="1:16" x14ac:dyDescent="0.3">
      <c r="A813">
        <v>812</v>
      </c>
      <c r="B813" s="1">
        <v>40580</v>
      </c>
      <c r="C813">
        <v>6</v>
      </c>
      <c r="D813" t="b">
        <v>0</v>
      </c>
      <c r="E813" t="s">
        <v>23</v>
      </c>
      <c r="F813" t="s">
        <v>30</v>
      </c>
      <c r="G813">
        <v>0.26</v>
      </c>
      <c r="H813">
        <v>0.2576</v>
      </c>
      <c r="I813">
        <v>0.6</v>
      </c>
      <c r="J813">
        <v>0.22389999999999999</v>
      </c>
      <c r="K813">
        <v>0</v>
      </c>
      <c r="L813">
        <v>1</v>
      </c>
      <c r="M813">
        <v>1</v>
      </c>
      <c r="N813" t="s">
        <v>84</v>
      </c>
      <c r="O813" t="s">
        <v>85</v>
      </c>
      <c r="P813" t="s">
        <v>90</v>
      </c>
    </row>
    <row r="814" spans="1:16" x14ac:dyDescent="0.3">
      <c r="A814">
        <v>813</v>
      </c>
      <c r="B814" s="1">
        <v>40580</v>
      </c>
      <c r="C814">
        <v>7</v>
      </c>
      <c r="D814" t="b">
        <v>0</v>
      </c>
      <c r="E814" t="s">
        <v>23</v>
      </c>
      <c r="F814" t="s">
        <v>30</v>
      </c>
      <c r="G814">
        <v>0.24</v>
      </c>
      <c r="H814">
        <v>0.2424</v>
      </c>
      <c r="I814">
        <v>0.65</v>
      </c>
      <c r="J814">
        <v>0.16420000000000001</v>
      </c>
      <c r="K814">
        <v>0</v>
      </c>
      <c r="L814">
        <v>8</v>
      </c>
      <c r="M814">
        <v>8</v>
      </c>
      <c r="N814" t="s">
        <v>84</v>
      </c>
      <c r="O814" t="s">
        <v>86</v>
      </c>
      <c r="P814" t="s">
        <v>90</v>
      </c>
    </row>
    <row r="815" spans="1:16" x14ac:dyDescent="0.3">
      <c r="A815">
        <v>814</v>
      </c>
      <c r="B815" s="1">
        <v>40580</v>
      </c>
      <c r="C815">
        <v>8</v>
      </c>
      <c r="D815" t="b">
        <v>0</v>
      </c>
      <c r="E815" t="s">
        <v>23</v>
      </c>
      <c r="F815" t="s">
        <v>30</v>
      </c>
      <c r="G815">
        <v>0.24</v>
      </c>
      <c r="H815">
        <v>0.2576</v>
      </c>
      <c r="I815">
        <v>0.65</v>
      </c>
      <c r="J815">
        <v>0.1045</v>
      </c>
      <c r="K815">
        <v>2</v>
      </c>
      <c r="L815">
        <v>21</v>
      </c>
      <c r="M815">
        <v>23</v>
      </c>
      <c r="N815" t="s">
        <v>84</v>
      </c>
      <c r="O815" t="s">
        <v>86</v>
      </c>
      <c r="P815" t="s">
        <v>90</v>
      </c>
    </row>
    <row r="816" spans="1:16" x14ac:dyDescent="0.3">
      <c r="A816">
        <v>815</v>
      </c>
      <c r="B816" s="1">
        <v>40580</v>
      </c>
      <c r="C816">
        <v>9</v>
      </c>
      <c r="D816" t="b">
        <v>0</v>
      </c>
      <c r="E816" t="s">
        <v>23</v>
      </c>
      <c r="F816" t="s">
        <v>30</v>
      </c>
      <c r="G816">
        <v>0.28000000000000003</v>
      </c>
      <c r="H816">
        <v>0.28789999999999999</v>
      </c>
      <c r="I816">
        <v>0.56000000000000005</v>
      </c>
      <c r="J816">
        <v>0.1045</v>
      </c>
      <c r="K816">
        <v>7</v>
      </c>
      <c r="L816">
        <v>38</v>
      </c>
      <c r="M816">
        <v>45</v>
      </c>
      <c r="N816" t="s">
        <v>84</v>
      </c>
      <c r="O816" t="s">
        <v>86</v>
      </c>
      <c r="P816" t="s">
        <v>90</v>
      </c>
    </row>
    <row r="817" spans="1:16" x14ac:dyDescent="0.3">
      <c r="A817">
        <v>816</v>
      </c>
      <c r="B817" s="1">
        <v>40580</v>
      </c>
      <c r="C817">
        <v>10</v>
      </c>
      <c r="D817" t="b">
        <v>0</v>
      </c>
      <c r="E817" t="s">
        <v>23</v>
      </c>
      <c r="F817" t="s">
        <v>30</v>
      </c>
      <c r="G817">
        <v>0.3</v>
      </c>
      <c r="H817">
        <v>0.28789999999999999</v>
      </c>
      <c r="I817">
        <v>0.52</v>
      </c>
      <c r="J817">
        <v>0.25369999999999998</v>
      </c>
      <c r="K817">
        <v>15</v>
      </c>
      <c r="L817">
        <v>74</v>
      </c>
      <c r="M817">
        <v>89</v>
      </c>
      <c r="N817" t="s">
        <v>84</v>
      </c>
      <c r="O817" t="s">
        <v>85</v>
      </c>
      <c r="P817" t="s">
        <v>90</v>
      </c>
    </row>
    <row r="818" spans="1:16" x14ac:dyDescent="0.3">
      <c r="A818">
        <v>817</v>
      </c>
      <c r="B818" s="1">
        <v>40580</v>
      </c>
      <c r="C818">
        <v>11</v>
      </c>
      <c r="D818" t="b">
        <v>0</v>
      </c>
      <c r="E818" t="s">
        <v>23</v>
      </c>
      <c r="F818" t="s">
        <v>30</v>
      </c>
      <c r="G818">
        <v>0.32</v>
      </c>
      <c r="H818">
        <v>0.30299999999999999</v>
      </c>
      <c r="I818">
        <v>0.49</v>
      </c>
      <c r="J818">
        <v>0.25369999999999998</v>
      </c>
      <c r="K818">
        <v>28</v>
      </c>
      <c r="L818">
        <v>89</v>
      </c>
      <c r="M818">
        <v>117</v>
      </c>
      <c r="N818" t="s">
        <v>84</v>
      </c>
      <c r="O818" t="s">
        <v>85</v>
      </c>
      <c r="P818" t="s">
        <v>90</v>
      </c>
    </row>
    <row r="819" spans="1:16" x14ac:dyDescent="0.3">
      <c r="A819">
        <v>818</v>
      </c>
      <c r="B819" s="1">
        <v>40580</v>
      </c>
      <c r="C819">
        <v>12</v>
      </c>
      <c r="D819" t="b">
        <v>0</v>
      </c>
      <c r="E819" t="s">
        <v>23</v>
      </c>
      <c r="F819" t="s">
        <v>30</v>
      </c>
      <c r="G819">
        <v>0.34</v>
      </c>
      <c r="H819">
        <v>0.33329999999999999</v>
      </c>
      <c r="I819">
        <v>0.46</v>
      </c>
      <c r="J819">
        <v>0</v>
      </c>
      <c r="K819">
        <v>48</v>
      </c>
      <c r="L819">
        <v>126</v>
      </c>
      <c r="M819">
        <v>174</v>
      </c>
      <c r="N819" t="s">
        <v>84</v>
      </c>
      <c r="O819" t="s">
        <v>85</v>
      </c>
      <c r="P819" t="s">
        <v>90</v>
      </c>
    </row>
    <row r="820" spans="1:16" x14ac:dyDescent="0.3">
      <c r="A820">
        <v>819</v>
      </c>
      <c r="B820" s="1">
        <v>40580</v>
      </c>
      <c r="C820">
        <v>13</v>
      </c>
      <c r="D820" t="b">
        <v>0</v>
      </c>
      <c r="E820" t="s">
        <v>23</v>
      </c>
      <c r="F820" t="s">
        <v>30</v>
      </c>
      <c r="G820">
        <v>0.34</v>
      </c>
      <c r="H820">
        <v>0.36359999999999998</v>
      </c>
      <c r="I820">
        <v>0.46</v>
      </c>
      <c r="J820">
        <v>0</v>
      </c>
      <c r="K820">
        <v>47</v>
      </c>
      <c r="L820">
        <v>135</v>
      </c>
      <c r="M820">
        <v>182</v>
      </c>
      <c r="N820" t="s">
        <v>84</v>
      </c>
      <c r="O820" t="s">
        <v>85</v>
      </c>
      <c r="P820" t="s">
        <v>90</v>
      </c>
    </row>
    <row r="821" spans="1:16" x14ac:dyDescent="0.3">
      <c r="A821">
        <v>820</v>
      </c>
      <c r="B821" s="1">
        <v>40580</v>
      </c>
      <c r="C821">
        <v>14</v>
      </c>
      <c r="D821" t="b">
        <v>0</v>
      </c>
      <c r="E821" t="s">
        <v>23</v>
      </c>
      <c r="F821" t="s">
        <v>30</v>
      </c>
      <c r="G821">
        <v>0.34</v>
      </c>
      <c r="H821">
        <v>0.34849999999999998</v>
      </c>
      <c r="I821">
        <v>0.46</v>
      </c>
      <c r="J821">
        <v>8.9599999999999999E-2</v>
      </c>
      <c r="K821">
        <v>47</v>
      </c>
      <c r="L821">
        <v>114</v>
      </c>
      <c r="M821">
        <v>161</v>
      </c>
      <c r="N821" t="s">
        <v>84</v>
      </c>
      <c r="O821" t="s">
        <v>85</v>
      </c>
      <c r="P821" t="s">
        <v>90</v>
      </c>
    </row>
    <row r="822" spans="1:16" x14ac:dyDescent="0.3">
      <c r="A822">
        <v>821</v>
      </c>
      <c r="B822" s="1">
        <v>40580</v>
      </c>
      <c r="C822">
        <v>15</v>
      </c>
      <c r="D822" t="b">
        <v>0</v>
      </c>
      <c r="E822" t="s">
        <v>23</v>
      </c>
      <c r="F822" t="s">
        <v>30</v>
      </c>
      <c r="G822">
        <v>0.34</v>
      </c>
      <c r="H822">
        <v>0.34849999999999998</v>
      </c>
      <c r="I822">
        <v>0.46</v>
      </c>
      <c r="J822">
        <v>8.9599999999999999E-2</v>
      </c>
      <c r="K822">
        <v>52</v>
      </c>
      <c r="L822">
        <v>130</v>
      </c>
      <c r="M822">
        <v>182</v>
      </c>
      <c r="N822" t="s">
        <v>84</v>
      </c>
      <c r="O822" t="s">
        <v>85</v>
      </c>
      <c r="P822" t="s">
        <v>90</v>
      </c>
    </row>
    <row r="823" spans="1:16" x14ac:dyDescent="0.3">
      <c r="A823">
        <v>822</v>
      </c>
      <c r="B823" s="1">
        <v>40580</v>
      </c>
      <c r="C823">
        <v>16</v>
      </c>
      <c r="D823" t="b">
        <v>0</v>
      </c>
      <c r="E823" t="s">
        <v>23</v>
      </c>
      <c r="F823" t="s">
        <v>30</v>
      </c>
      <c r="G823">
        <v>0.34</v>
      </c>
      <c r="H823">
        <v>0.34849999999999998</v>
      </c>
      <c r="I823">
        <v>0.49</v>
      </c>
      <c r="J823">
        <v>0.1045</v>
      </c>
      <c r="K823">
        <v>42</v>
      </c>
      <c r="L823">
        <v>115</v>
      </c>
      <c r="M823">
        <v>157</v>
      </c>
      <c r="N823" t="s">
        <v>84</v>
      </c>
      <c r="O823" t="s">
        <v>85</v>
      </c>
      <c r="P823" t="s">
        <v>90</v>
      </c>
    </row>
    <row r="824" spans="1:16" x14ac:dyDescent="0.3">
      <c r="A824">
        <v>823</v>
      </c>
      <c r="B824" s="1">
        <v>40580</v>
      </c>
      <c r="C824">
        <v>17</v>
      </c>
      <c r="D824" t="b">
        <v>0</v>
      </c>
      <c r="E824" t="s">
        <v>23</v>
      </c>
      <c r="F824" t="s">
        <v>30</v>
      </c>
      <c r="G824">
        <v>0.34</v>
      </c>
      <c r="H824">
        <v>0.36359999999999998</v>
      </c>
      <c r="I824">
        <v>0.46</v>
      </c>
      <c r="J824">
        <v>0</v>
      </c>
      <c r="K824">
        <v>24</v>
      </c>
      <c r="L824">
        <v>97</v>
      </c>
      <c r="M824">
        <v>121</v>
      </c>
      <c r="N824" t="s">
        <v>84</v>
      </c>
      <c r="O824" t="s">
        <v>87</v>
      </c>
      <c r="P824" t="s">
        <v>90</v>
      </c>
    </row>
    <row r="825" spans="1:16" x14ac:dyDescent="0.3">
      <c r="A825">
        <v>824</v>
      </c>
      <c r="B825" s="1">
        <v>40580</v>
      </c>
      <c r="C825">
        <v>18</v>
      </c>
      <c r="D825" t="b">
        <v>0</v>
      </c>
      <c r="E825" t="s">
        <v>23</v>
      </c>
      <c r="F825" t="s">
        <v>30</v>
      </c>
      <c r="G825">
        <v>0.3</v>
      </c>
      <c r="H825">
        <v>0.30299999999999999</v>
      </c>
      <c r="I825">
        <v>0.56000000000000005</v>
      </c>
      <c r="J825">
        <v>0.16420000000000001</v>
      </c>
      <c r="K825">
        <v>13</v>
      </c>
      <c r="L825">
        <v>65</v>
      </c>
      <c r="M825">
        <v>78</v>
      </c>
      <c r="N825" t="s">
        <v>84</v>
      </c>
      <c r="O825" t="s">
        <v>87</v>
      </c>
      <c r="P825" t="s">
        <v>90</v>
      </c>
    </row>
    <row r="826" spans="1:16" x14ac:dyDescent="0.3">
      <c r="A826">
        <v>825</v>
      </c>
      <c r="B826" s="1">
        <v>40580</v>
      </c>
      <c r="C826">
        <v>19</v>
      </c>
      <c r="D826" t="b">
        <v>0</v>
      </c>
      <c r="E826" t="s">
        <v>23</v>
      </c>
      <c r="F826" t="s">
        <v>30</v>
      </c>
      <c r="G826">
        <v>0.28000000000000003</v>
      </c>
      <c r="H826">
        <v>0.28789999999999999</v>
      </c>
      <c r="I826">
        <v>0.61</v>
      </c>
      <c r="J826">
        <v>0.1343</v>
      </c>
      <c r="K826">
        <v>1</v>
      </c>
      <c r="L826">
        <v>20</v>
      </c>
      <c r="M826">
        <v>21</v>
      </c>
      <c r="N826" t="s">
        <v>84</v>
      </c>
      <c r="O826" t="s">
        <v>87</v>
      </c>
      <c r="P826" t="s">
        <v>90</v>
      </c>
    </row>
    <row r="827" spans="1:16" x14ac:dyDescent="0.3">
      <c r="A827">
        <v>826</v>
      </c>
      <c r="B827" s="1">
        <v>40580</v>
      </c>
      <c r="C827">
        <v>20</v>
      </c>
      <c r="D827" t="b">
        <v>0</v>
      </c>
      <c r="E827" t="s">
        <v>23</v>
      </c>
      <c r="F827" t="s">
        <v>30</v>
      </c>
      <c r="G827">
        <v>0.28000000000000003</v>
      </c>
      <c r="H827">
        <v>0.28789999999999999</v>
      </c>
      <c r="I827">
        <v>0.61</v>
      </c>
      <c r="J827">
        <v>0.1045</v>
      </c>
      <c r="K827">
        <v>5</v>
      </c>
      <c r="L827">
        <v>21</v>
      </c>
      <c r="M827">
        <v>26</v>
      </c>
      <c r="N827" t="s">
        <v>84</v>
      </c>
      <c r="O827" t="s">
        <v>85</v>
      </c>
      <c r="P827" t="s">
        <v>90</v>
      </c>
    </row>
    <row r="828" spans="1:16" x14ac:dyDescent="0.3">
      <c r="A828">
        <v>827</v>
      </c>
      <c r="B828" s="1">
        <v>40580</v>
      </c>
      <c r="C828">
        <v>21</v>
      </c>
      <c r="D828" t="b">
        <v>0</v>
      </c>
      <c r="E828" t="s">
        <v>23</v>
      </c>
      <c r="F828" t="s">
        <v>30</v>
      </c>
      <c r="G828">
        <v>0.26</v>
      </c>
      <c r="H828">
        <v>0.30299999999999999</v>
      </c>
      <c r="I828">
        <v>0.6</v>
      </c>
      <c r="J828">
        <v>0</v>
      </c>
      <c r="K828">
        <v>5</v>
      </c>
      <c r="L828">
        <v>22</v>
      </c>
      <c r="M828">
        <v>27</v>
      </c>
      <c r="N828" t="s">
        <v>84</v>
      </c>
      <c r="O828" t="s">
        <v>85</v>
      </c>
      <c r="P828" t="s">
        <v>90</v>
      </c>
    </row>
    <row r="829" spans="1:16" x14ac:dyDescent="0.3">
      <c r="A829">
        <v>828</v>
      </c>
      <c r="B829" s="1">
        <v>40580</v>
      </c>
      <c r="C829">
        <v>22</v>
      </c>
      <c r="D829" t="b">
        <v>0</v>
      </c>
      <c r="E829" t="s">
        <v>23</v>
      </c>
      <c r="F829" t="s">
        <v>30</v>
      </c>
      <c r="G829">
        <v>0.26</v>
      </c>
      <c r="H829">
        <v>0.30299999999999999</v>
      </c>
      <c r="I829">
        <v>0.6</v>
      </c>
      <c r="J829">
        <v>0</v>
      </c>
      <c r="K829">
        <v>5</v>
      </c>
      <c r="L829">
        <v>57</v>
      </c>
      <c r="M829">
        <v>62</v>
      </c>
      <c r="N829" t="s">
        <v>84</v>
      </c>
      <c r="O829" t="s">
        <v>85</v>
      </c>
      <c r="P829" t="s">
        <v>90</v>
      </c>
    </row>
    <row r="830" spans="1:16" x14ac:dyDescent="0.3">
      <c r="A830">
        <v>829</v>
      </c>
      <c r="B830" s="1">
        <v>40580</v>
      </c>
      <c r="C830">
        <v>23</v>
      </c>
      <c r="D830" t="b">
        <v>0</v>
      </c>
      <c r="E830" t="s">
        <v>23</v>
      </c>
      <c r="F830" t="s">
        <v>30</v>
      </c>
      <c r="G830">
        <v>0.24</v>
      </c>
      <c r="H830">
        <v>0.28789999999999999</v>
      </c>
      <c r="I830">
        <v>0.65</v>
      </c>
      <c r="J830">
        <v>0</v>
      </c>
      <c r="K830">
        <v>4</v>
      </c>
      <c r="L830">
        <v>26</v>
      </c>
      <c r="M830">
        <v>30</v>
      </c>
      <c r="N830" t="s">
        <v>84</v>
      </c>
      <c r="O830" t="s">
        <v>85</v>
      </c>
      <c r="P830" t="s">
        <v>90</v>
      </c>
    </row>
    <row r="831" spans="1:16" x14ac:dyDescent="0.3">
      <c r="A831">
        <v>830</v>
      </c>
      <c r="B831" s="1">
        <v>40581</v>
      </c>
      <c r="C831">
        <v>0</v>
      </c>
      <c r="D831" t="b">
        <v>0</v>
      </c>
      <c r="E831" t="s">
        <v>24</v>
      </c>
      <c r="F831" t="s">
        <v>30</v>
      </c>
      <c r="G831">
        <v>0.24</v>
      </c>
      <c r="H831">
        <v>0.28789999999999999</v>
      </c>
      <c r="I831">
        <v>0.65</v>
      </c>
      <c r="J831">
        <v>0</v>
      </c>
      <c r="K831">
        <v>1</v>
      </c>
      <c r="L831">
        <v>14</v>
      </c>
      <c r="M831">
        <v>15</v>
      </c>
      <c r="N831" t="s">
        <v>18</v>
      </c>
      <c r="O831" t="s">
        <v>85</v>
      </c>
      <c r="P831" t="s">
        <v>90</v>
      </c>
    </row>
    <row r="832" spans="1:16" x14ac:dyDescent="0.3">
      <c r="A832">
        <v>831</v>
      </c>
      <c r="B832" s="1">
        <v>40581</v>
      </c>
      <c r="C832">
        <v>1</v>
      </c>
      <c r="D832" t="b">
        <v>0</v>
      </c>
      <c r="E832" t="s">
        <v>24</v>
      </c>
      <c r="F832" t="s">
        <v>30</v>
      </c>
      <c r="G832">
        <v>0.22</v>
      </c>
      <c r="H832">
        <v>0.2727</v>
      </c>
      <c r="I832">
        <v>0.75</v>
      </c>
      <c r="J832">
        <v>0</v>
      </c>
      <c r="K832">
        <v>1</v>
      </c>
      <c r="L832">
        <v>4</v>
      </c>
      <c r="M832">
        <v>5</v>
      </c>
      <c r="N832" t="s">
        <v>18</v>
      </c>
      <c r="O832" t="s">
        <v>85</v>
      </c>
      <c r="P832" t="s">
        <v>90</v>
      </c>
    </row>
    <row r="833" spans="1:16" x14ac:dyDescent="0.3">
      <c r="A833">
        <v>832</v>
      </c>
      <c r="B833" s="1">
        <v>40581</v>
      </c>
      <c r="C833">
        <v>2</v>
      </c>
      <c r="D833" t="b">
        <v>0</v>
      </c>
      <c r="E833" t="s">
        <v>24</v>
      </c>
      <c r="F833" t="s">
        <v>30</v>
      </c>
      <c r="G833">
        <v>0.2</v>
      </c>
      <c r="H833">
        <v>0.2576</v>
      </c>
      <c r="I833">
        <v>0.8</v>
      </c>
      <c r="J833">
        <v>0</v>
      </c>
      <c r="K833">
        <v>0</v>
      </c>
      <c r="L833">
        <v>3</v>
      </c>
      <c r="M833">
        <v>3</v>
      </c>
      <c r="N833" t="s">
        <v>18</v>
      </c>
      <c r="O833" t="s">
        <v>85</v>
      </c>
      <c r="P833" t="s">
        <v>90</v>
      </c>
    </row>
    <row r="834" spans="1:16" x14ac:dyDescent="0.3">
      <c r="A834">
        <v>833</v>
      </c>
      <c r="B834" s="1">
        <v>40581</v>
      </c>
      <c r="C834">
        <v>3</v>
      </c>
      <c r="D834" t="b">
        <v>0</v>
      </c>
      <c r="E834" t="s">
        <v>24</v>
      </c>
      <c r="F834" t="s">
        <v>30</v>
      </c>
      <c r="G834">
        <v>0.2</v>
      </c>
      <c r="H834">
        <v>0.2576</v>
      </c>
      <c r="I834">
        <v>0.86</v>
      </c>
      <c r="J834">
        <v>0</v>
      </c>
      <c r="K834">
        <v>0</v>
      </c>
      <c r="L834">
        <v>1</v>
      </c>
      <c r="M834">
        <v>1</v>
      </c>
      <c r="N834" t="s">
        <v>18</v>
      </c>
      <c r="O834" t="s">
        <v>85</v>
      </c>
      <c r="P834" t="s">
        <v>90</v>
      </c>
    </row>
    <row r="835" spans="1:16" x14ac:dyDescent="0.3">
      <c r="A835">
        <v>834</v>
      </c>
      <c r="B835" s="1">
        <v>40581</v>
      </c>
      <c r="C835">
        <v>4</v>
      </c>
      <c r="D835" t="b">
        <v>0</v>
      </c>
      <c r="E835" t="s">
        <v>24</v>
      </c>
      <c r="F835" t="s">
        <v>30</v>
      </c>
      <c r="G835">
        <v>0.2</v>
      </c>
      <c r="H835">
        <v>0.2576</v>
      </c>
      <c r="I835">
        <v>0.86</v>
      </c>
      <c r="J835">
        <v>0</v>
      </c>
      <c r="K835">
        <v>1</v>
      </c>
      <c r="L835">
        <v>1</v>
      </c>
      <c r="M835">
        <v>2</v>
      </c>
      <c r="N835" t="s">
        <v>18</v>
      </c>
      <c r="O835" t="s">
        <v>85</v>
      </c>
      <c r="P835" t="s">
        <v>90</v>
      </c>
    </row>
    <row r="836" spans="1:16" x14ac:dyDescent="0.3">
      <c r="A836">
        <v>835</v>
      </c>
      <c r="B836" s="1">
        <v>40581</v>
      </c>
      <c r="C836">
        <v>5</v>
      </c>
      <c r="D836" t="b">
        <v>0</v>
      </c>
      <c r="E836" t="s">
        <v>24</v>
      </c>
      <c r="F836" t="s">
        <v>30</v>
      </c>
      <c r="G836">
        <v>0.2</v>
      </c>
      <c r="H836">
        <v>0.2576</v>
      </c>
      <c r="I836">
        <v>0.86</v>
      </c>
      <c r="J836">
        <v>0</v>
      </c>
      <c r="K836">
        <v>1</v>
      </c>
      <c r="L836">
        <v>9</v>
      </c>
      <c r="M836">
        <v>10</v>
      </c>
      <c r="N836" t="s">
        <v>18</v>
      </c>
      <c r="O836" t="s">
        <v>85</v>
      </c>
      <c r="P836" t="s">
        <v>90</v>
      </c>
    </row>
    <row r="837" spans="1:16" x14ac:dyDescent="0.3">
      <c r="A837">
        <v>836</v>
      </c>
      <c r="B837" s="1">
        <v>40581</v>
      </c>
      <c r="C837">
        <v>6</v>
      </c>
      <c r="D837" t="b">
        <v>0</v>
      </c>
      <c r="E837" t="s">
        <v>24</v>
      </c>
      <c r="F837" t="s">
        <v>30</v>
      </c>
      <c r="G837">
        <v>0.18</v>
      </c>
      <c r="H837">
        <v>0.2424</v>
      </c>
      <c r="I837">
        <v>0.93</v>
      </c>
      <c r="J837">
        <v>0</v>
      </c>
      <c r="K837">
        <v>1</v>
      </c>
      <c r="L837">
        <v>29</v>
      </c>
      <c r="M837">
        <v>30</v>
      </c>
      <c r="N837" t="s">
        <v>18</v>
      </c>
      <c r="O837" t="s">
        <v>85</v>
      </c>
      <c r="P837" t="s">
        <v>90</v>
      </c>
    </row>
    <row r="838" spans="1:16" x14ac:dyDescent="0.3">
      <c r="A838">
        <v>837</v>
      </c>
      <c r="B838" s="1">
        <v>40581</v>
      </c>
      <c r="C838">
        <v>7</v>
      </c>
      <c r="D838" t="b">
        <v>0</v>
      </c>
      <c r="E838" t="s">
        <v>24</v>
      </c>
      <c r="F838" t="s">
        <v>30</v>
      </c>
      <c r="G838">
        <v>0.18</v>
      </c>
      <c r="H838">
        <v>0.2424</v>
      </c>
      <c r="I838">
        <v>0.86</v>
      </c>
      <c r="J838">
        <v>0</v>
      </c>
      <c r="K838">
        <v>6</v>
      </c>
      <c r="L838">
        <v>89</v>
      </c>
      <c r="M838">
        <v>95</v>
      </c>
      <c r="N838" t="s">
        <v>18</v>
      </c>
      <c r="O838" t="s">
        <v>86</v>
      </c>
      <c r="P838" t="s">
        <v>90</v>
      </c>
    </row>
    <row r="839" spans="1:16" x14ac:dyDescent="0.3">
      <c r="A839">
        <v>838</v>
      </c>
      <c r="B839" s="1">
        <v>40581</v>
      </c>
      <c r="C839">
        <v>8</v>
      </c>
      <c r="D839" t="b">
        <v>0</v>
      </c>
      <c r="E839" t="s">
        <v>24</v>
      </c>
      <c r="F839" t="s">
        <v>31</v>
      </c>
      <c r="G839">
        <v>0.16</v>
      </c>
      <c r="H839">
        <v>0.2273</v>
      </c>
      <c r="I839">
        <v>1</v>
      </c>
      <c r="J839">
        <v>0</v>
      </c>
      <c r="K839">
        <v>7</v>
      </c>
      <c r="L839">
        <v>223</v>
      </c>
      <c r="M839">
        <v>230</v>
      </c>
      <c r="N839" t="s">
        <v>18</v>
      </c>
      <c r="O839" t="s">
        <v>86</v>
      </c>
      <c r="P839" t="s">
        <v>91</v>
      </c>
    </row>
    <row r="840" spans="1:16" x14ac:dyDescent="0.3">
      <c r="A840">
        <v>839</v>
      </c>
      <c r="B840" s="1">
        <v>40581</v>
      </c>
      <c r="C840">
        <v>9</v>
      </c>
      <c r="D840" t="b">
        <v>0</v>
      </c>
      <c r="E840" t="s">
        <v>24</v>
      </c>
      <c r="F840" t="s">
        <v>30</v>
      </c>
      <c r="G840">
        <v>0.22</v>
      </c>
      <c r="H840">
        <v>0.2727</v>
      </c>
      <c r="I840">
        <v>0.8</v>
      </c>
      <c r="J840">
        <v>0</v>
      </c>
      <c r="K840">
        <v>3</v>
      </c>
      <c r="L840">
        <v>115</v>
      </c>
      <c r="M840">
        <v>118</v>
      </c>
      <c r="N840" t="s">
        <v>18</v>
      </c>
      <c r="O840" t="s">
        <v>86</v>
      </c>
      <c r="P840" t="s">
        <v>90</v>
      </c>
    </row>
    <row r="841" spans="1:16" x14ac:dyDescent="0.3">
      <c r="A841">
        <v>840</v>
      </c>
      <c r="B841" s="1">
        <v>40581</v>
      </c>
      <c r="C841">
        <v>10</v>
      </c>
      <c r="D841" t="b">
        <v>0</v>
      </c>
      <c r="E841" t="s">
        <v>24</v>
      </c>
      <c r="F841" t="s">
        <v>30</v>
      </c>
      <c r="G841">
        <v>0.24</v>
      </c>
      <c r="H841">
        <v>0.2576</v>
      </c>
      <c r="I841">
        <v>0.75</v>
      </c>
      <c r="J841">
        <v>0.1045</v>
      </c>
      <c r="K841">
        <v>6</v>
      </c>
      <c r="L841">
        <v>49</v>
      </c>
      <c r="M841">
        <v>55</v>
      </c>
      <c r="N841" t="s">
        <v>18</v>
      </c>
      <c r="O841" t="s">
        <v>85</v>
      </c>
      <c r="P841" t="s">
        <v>90</v>
      </c>
    </row>
    <row r="842" spans="1:16" x14ac:dyDescent="0.3">
      <c r="A842">
        <v>841</v>
      </c>
      <c r="B842" s="1">
        <v>40581</v>
      </c>
      <c r="C842">
        <v>11</v>
      </c>
      <c r="D842" t="b">
        <v>0</v>
      </c>
      <c r="E842" t="s">
        <v>24</v>
      </c>
      <c r="F842" t="s">
        <v>30</v>
      </c>
      <c r="G842">
        <v>0.3</v>
      </c>
      <c r="H842">
        <v>0.31819999999999998</v>
      </c>
      <c r="I842">
        <v>0.65</v>
      </c>
      <c r="J842">
        <v>8.9599999999999999E-2</v>
      </c>
      <c r="K842">
        <v>11</v>
      </c>
      <c r="L842">
        <v>36</v>
      </c>
      <c r="M842">
        <v>47</v>
      </c>
      <c r="N842" t="s">
        <v>18</v>
      </c>
      <c r="O842" t="s">
        <v>85</v>
      </c>
      <c r="P842" t="s">
        <v>90</v>
      </c>
    </row>
    <row r="843" spans="1:16" x14ac:dyDescent="0.3">
      <c r="A843">
        <v>842</v>
      </c>
      <c r="B843" s="1">
        <v>40581</v>
      </c>
      <c r="C843">
        <v>12</v>
      </c>
      <c r="D843" t="b">
        <v>0</v>
      </c>
      <c r="E843" t="s">
        <v>24</v>
      </c>
      <c r="F843" t="s">
        <v>31</v>
      </c>
      <c r="G843">
        <v>0.32</v>
      </c>
      <c r="H843">
        <v>0.34849999999999998</v>
      </c>
      <c r="I843">
        <v>0.62</v>
      </c>
      <c r="J843">
        <v>0</v>
      </c>
      <c r="K843">
        <v>7</v>
      </c>
      <c r="L843">
        <v>59</v>
      </c>
      <c r="M843">
        <v>66</v>
      </c>
      <c r="N843" t="s">
        <v>18</v>
      </c>
      <c r="O843" t="s">
        <v>85</v>
      </c>
      <c r="P843" t="s">
        <v>91</v>
      </c>
    </row>
    <row r="844" spans="1:16" x14ac:dyDescent="0.3">
      <c r="A844">
        <v>843</v>
      </c>
      <c r="B844" s="1">
        <v>40581</v>
      </c>
      <c r="C844">
        <v>13</v>
      </c>
      <c r="D844" t="b">
        <v>0</v>
      </c>
      <c r="E844" t="s">
        <v>24</v>
      </c>
      <c r="F844" t="s">
        <v>31</v>
      </c>
      <c r="G844">
        <v>0.36</v>
      </c>
      <c r="H844">
        <v>0.36359999999999998</v>
      </c>
      <c r="I844">
        <v>0.56999999999999995</v>
      </c>
      <c r="J844">
        <v>8.9599999999999999E-2</v>
      </c>
      <c r="K844">
        <v>10</v>
      </c>
      <c r="L844">
        <v>54</v>
      </c>
      <c r="M844">
        <v>64</v>
      </c>
      <c r="N844" t="s">
        <v>18</v>
      </c>
      <c r="O844" t="s">
        <v>85</v>
      </c>
      <c r="P844" t="s">
        <v>91</v>
      </c>
    </row>
    <row r="845" spans="1:16" x14ac:dyDescent="0.3">
      <c r="A845">
        <v>844</v>
      </c>
      <c r="B845" s="1">
        <v>40581</v>
      </c>
      <c r="C845">
        <v>14</v>
      </c>
      <c r="D845" t="b">
        <v>0</v>
      </c>
      <c r="E845" t="s">
        <v>24</v>
      </c>
      <c r="F845" t="s">
        <v>31</v>
      </c>
      <c r="G845">
        <v>0.36</v>
      </c>
      <c r="H845">
        <v>0.36359999999999998</v>
      </c>
      <c r="I845">
        <v>0.56999999999999995</v>
      </c>
      <c r="J845">
        <v>8.9599999999999999E-2</v>
      </c>
      <c r="K845">
        <v>8</v>
      </c>
      <c r="L845">
        <v>52</v>
      </c>
      <c r="M845">
        <v>60</v>
      </c>
      <c r="N845" t="s">
        <v>18</v>
      </c>
      <c r="O845" t="s">
        <v>85</v>
      </c>
      <c r="P845" t="s">
        <v>91</v>
      </c>
    </row>
    <row r="846" spans="1:16" x14ac:dyDescent="0.3">
      <c r="A846">
        <v>845</v>
      </c>
      <c r="B846" s="1">
        <v>40581</v>
      </c>
      <c r="C846">
        <v>15</v>
      </c>
      <c r="D846" t="b">
        <v>0</v>
      </c>
      <c r="E846" t="s">
        <v>24</v>
      </c>
      <c r="F846" t="s">
        <v>31</v>
      </c>
      <c r="G846">
        <v>0.38</v>
      </c>
      <c r="H846">
        <v>0.39389999999999997</v>
      </c>
      <c r="I846">
        <v>0.54</v>
      </c>
      <c r="J846">
        <v>8.9599999999999999E-2</v>
      </c>
      <c r="K846">
        <v>4</v>
      </c>
      <c r="L846">
        <v>46</v>
      </c>
      <c r="M846">
        <v>50</v>
      </c>
      <c r="N846" t="s">
        <v>18</v>
      </c>
      <c r="O846" t="s">
        <v>85</v>
      </c>
      <c r="P846" t="s">
        <v>91</v>
      </c>
    </row>
    <row r="847" spans="1:16" x14ac:dyDescent="0.3">
      <c r="A847">
        <v>846</v>
      </c>
      <c r="B847" s="1">
        <v>40581</v>
      </c>
      <c r="C847">
        <v>16</v>
      </c>
      <c r="D847" t="b">
        <v>0</v>
      </c>
      <c r="E847" t="s">
        <v>24</v>
      </c>
      <c r="F847" t="s">
        <v>31</v>
      </c>
      <c r="G847">
        <v>0.36</v>
      </c>
      <c r="H847">
        <v>0.34849999999999998</v>
      </c>
      <c r="I847">
        <v>0.56999999999999995</v>
      </c>
      <c r="J847">
        <v>0.1343</v>
      </c>
      <c r="K847">
        <v>16</v>
      </c>
      <c r="L847">
        <v>98</v>
      </c>
      <c r="M847">
        <v>114</v>
      </c>
      <c r="N847" t="s">
        <v>18</v>
      </c>
      <c r="O847" t="s">
        <v>85</v>
      </c>
      <c r="P847" t="s">
        <v>91</v>
      </c>
    </row>
    <row r="848" spans="1:16" x14ac:dyDescent="0.3">
      <c r="A848">
        <v>847</v>
      </c>
      <c r="B848" s="1">
        <v>40581</v>
      </c>
      <c r="C848">
        <v>17</v>
      </c>
      <c r="D848" t="b">
        <v>0</v>
      </c>
      <c r="E848" t="s">
        <v>24</v>
      </c>
      <c r="F848" t="s">
        <v>31</v>
      </c>
      <c r="G848">
        <v>0.32</v>
      </c>
      <c r="H848">
        <v>0.31819999999999998</v>
      </c>
      <c r="I848">
        <v>0.7</v>
      </c>
      <c r="J848">
        <v>0.16420000000000001</v>
      </c>
      <c r="K848">
        <v>9</v>
      </c>
      <c r="L848">
        <v>207</v>
      </c>
      <c r="M848">
        <v>216</v>
      </c>
      <c r="N848" t="s">
        <v>18</v>
      </c>
      <c r="O848" t="s">
        <v>87</v>
      </c>
      <c r="P848" t="s">
        <v>91</v>
      </c>
    </row>
    <row r="849" spans="1:16" x14ac:dyDescent="0.3">
      <c r="A849">
        <v>848</v>
      </c>
      <c r="B849" s="1">
        <v>40581</v>
      </c>
      <c r="C849">
        <v>18</v>
      </c>
      <c r="D849" t="b">
        <v>0</v>
      </c>
      <c r="E849" t="s">
        <v>24</v>
      </c>
      <c r="F849" t="s">
        <v>31</v>
      </c>
      <c r="G849">
        <v>0.34</v>
      </c>
      <c r="H849">
        <v>0.33329999999999999</v>
      </c>
      <c r="I849">
        <v>0.66</v>
      </c>
      <c r="J849">
        <v>0.1343</v>
      </c>
      <c r="K849">
        <v>5</v>
      </c>
      <c r="L849">
        <v>170</v>
      </c>
      <c r="M849">
        <v>175</v>
      </c>
      <c r="N849" t="s">
        <v>18</v>
      </c>
      <c r="O849" t="s">
        <v>87</v>
      </c>
      <c r="P849" t="s">
        <v>91</v>
      </c>
    </row>
    <row r="850" spans="1:16" x14ac:dyDescent="0.3">
      <c r="A850">
        <v>849</v>
      </c>
      <c r="B850" s="1">
        <v>40581</v>
      </c>
      <c r="C850">
        <v>19</v>
      </c>
      <c r="D850" t="b">
        <v>0</v>
      </c>
      <c r="E850" t="s">
        <v>24</v>
      </c>
      <c r="F850" t="s">
        <v>31</v>
      </c>
      <c r="G850">
        <v>0.32</v>
      </c>
      <c r="H850">
        <v>0.34849999999999998</v>
      </c>
      <c r="I850">
        <v>0.7</v>
      </c>
      <c r="J850">
        <v>0</v>
      </c>
      <c r="K850">
        <v>5</v>
      </c>
      <c r="L850">
        <v>123</v>
      </c>
      <c r="M850">
        <v>128</v>
      </c>
      <c r="N850" t="s">
        <v>18</v>
      </c>
      <c r="O850" t="s">
        <v>87</v>
      </c>
      <c r="P850" t="s">
        <v>91</v>
      </c>
    </row>
    <row r="851" spans="1:16" x14ac:dyDescent="0.3">
      <c r="A851">
        <v>850</v>
      </c>
      <c r="B851" s="1">
        <v>40581</v>
      </c>
      <c r="C851">
        <v>20</v>
      </c>
      <c r="D851" t="b">
        <v>0</v>
      </c>
      <c r="E851" t="s">
        <v>24</v>
      </c>
      <c r="F851" t="s">
        <v>31</v>
      </c>
      <c r="G851">
        <v>0.32</v>
      </c>
      <c r="H851">
        <v>0.33329999999999999</v>
      </c>
      <c r="I851">
        <v>0.7</v>
      </c>
      <c r="J851">
        <v>0.1045</v>
      </c>
      <c r="K851">
        <v>6</v>
      </c>
      <c r="L851">
        <v>82</v>
      </c>
      <c r="M851">
        <v>88</v>
      </c>
      <c r="N851" t="s">
        <v>18</v>
      </c>
      <c r="O851" t="s">
        <v>85</v>
      </c>
      <c r="P851" t="s">
        <v>91</v>
      </c>
    </row>
    <row r="852" spans="1:16" x14ac:dyDescent="0.3">
      <c r="A852">
        <v>851</v>
      </c>
      <c r="B852" s="1">
        <v>40581</v>
      </c>
      <c r="C852">
        <v>21</v>
      </c>
      <c r="D852" t="b">
        <v>0</v>
      </c>
      <c r="E852" t="s">
        <v>24</v>
      </c>
      <c r="F852" t="s">
        <v>30</v>
      </c>
      <c r="G852">
        <v>0.32</v>
      </c>
      <c r="H852">
        <v>0.34849999999999998</v>
      </c>
      <c r="I852">
        <v>0.7</v>
      </c>
      <c r="J852">
        <v>0</v>
      </c>
      <c r="K852">
        <v>3</v>
      </c>
      <c r="L852">
        <v>75</v>
      </c>
      <c r="M852">
        <v>78</v>
      </c>
      <c r="N852" t="s">
        <v>18</v>
      </c>
      <c r="O852" t="s">
        <v>85</v>
      </c>
      <c r="P852" t="s">
        <v>90</v>
      </c>
    </row>
    <row r="853" spans="1:16" x14ac:dyDescent="0.3">
      <c r="A853">
        <v>852</v>
      </c>
      <c r="B853" s="1">
        <v>40581</v>
      </c>
      <c r="C853">
        <v>22</v>
      </c>
      <c r="D853" t="b">
        <v>0</v>
      </c>
      <c r="E853" t="s">
        <v>24</v>
      </c>
      <c r="F853" t="s">
        <v>30</v>
      </c>
      <c r="G853">
        <v>0.28000000000000003</v>
      </c>
      <c r="H853">
        <v>0.30299999999999999</v>
      </c>
      <c r="I853">
        <v>0.81</v>
      </c>
      <c r="J853">
        <v>8.9599999999999999E-2</v>
      </c>
      <c r="K853">
        <v>3</v>
      </c>
      <c r="L853">
        <v>34</v>
      </c>
      <c r="M853">
        <v>37</v>
      </c>
      <c r="N853" t="s">
        <v>18</v>
      </c>
      <c r="O853" t="s">
        <v>85</v>
      </c>
      <c r="P853" t="s">
        <v>90</v>
      </c>
    </row>
    <row r="854" spans="1:16" x14ac:dyDescent="0.3">
      <c r="A854">
        <v>853</v>
      </c>
      <c r="B854" s="1">
        <v>40581</v>
      </c>
      <c r="C854">
        <v>23</v>
      </c>
      <c r="D854" t="b">
        <v>0</v>
      </c>
      <c r="E854" t="s">
        <v>24</v>
      </c>
      <c r="F854" t="s">
        <v>31</v>
      </c>
      <c r="G854">
        <v>0.3</v>
      </c>
      <c r="H854">
        <v>0.33329999999999999</v>
      </c>
      <c r="I854">
        <v>0.81</v>
      </c>
      <c r="J854">
        <v>0</v>
      </c>
      <c r="K854">
        <v>6</v>
      </c>
      <c r="L854">
        <v>19</v>
      </c>
      <c r="M854">
        <v>25</v>
      </c>
      <c r="N854" t="s">
        <v>18</v>
      </c>
      <c r="O854" t="s">
        <v>85</v>
      </c>
      <c r="P854" t="s">
        <v>91</v>
      </c>
    </row>
    <row r="855" spans="1:16" x14ac:dyDescent="0.3">
      <c r="A855">
        <v>854</v>
      </c>
      <c r="B855" s="1">
        <v>40582</v>
      </c>
      <c r="C855">
        <v>0</v>
      </c>
      <c r="D855" t="b">
        <v>0</v>
      </c>
      <c r="E855" t="s">
        <v>25</v>
      </c>
      <c r="F855" t="s">
        <v>31</v>
      </c>
      <c r="G855">
        <v>0.28000000000000003</v>
      </c>
      <c r="H855">
        <v>0.31819999999999998</v>
      </c>
      <c r="I855">
        <v>0.87</v>
      </c>
      <c r="J855">
        <v>0</v>
      </c>
      <c r="K855">
        <v>4</v>
      </c>
      <c r="L855">
        <v>6</v>
      </c>
      <c r="M855">
        <v>10</v>
      </c>
      <c r="N855" t="s">
        <v>18</v>
      </c>
      <c r="O855" t="s">
        <v>85</v>
      </c>
      <c r="P855" t="s">
        <v>91</v>
      </c>
    </row>
    <row r="856" spans="1:16" x14ac:dyDescent="0.3">
      <c r="A856">
        <v>855</v>
      </c>
      <c r="B856" s="1">
        <v>40582</v>
      </c>
      <c r="C856">
        <v>1</v>
      </c>
      <c r="D856" t="b">
        <v>0</v>
      </c>
      <c r="E856" t="s">
        <v>25</v>
      </c>
      <c r="F856" t="s">
        <v>31</v>
      </c>
      <c r="G856">
        <v>0.28000000000000003</v>
      </c>
      <c r="H856">
        <v>0.31819999999999998</v>
      </c>
      <c r="I856">
        <v>0.87</v>
      </c>
      <c r="J856">
        <v>0</v>
      </c>
      <c r="K856">
        <v>0</v>
      </c>
      <c r="L856">
        <v>4</v>
      </c>
      <c r="M856">
        <v>4</v>
      </c>
      <c r="N856" t="s">
        <v>18</v>
      </c>
      <c r="O856" t="s">
        <v>85</v>
      </c>
      <c r="P856" t="s">
        <v>91</v>
      </c>
    </row>
    <row r="857" spans="1:16" x14ac:dyDescent="0.3">
      <c r="A857">
        <v>856</v>
      </c>
      <c r="B857" s="1">
        <v>40582</v>
      </c>
      <c r="C857">
        <v>2</v>
      </c>
      <c r="D857" t="b">
        <v>0</v>
      </c>
      <c r="E857" t="s">
        <v>25</v>
      </c>
      <c r="F857" t="s">
        <v>31</v>
      </c>
      <c r="G857">
        <v>0.26</v>
      </c>
      <c r="H857">
        <v>0.2727</v>
      </c>
      <c r="I857">
        <v>0.93</v>
      </c>
      <c r="J857">
        <v>0.1045</v>
      </c>
      <c r="K857">
        <v>1</v>
      </c>
      <c r="L857">
        <v>1</v>
      </c>
      <c r="M857">
        <v>2</v>
      </c>
      <c r="N857" t="s">
        <v>18</v>
      </c>
      <c r="O857" t="s">
        <v>85</v>
      </c>
      <c r="P857" t="s">
        <v>91</v>
      </c>
    </row>
    <row r="858" spans="1:16" x14ac:dyDescent="0.3">
      <c r="A858">
        <v>857</v>
      </c>
      <c r="B858" s="1">
        <v>40582</v>
      </c>
      <c r="C858">
        <v>3</v>
      </c>
      <c r="D858" t="b">
        <v>0</v>
      </c>
      <c r="E858" t="s">
        <v>25</v>
      </c>
      <c r="F858" t="s">
        <v>32</v>
      </c>
      <c r="G858">
        <v>0.28000000000000003</v>
      </c>
      <c r="H858">
        <v>0.2727</v>
      </c>
      <c r="I858">
        <v>0.93</v>
      </c>
      <c r="J858">
        <v>0.16420000000000001</v>
      </c>
      <c r="K858">
        <v>0</v>
      </c>
      <c r="L858">
        <v>1</v>
      </c>
      <c r="M858">
        <v>1</v>
      </c>
      <c r="N858" t="s">
        <v>18</v>
      </c>
      <c r="O858" t="s">
        <v>85</v>
      </c>
      <c r="P858" t="s">
        <v>92</v>
      </c>
    </row>
    <row r="859" spans="1:16" x14ac:dyDescent="0.3">
      <c r="A859">
        <v>858</v>
      </c>
      <c r="B859" s="1">
        <v>40582</v>
      </c>
      <c r="C859">
        <v>4</v>
      </c>
      <c r="D859" t="b">
        <v>0</v>
      </c>
      <c r="E859" t="s">
        <v>25</v>
      </c>
      <c r="F859" t="s">
        <v>30</v>
      </c>
      <c r="G859">
        <v>0.26</v>
      </c>
      <c r="H859">
        <v>0.2576</v>
      </c>
      <c r="I859">
        <v>0.93</v>
      </c>
      <c r="J859">
        <v>0.16420000000000001</v>
      </c>
      <c r="K859">
        <v>0</v>
      </c>
      <c r="L859">
        <v>3</v>
      </c>
      <c r="M859">
        <v>3</v>
      </c>
      <c r="N859" t="s">
        <v>18</v>
      </c>
      <c r="O859" t="s">
        <v>85</v>
      </c>
      <c r="P859" t="s">
        <v>90</v>
      </c>
    </row>
    <row r="860" spans="1:16" x14ac:dyDescent="0.3">
      <c r="A860">
        <v>859</v>
      </c>
      <c r="B860" s="1">
        <v>40582</v>
      </c>
      <c r="C860">
        <v>5</v>
      </c>
      <c r="D860" t="b">
        <v>0</v>
      </c>
      <c r="E860" t="s">
        <v>25</v>
      </c>
      <c r="F860" t="s">
        <v>30</v>
      </c>
      <c r="G860">
        <v>0.26</v>
      </c>
      <c r="H860">
        <v>0.2273</v>
      </c>
      <c r="I860">
        <v>0.81</v>
      </c>
      <c r="J860">
        <v>0.32840000000000003</v>
      </c>
      <c r="K860">
        <v>0</v>
      </c>
      <c r="L860">
        <v>2</v>
      </c>
      <c r="M860">
        <v>2</v>
      </c>
      <c r="N860" t="s">
        <v>18</v>
      </c>
      <c r="O860" t="s">
        <v>85</v>
      </c>
      <c r="P860" t="s">
        <v>90</v>
      </c>
    </row>
    <row r="861" spans="1:16" x14ac:dyDescent="0.3">
      <c r="A861">
        <v>860</v>
      </c>
      <c r="B861" s="1">
        <v>40582</v>
      </c>
      <c r="C861">
        <v>6</v>
      </c>
      <c r="D861" t="b">
        <v>0</v>
      </c>
      <c r="E861" t="s">
        <v>25</v>
      </c>
      <c r="F861" t="s">
        <v>30</v>
      </c>
      <c r="G861">
        <v>0.26</v>
      </c>
      <c r="H861">
        <v>0.2273</v>
      </c>
      <c r="I861">
        <v>0.7</v>
      </c>
      <c r="J861">
        <v>0.32840000000000003</v>
      </c>
      <c r="K861">
        <v>0</v>
      </c>
      <c r="L861">
        <v>39</v>
      </c>
      <c r="M861">
        <v>39</v>
      </c>
      <c r="N861" t="s">
        <v>18</v>
      </c>
      <c r="O861" t="s">
        <v>85</v>
      </c>
      <c r="P861" t="s">
        <v>90</v>
      </c>
    </row>
    <row r="862" spans="1:16" x14ac:dyDescent="0.3">
      <c r="A862">
        <v>861</v>
      </c>
      <c r="B862" s="1">
        <v>40582</v>
      </c>
      <c r="C862">
        <v>7</v>
      </c>
      <c r="D862" t="b">
        <v>0</v>
      </c>
      <c r="E862" t="s">
        <v>25</v>
      </c>
      <c r="F862" t="s">
        <v>30</v>
      </c>
      <c r="G862">
        <v>0.24</v>
      </c>
      <c r="H862">
        <v>0.19700000000000001</v>
      </c>
      <c r="I862">
        <v>0.65</v>
      </c>
      <c r="J862">
        <v>0.41789999999999999</v>
      </c>
      <c r="K862">
        <v>3</v>
      </c>
      <c r="L862">
        <v>97</v>
      </c>
      <c r="M862">
        <v>100</v>
      </c>
      <c r="N862" t="s">
        <v>18</v>
      </c>
      <c r="O862" t="s">
        <v>86</v>
      </c>
      <c r="P862" t="s">
        <v>90</v>
      </c>
    </row>
    <row r="863" spans="1:16" x14ac:dyDescent="0.3">
      <c r="A863">
        <v>862</v>
      </c>
      <c r="B863" s="1">
        <v>40582</v>
      </c>
      <c r="C863">
        <v>8</v>
      </c>
      <c r="D863" t="b">
        <v>0</v>
      </c>
      <c r="E863" t="s">
        <v>25</v>
      </c>
      <c r="F863" t="s">
        <v>30</v>
      </c>
      <c r="G863">
        <v>0.24</v>
      </c>
      <c r="H863">
        <v>0.19700000000000001</v>
      </c>
      <c r="I863">
        <v>0.56000000000000005</v>
      </c>
      <c r="J863">
        <v>0.49249999999999999</v>
      </c>
      <c r="K863">
        <v>7</v>
      </c>
      <c r="L863">
        <v>236</v>
      </c>
      <c r="M863">
        <v>243</v>
      </c>
      <c r="N863" t="s">
        <v>18</v>
      </c>
      <c r="O863" t="s">
        <v>86</v>
      </c>
      <c r="P863" t="s">
        <v>90</v>
      </c>
    </row>
    <row r="864" spans="1:16" x14ac:dyDescent="0.3">
      <c r="A864">
        <v>863</v>
      </c>
      <c r="B864" s="1">
        <v>40582</v>
      </c>
      <c r="C864">
        <v>9</v>
      </c>
      <c r="D864" t="b">
        <v>0</v>
      </c>
      <c r="E864" t="s">
        <v>25</v>
      </c>
      <c r="F864" t="s">
        <v>30</v>
      </c>
      <c r="G864">
        <v>0.24</v>
      </c>
      <c r="H864">
        <v>0.19700000000000001</v>
      </c>
      <c r="I864">
        <v>0.52</v>
      </c>
      <c r="J864">
        <v>0.49249999999999999</v>
      </c>
      <c r="K864">
        <v>7</v>
      </c>
      <c r="L864">
        <v>128</v>
      </c>
      <c r="M864">
        <v>135</v>
      </c>
      <c r="N864" t="s">
        <v>18</v>
      </c>
      <c r="O864" t="s">
        <v>86</v>
      </c>
      <c r="P864" t="s">
        <v>90</v>
      </c>
    </row>
    <row r="865" spans="1:16" x14ac:dyDescent="0.3">
      <c r="A865">
        <v>864</v>
      </c>
      <c r="B865" s="1">
        <v>40582</v>
      </c>
      <c r="C865">
        <v>10</v>
      </c>
      <c r="D865" t="b">
        <v>0</v>
      </c>
      <c r="E865" t="s">
        <v>25</v>
      </c>
      <c r="F865" t="s">
        <v>30</v>
      </c>
      <c r="G865">
        <v>0.22</v>
      </c>
      <c r="H865">
        <v>0.18179999999999999</v>
      </c>
      <c r="I865">
        <v>0.47</v>
      </c>
      <c r="J865">
        <v>0.55220000000000002</v>
      </c>
      <c r="K865">
        <v>4</v>
      </c>
      <c r="L865">
        <v>44</v>
      </c>
      <c r="M865">
        <v>48</v>
      </c>
      <c r="N865" t="s">
        <v>18</v>
      </c>
      <c r="O865" t="s">
        <v>85</v>
      </c>
      <c r="P865" t="s">
        <v>90</v>
      </c>
    </row>
    <row r="866" spans="1:16" x14ac:dyDescent="0.3">
      <c r="A866">
        <v>865</v>
      </c>
      <c r="B866" s="1">
        <v>40582</v>
      </c>
      <c r="C866">
        <v>11</v>
      </c>
      <c r="D866" t="b">
        <v>0</v>
      </c>
      <c r="E866" t="s">
        <v>25</v>
      </c>
      <c r="F866" t="s">
        <v>30</v>
      </c>
      <c r="G866">
        <v>0.22</v>
      </c>
      <c r="H866">
        <v>0.18179999999999999</v>
      </c>
      <c r="I866">
        <v>0.47</v>
      </c>
      <c r="J866">
        <v>0.4627</v>
      </c>
      <c r="K866">
        <v>1</v>
      </c>
      <c r="L866">
        <v>49</v>
      </c>
      <c r="M866">
        <v>50</v>
      </c>
      <c r="N866" t="s">
        <v>18</v>
      </c>
      <c r="O866" t="s">
        <v>85</v>
      </c>
      <c r="P866" t="s">
        <v>90</v>
      </c>
    </row>
    <row r="867" spans="1:16" x14ac:dyDescent="0.3">
      <c r="A867">
        <v>866</v>
      </c>
      <c r="B867" s="1">
        <v>40582</v>
      </c>
      <c r="C867">
        <v>12</v>
      </c>
      <c r="D867" t="b">
        <v>0</v>
      </c>
      <c r="E867" t="s">
        <v>25</v>
      </c>
      <c r="F867" t="s">
        <v>30</v>
      </c>
      <c r="G867">
        <v>0.24</v>
      </c>
      <c r="H867">
        <v>0.19700000000000001</v>
      </c>
      <c r="I867">
        <v>0.38</v>
      </c>
      <c r="J867">
        <v>0.49249999999999999</v>
      </c>
      <c r="K867">
        <v>2</v>
      </c>
      <c r="L867">
        <v>63</v>
      </c>
      <c r="M867">
        <v>65</v>
      </c>
      <c r="N867" t="s">
        <v>18</v>
      </c>
      <c r="O867" t="s">
        <v>85</v>
      </c>
      <c r="P867" t="s">
        <v>90</v>
      </c>
    </row>
    <row r="868" spans="1:16" x14ac:dyDescent="0.3">
      <c r="A868">
        <v>867</v>
      </c>
      <c r="B868" s="1">
        <v>40582</v>
      </c>
      <c r="C868">
        <v>13</v>
      </c>
      <c r="D868" t="b">
        <v>0</v>
      </c>
      <c r="E868" t="s">
        <v>25</v>
      </c>
      <c r="F868" t="s">
        <v>31</v>
      </c>
      <c r="G868">
        <v>0.24</v>
      </c>
      <c r="H868">
        <v>0.19700000000000001</v>
      </c>
      <c r="I868">
        <v>0.32</v>
      </c>
      <c r="J868">
        <v>0.44779999999999998</v>
      </c>
      <c r="K868">
        <v>2</v>
      </c>
      <c r="L868">
        <v>48</v>
      </c>
      <c r="M868">
        <v>50</v>
      </c>
      <c r="N868" t="s">
        <v>18</v>
      </c>
      <c r="O868" t="s">
        <v>85</v>
      </c>
      <c r="P868" t="s">
        <v>91</v>
      </c>
    </row>
    <row r="869" spans="1:16" x14ac:dyDescent="0.3">
      <c r="A869">
        <v>868</v>
      </c>
      <c r="B869" s="1">
        <v>40582</v>
      </c>
      <c r="C869">
        <v>14</v>
      </c>
      <c r="D869" t="b">
        <v>0</v>
      </c>
      <c r="E869" t="s">
        <v>25</v>
      </c>
      <c r="F869" t="s">
        <v>30</v>
      </c>
      <c r="G869">
        <v>0.22</v>
      </c>
      <c r="H869">
        <v>0.19700000000000001</v>
      </c>
      <c r="I869">
        <v>0.37</v>
      </c>
      <c r="J869">
        <v>0.41789999999999999</v>
      </c>
      <c r="K869">
        <v>3</v>
      </c>
      <c r="L869">
        <v>61</v>
      </c>
      <c r="M869">
        <v>64</v>
      </c>
      <c r="N869" t="s">
        <v>18</v>
      </c>
      <c r="O869" t="s">
        <v>85</v>
      </c>
      <c r="P869" t="s">
        <v>90</v>
      </c>
    </row>
    <row r="870" spans="1:16" x14ac:dyDescent="0.3">
      <c r="A870">
        <v>869</v>
      </c>
      <c r="B870" s="1">
        <v>40582</v>
      </c>
      <c r="C870">
        <v>15</v>
      </c>
      <c r="D870" t="b">
        <v>0</v>
      </c>
      <c r="E870" t="s">
        <v>25</v>
      </c>
      <c r="F870" t="s">
        <v>30</v>
      </c>
      <c r="G870">
        <v>0.22</v>
      </c>
      <c r="H870">
        <v>0.19700000000000001</v>
      </c>
      <c r="I870">
        <v>0.35</v>
      </c>
      <c r="J870">
        <v>0.3881</v>
      </c>
      <c r="K870">
        <v>6</v>
      </c>
      <c r="L870">
        <v>45</v>
      </c>
      <c r="M870">
        <v>51</v>
      </c>
      <c r="N870" t="s">
        <v>18</v>
      </c>
      <c r="O870" t="s">
        <v>85</v>
      </c>
      <c r="P870" t="s">
        <v>90</v>
      </c>
    </row>
    <row r="871" spans="1:16" x14ac:dyDescent="0.3">
      <c r="A871">
        <v>870</v>
      </c>
      <c r="B871" s="1">
        <v>40582</v>
      </c>
      <c r="C871">
        <v>16</v>
      </c>
      <c r="D871" t="b">
        <v>0</v>
      </c>
      <c r="E871" t="s">
        <v>25</v>
      </c>
      <c r="F871" t="s">
        <v>30</v>
      </c>
      <c r="G871">
        <v>0.22</v>
      </c>
      <c r="H871">
        <v>0.18179999999999999</v>
      </c>
      <c r="I871">
        <v>0.35</v>
      </c>
      <c r="J871">
        <v>0.52239999999999998</v>
      </c>
      <c r="K871">
        <v>4</v>
      </c>
      <c r="L871">
        <v>79</v>
      </c>
      <c r="M871">
        <v>83</v>
      </c>
      <c r="N871" t="s">
        <v>18</v>
      </c>
      <c r="O871" t="s">
        <v>85</v>
      </c>
      <c r="P871" t="s">
        <v>90</v>
      </c>
    </row>
    <row r="872" spans="1:16" x14ac:dyDescent="0.3">
      <c r="A872">
        <v>871</v>
      </c>
      <c r="B872" s="1">
        <v>40582</v>
      </c>
      <c r="C872">
        <v>17</v>
      </c>
      <c r="D872" t="b">
        <v>0</v>
      </c>
      <c r="E872" t="s">
        <v>25</v>
      </c>
      <c r="F872" t="s">
        <v>30</v>
      </c>
      <c r="G872">
        <v>0.22</v>
      </c>
      <c r="H872">
        <v>0.18179999999999999</v>
      </c>
      <c r="I872">
        <v>0.32</v>
      </c>
      <c r="J872">
        <v>0.58209999999999995</v>
      </c>
      <c r="K872">
        <v>4</v>
      </c>
      <c r="L872">
        <v>172</v>
      </c>
      <c r="M872">
        <v>176</v>
      </c>
      <c r="N872" t="s">
        <v>18</v>
      </c>
      <c r="O872" t="s">
        <v>87</v>
      </c>
      <c r="P872" t="s">
        <v>90</v>
      </c>
    </row>
    <row r="873" spans="1:16" x14ac:dyDescent="0.3">
      <c r="A873">
        <v>872</v>
      </c>
      <c r="B873" s="1">
        <v>40582</v>
      </c>
      <c r="C873">
        <v>18</v>
      </c>
      <c r="D873" t="b">
        <v>0</v>
      </c>
      <c r="E873" t="s">
        <v>25</v>
      </c>
      <c r="F873" t="s">
        <v>30</v>
      </c>
      <c r="G873">
        <v>0.2</v>
      </c>
      <c r="H873">
        <v>0.18179999999999999</v>
      </c>
      <c r="I873">
        <v>0.32</v>
      </c>
      <c r="J873">
        <v>0.3881</v>
      </c>
      <c r="K873">
        <v>1</v>
      </c>
      <c r="L873">
        <v>151</v>
      </c>
      <c r="M873">
        <v>152</v>
      </c>
      <c r="N873" t="s">
        <v>18</v>
      </c>
      <c r="O873" t="s">
        <v>87</v>
      </c>
      <c r="P873" t="s">
        <v>90</v>
      </c>
    </row>
    <row r="874" spans="1:16" x14ac:dyDescent="0.3">
      <c r="A874">
        <v>873</v>
      </c>
      <c r="B874" s="1">
        <v>40582</v>
      </c>
      <c r="C874">
        <v>19</v>
      </c>
      <c r="D874" t="b">
        <v>0</v>
      </c>
      <c r="E874" t="s">
        <v>25</v>
      </c>
      <c r="F874" t="s">
        <v>30</v>
      </c>
      <c r="G874">
        <v>0.16</v>
      </c>
      <c r="H874">
        <v>0.1212</v>
      </c>
      <c r="I874">
        <v>0.4</v>
      </c>
      <c r="J874">
        <v>0.4627</v>
      </c>
      <c r="K874">
        <v>1</v>
      </c>
      <c r="L874">
        <v>100</v>
      </c>
      <c r="M874">
        <v>101</v>
      </c>
      <c r="N874" t="s">
        <v>18</v>
      </c>
      <c r="O874" t="s">
        <v>87</v>
      </c>
      <c r="P874" t="s">
        <v>90</v>
      </c>
    </row>
    <row r="875" spans="1:16" x14ac:dyDescent="0.3">
      <c r="A875">
        <v>874</v>
      </c>
      <c r="B875" s="1">
        <v>40582</v>
      </c>
      <c r="C875">
        <v>20</v>
      </c>
      <c r="D875" t="b">
        <v>0</v>
      </c>
      <c r="E875" t="s">
        <v>25</v>
      </c>
      <c r="F875" t="s">
        <v>30</v>
      </c>
      <c r="G875">
        <v>0.16</v>
      </c>
      <c r="H875">
        <v>0.13639999999999999</v>
      </c>
      <c r="I875">
        <v>0.4</v>
      </c>
      <c r="J875">
        <v>0.32840000000000003</v>
      </c>
      <c r="K875">
        <v>3</v>
      </c>
      <c r="L875">
        <v>53</v>
      </c>
      <c r="M875">
        <v>56</v>
      </c>
      <c r="N875" t="s">
        <v>18</v>
      </c>
      <c r="O875" t="s">
        <v>85</v>
      </c>
      <c r="P875" t="s">
        <v>90</v>
      </c>
    </row>
    <row r="876" spans="1:16" x14ac:dyDescent="0.3">
      <c r="A876">
        <v>875</v>
      </c>
      <c r="B876" s="1">
        <v>40582</v>
      </c>
      <c r="C876">
        <v>21</v>
      </c>
      <c r="D876" t="b">
        <v>0</v>
      </c>
      <c r="E876" t="s">
        <v>25</v>
      </c>
      <c r="F876" t="s">
        <v>30</v>
      </c>
      <c r="G876">
        <v>0.14000000000000001</v>
      </c>
      <c r="H876">
        <v>0.1061</v>
      </c>
      <c r="I876">
        <v>0.33</v>
      </c>
      <c r="J876">
        <v>0.4627</v>
      </c>
      <c r="K876">
        <v>8</v>
      </c>
      <c r="L876">
        <v>46</v>
      </c>
      <c r="M876">
        <v>54</v>
      </c>
      <c r="N876" t="s">
        <v>18</v>
      </c>
      <c r="O876" t="s">
        <v>85</v>
      </c>
      <c r="P876" t="s">
        <v>90</v>
      </c>
    </row>
    <row r="877" spans="1:16" x14ac:dyDescent="0.3">
      <c r="A877">
        <v>876</v>
      </c>
      <c r="B877" s="1">
        <v>40582</v>
      </c>
      <c r="C877">
        <v>22</v>
      </c>
      <c r="D877" t="b">
        <v>0</v>
      </c>
      <c r="E877" t="s">
        <v>25</v>
      </c>
      <c r="F877" t="s">
        <v>30</v>
      </c>
      <c r="G877">
        <v>0.12</v>
      </c>
      <c r="H877">
        <v>0.1061</v>
      </c>
      <c r="I877">
        <v>0.33</v>
      </c>
      <c r="J877">
        <v>0.35820000000000002</v>
      </c>
      <c r="K877">
        <v>0</v>
      </c>
      <c r="L877">
        <v>29</v>
      </c>
      <c r="M877">
        <v>29</v>
      </c>
      <c r="N877" t="s">
        <v>18</v>
      </c>
      <c r="O877" t="s">
        <v>85</v>
      </c>
      <c r="P877" t="s">
        <v>90</v>
      </c>
    </row>
    <row r="878" spans="1:16" x14ac:dyDescent="0.3">
      <c r="A878">
        <v>877</v>
      </c>
      <c r="B878" s="1">
        <v>40582</v>
      </c>
      <c r="C878">
        <v>23</v>
      </c>
      <c r="D878" t="b">
        <v>0</v>
      </c>
      <c r="E878" t="s">
        <v>25</v>
      </c>
      <c r="F878" t="s">
        <v>30</v>
      </c>
      <c r="G878">
        <v>0.12</v>
      </c>
      <c r="H878">
        <v>0.1061</v>
      </c>
      <c r="I878">
        <v>0.33</v>
      </c>
      <c r="J878">
        <v>0.32840000000000003</v>
      </c>
      <c r="K878">
        <v>3</v>
      </c>
      <c r="L878">
        <v>9</v>
      </c>
      <c r="M878">
        <v>12</v>
      </c>
      <c r="N878" t="s">
        <v>18</v>
      </c>
      <c r="O878" t="s">
        <v>85</v>
      </c>
      <c r="P878" t="s">
        <v>90</v>
      </c>
    </row>
    <row r="879" spans="1:16" x14ac:dyDescent="0.3">
      <c r="A879">
        <v>878</v>
      </c>
      <c r="B879" s="1">
        <v>40583</v>
      </c>
      <c r="C879">
        <v>0</v>
      </c>
      <c r="D879" t="b">
        <v>0</v>
      </c>
      <c r="E879" t="s">
        <v>26</v>
      </c>
      <c r="F879" t="s">
        <v>30</v>
      </c>
      <c r="G879">
        <v>0.1</v>
      </c>
      <c r="H879">
        <v>7.5800000000000006E-2</v>
      </c>
      <c r="I879">
        <v>0.36</v>
      </c>
      <c r="J879">
        <v>0.35820000000000002</v>
      </c>
      <c r="K879">
        <v>0</v>
      </c>
      <c r="L879">
        <v>17</v>
      </c>
      <c r="M879">
        <v>17</v>
      </c>
      <c r="N879" t="s">
        <v>18</v>
      </c>
      <c r="O879" t="s">
        <v>85</v>
      </c>
      <c r="P879" t="s">
        <v>90</v>
      </c>
    </row>
    <row r="880" spans="1:16" x14ac:dyDescent="0.3">
      <c r="A880">
        <v>879</v>
      </c>
      <c r="B880" s="1">
        <v>40583</v>
      </c>
      <c r="C880">
        <v>1</v>
      </c>
      <c r="D880" t="b">
        <v>0</v>
      </c>
      <c r="E880" t="s">
        <v>26</v>
      </c>
      <c r="F880" t="s">
        <v>30</v>
      </c>
      <c r="G880">
        <v>0.1</v>
      </c>
      <c r="H880">
        <v>0.1061</v>
      </c>
      <c r="I880">
        <v>0.36</v>
      </c>
      <c r="J880">
        <v>0.22389999999999999</v>
      </c>
      <c r="K880">
        <v>0</v>
      </c>
      <c r="L880">
        <v>7</v>
      </c>
      <c r="M880">
        <v>7</v>
      </c>
      <c r="N880" t="s">
        <v>18</v>
      </c>
      <c r="O880" t="s">
        <v>85</v>
      </c>
      <c r="P880" t="s">
        <v>90</v>
      </c>
    </row>
    <row r="881" spans="1:16" x14ac:dyDescent="0.3">
      <c r="A881">
        <v>880</v>
      </c>
      <c r="B881" s="1">
        <v>40583</v>
      </c>
      <c r="C881">
        <v>2</v>
      </c>
      <c r="D881" t="b">
        <v>0</v>
      </c>
      <c r="E881" t="s">
        <v>26</v>
      </c>
      <c r="F881" t="s">
        <v>30</v>
      </c>
      <c r="G881">
        <v>0.08</v>
      </c>
      <c r="H881">
        <v>7.5800000000000006E-2</v>
      </c>
      <c r="I881">
        <v>0.38</v>
      </c>
      <c r="J881">
        <v>0.28360000000000002</v>
      </c>
      <c r="K881">
        <v>1</v>
      </c>
      <c r="L881">
        <v>2</v>
      </c>
      <c r="M881">
        <v>3</v>
      </c>
      <c r="N881" t="s">
        <v>18</v>
      </c>
      <c r="O881" t="s">
        <v>85</v>
      </c>
      <c r="P881" t="s">
        <v>90</v>
      </c>
    </row>
    <row r="882" spans="1:16" x14ac:dyDescent="0.3">
      <c r="A882">
        <v>881</v>
      </c>
      <c r="B882" s="1">
        <v>40583</v>
      </c>
      <c r="C882">
        <v>3</v>
      </c>
      <c r="D882" t="b">
        <v>0</v>
      </c>
      <c r="E882" t="s">
        <v>26</v>
      </c>
      <c r="F882" t="s">
        <v>30</v>
      </c>
      <c r="G882">
        <v>0.06</v>
      </c>
      <c r="H882">
        <v>7.5800000000000006E-2</v>
      </c>
      <c r="I882">
        <v>0.45</v>
      </c>
      <c r="J882">
        <v>0.1343</v>
      </c>
      <c r="K882">
        <v>0</v>
      </c>
      <c r="L882">
        <v>2</v>
      </c>
      <c r="M882">
        <v>2</v>
      </c>
      <c r="N882" t="s">
        <v>18</v>
      </c>
      <c r="O882" t="s">
        <v>85</v>
      </c>
      <c r="P882" t="s">
        <v>90</v>
      </c>
    </row>
    <row r="883" spans="1:16" x14ac:dyDescent="0.3">
      <c r="A883">
        <v>882</v>
      </c>
      <c r="B883" s="1">
        <v>40583</v>
      </c>
      <c r="C883">
        <v>5</v>
      </c>
      <c r="D883" t="b">
        <v>0</v>
      </c>
      <c r="E883" t="s">
        <v>26</v>
      </c>
      <c r="F883" t="s">
        <v>30</v>
      </c>
      <c r="G883">
        <v>0.06</v>
      </c>
      <c r="H883">
        <v>0.1061</v>
      </c>
      <c r="I883">
        <v>0.45</v>
      </c>
      <c r="J883">
        <v>0.1045</v>
      </c>
      <c r="K883">
        <v>0</v>
      </c>
      <c r="L883">
        <v>7</v>
      </c>
      <c r="M883">
        <v>7</v>
      </c>
      <c r="N883" t="s">
        <v>18</v>
      </c>
      <c r="O883" t="s">
        <v>85</v>
      </c>
      <c r="P883" t="s">
        <v>90</v>
      </c>
    </row>
    <row r="884" spans="1:16" x14ac:dyDescent="0.3">
      <c r="A884">
        <v>883</v>
      </c>
      <c r="B884" s="1">
        <v>40583</v>
      </c>
      <c r="C884">
        <v>6</v>
      </c>
      <c r="D884" t="b">
        <v>0</v>
      </c>
      <c r="E884" t="s">
        <v>26</v>
      </c>
      <c r="F884" t="s">
        <v>30</v>
      </c>
      <c r="G884">
        <v>0.06</v>
      </c>
      <c r="H884">
        <v>0.1515</v>
      </c>
      <c r="I884">
        <v>0.45</v>
      </c>
      <c r="J884">
        <v>0</v>
      </c>
      <c r="K884">
        <v>0</v>
      </c>
      <c r="L884">
        <v>43</v>
      </c>
      <c r="M884">
        <v>43</v>
      </c>
      <c r="N884" t="s">
        <v>18</v>
      </c>
      <c r="O884" t="s">
        <v>85</v>
      </c>
      <c r="P884" t="s">
        <v>90</v>
      </c>
    </row>
    <row r="885" spans="1:16" x14ac:dyDescent="0.3">
      <c r="A885">
        <v>884</v>
      </c>
      <c r="B885" s="1">
        <v>40583</v>
      </c>
      <c r="C885">
        <v>7</v>
      </c>
      <c r="D885" t="b">
        <v>0</v>
      </c>
      <c r="E885" t="s">
        <v>26</v>
      </c>
      <c r="F885" t="s">
        <v>30</v>
      </c>
      <c r="G885">
        <v>0.06</v>
      </c>
      <c r="H885">
        <v>0.1061</v>
      </c>
      <c r="I885">
        <v>0.49</v>
      </c>
      <c r="J885">
        <v>0.1045</v>
      </c>
      <c r="K885">
        <v>4</v>
      </c>
      <c r="L885">
        <v>95</v>
      </c>
      <c r="M885">
        <v>99</v>
      </c>
      <c r="N885" t="s">
        <v>18</v>
      </c>
      <c r="O885" t="s">
        <v>86</v>
      </c>
      <c r="P885" t="s">
        <v>90</v>
      </c>
    </row>
    <row r="886" spans="1:16" x14ac:dyDescent="0.3">
      <c r="A886">
        <v>885</v>
      </c>
      <c r="B886" s="1">
        <v>40583</v>
      </c>
      <c r="C886">
        <v>8</v>
      </c>
      <c r="D886" t="b">
        <v>0</v>
      </c>
      <c r="E886" t="s">
        <v>26</v>
      </c>
      <c r="F886" t="s">
        <v>30</v>
      </c>
      <c r="G886">
        <v>0.1</v>
      </c>
      <c r="H886">
        <v>0.13639999999999999</v>
      </c>
      <c r="I886">
        <v>0.42</v>
      </c>
      <c r="J886">
        <v>0</v>
      </c>
      <c r="K886">
        <v>1</v>
      </c>
      <c r="L886">
        <v>198</v>
      </c>
      <c r="M886">
        <v>199</v>
      </c>
      <c r="N886" t="s">
        <v>18</v>
      </c>
      <c r="O886" t="s">
        <v>86</v>
      </c>
      <c r="P886" t="s">
        <v>90</v>
      </c>
    </row>
    <row r="887" spans="1:16" x14ac:dyDescent="0.3">
      <c r="A887">
        <v>886</v>
      </c>
      <c r="B887" s="1">
        <v>40583</v>
      </c>
      <c r="C887">
        <v>9</v>
      </c>
      <c r="D887" t="b">
        <v>0</v>
      </c>
      <c r="E887" t="s">
        <v>26</v>
      </c>
      <c r="F887" t="s">
        <v>30</v>
      </c>
      <c r="G887">
        <v>0.12</v>
      </c>
      <c r="H887">
        <v>0.13639999999999999</v>
      </c>
      <c r="I887">
        <v>0.39</v>
      </c>
      <c r="J887">
        <v>0.16420000000000001</v>
      </c>
      <c r="K887">
        <v>4</v>
      </c>
      <c r="L887">
        <v>119</v>
      </c>
      <c r="M887">
        <v>123</v>
      </c>
      <c r="N887" t="s">
        <v>18</v>
      </c>
      <c r="O887" t="s">
        <v>86</v>
      </c>
      <c r="P887" t="s">
        <v>90</v>
      </c>
    </row>
    <row r="888" spans="1:16" x14ac:dyDescent="0.3">
      <c r="A888">
        <v>887</v>
      </c>
      <c r="B888" s="1">
        <v>40583</v>
      </c>
      <c r="C888">
        <v>10</v>
      </c>
      <c r="D888" t="b">
        <v>0</v>
      </c>
      <c r="E888" t="s">
        <v>26</v>
      </c>
      <c r="F888" t="s">
        <v>30</v>
      </c>
      <c r="G888">
        <v>0.14000000000000001</v>
      </c>
      <c r="H888">
        <v>0.18179999999999999</v>
      </c>
      <c r="I888">
        <v>0.36</v>
      </c>
      <c r="J888">
        <v>0</v>
      </c>
      <c r="K888">
        <v>8</v>
      </c>
      <c r="L888">
        <v>51</v>
      </c>
      <c r="M888">
        <v>59</v>
      </c>
      <c r="N888" t="s">
        <v>18</v>
      </c>
      <c r="O888" t="s">
        <v>85</v>
      </c>
      <c r="P888" t="s">
        <v>90</v>
      </c>
    </row>
    <row r="889" spans="1:16" x14ac:dyDescent="0.3">
      <c r="A889">
        <v>888</v>
      </c>
      <c r="B889" s="1">
        <v>40583</v>
      </c>
      <c r="C889">
        <v>11</v>
      </c>
      <c r="D889" t="b">
        <v>0</v>
      </c>
      <c r="E889" t="s">
        <v>26</v>
      </c>
      <c r="F889" t="s">
        <v>31</v>
      </c>
      <c r="G889">
        <v>0.14000000000000001</v>
      </c>
      <c r="H889">
        <v>0.1515</v>
      </c>
      <c r="I889">
        <v>0.43</v>
      </c>
      <c r="J889">
        <v>0.16420000000000001</v>
      </c>
      <c r="K889">
        <v>1</v>
      </c>
      <c r="L889">
        <v>40</v>
      </c>
      <c r="M889">
        <v>41</v>
      </c>
      <c r="N889" t="s">
        <v>18</v>
      </c>
      <c r="O889" t="s">
        <v>85</v>
      </c>
      <c r="P889" t="s">
        <v>91</v>
      </c>
    </row>
    <row r="890" spans="1:16" x14ac:dyDescent="0.3">
      <c r="A890">
        <v>889</v>
      </c>
      <c r="B890" s="1">
        <v>40583</v>
      </c>
      <c r="C890">
        <v>12</v>
      </c>
      <c r="D890" t="b">
        <v>0</v>
      </c>
      <c r="E890" t="s">
        <v>26</v>
      </c>
      <c r="F890" t="s">
        <v>31</v>
      </c>
      <c r="G890">
        <v>0.18</v>
      </c>
      <c r="H890">
        <v>0.18179999999999999</v>
      </c>
      <c r="I890">
        <v>0.4</v>
      </c>
      <c r="J890">
        <v>0.22389999999999999</v>
      </c>
      <c r="K890">
        <v>4</v>
      </c>
      <c r="L890">
        <v>57</v>
      </c>
      <c r="M890">
        <v>61</v>
      </c>
      <c r="N890" t="s">
        <v>18</v>
      </c>
      <c r="O890" t="s">
        <v>85</v>
      </c>
      <c r="P890" t="s">
        <v>91</v>
      </c>
    </row>
    <row r="891" spans="1:16" x14ac:dyDescent="0.3">
      <c r="A891">
        <v>890</v>
      </c>
      <c r="B891" s="1">
        <v>40583</v>
      </c>
      <c r="C891">
        <v>13</v>
      </c>
      <c r="D891" t="b">
        <v>0</v>
      </c>
      <c r="E891" t="s">
        <v>26</v>
      </c>
      <c r="F891" t="s">
        <v>30</v>
      </c>
      <c r="G891">
        <v>0.18</v>
      </c>
      <c r="H891">
        <v>0.16669999999999999</v>
      </c>
      <c r="I891">
        <v>0.4</v>
      </c>
      <c r="J891">
        <v>0.25369999999999998</v>
      </c>
      <c r="K891">
        <v>2</v>
      </c>
      <c r="L891">
        <v>67</v>
      </c>
      <c r="M891">
        <v>69</v>
      </c>
      <c r="N891" t="s">
        <v>18</v>
      </c>
      <c r="O891" t="s">
        <v>85</v>
      </c>
      <c r="P891" t="s">
        <v>90</v>
      </c>
    </row>
    <row r="892" spans="1:16" x14ac:dyDescent="0.3">
      <c r="A892">
        <v>891</v>
      </c>
      <c r="B892" s="1">
        <v>40583</v>
      </c>
      <c r="C892">
        <v>14</v>
      </c>
      <c r="D892" t="b">
        <v>0</v>
      </c>
      <c r="E892" t="s">
        <v>26</v>
      </c>
      <c r="F892" t="s">
        <v>30</v>
      </c>
      <c r="G892">
        <v>0.2</v>
      </c>
      <c r="H892">
        <v>0.18179999999999999</v>
      </c>
      <c r="I892">
        <v>0.34</v>
      </c>
      <c r="J892">
        <v>0.29849999999999999</v>
      </c>
      <c r="K892">
        <v>2</v>
      </c>
      <c r="L892">
        <v>56</v>
      </c>
      <c r="M892">
        <v>58</v>
      </c>
      <c r="N892" t="s">
        <v>18</v>
      </c>
      <c r="O892" t="s">
        <v>85</v>
      </c>
      <c r="P892" t="s">
        <v>90</v>
      </c>
    </row>
    <row r="893" spans="1:16" x14ac:dyDescent="0.3">
      <c r="A893">
        <v>892</v>
      </c>
      <c r="B893" s="1">
        <v>40583</v>
      </c>
      <c r="C893">
        <v>15</v>
      </c>
      <c r="D893" t="b">
        <v>0</v>
      </c>
      <c r="E893" t="s">
        <v>26</v>
      </c>
      <c r="F893" t="s">
        <v>31</v>
      </c>
      <c r="G893">
        <v>0.2</v>
      </c>
      <c r="H893">
        <v>0.18179999999999999</v>
      </c>
      <c r="I893">
        <v>0.34</v>
      </c>
      <c r="J893">
        <v>0.28360000000000002</v>
      </c>
      <c r="K893">
        <v>3</v>
      </c>
      <c r="L893">
        <v>61</v>
      </c>
      <c r="M893">
        <v>64</v>
      </c>
      <c r="N893" t="s">
        <v>18</v>
      </c>
      <c r="O893" t="s">
        <v>85</v>
      </c>
      <c r="P893" t="s">
        <v>91</v>
      </c>
    </row>
    <row r="894" spans="1:16" x14ac:dyDescent="0.3">
      <c r="A894">
        <v>893</v>
      </c>
      <c r="B894" s="1">
        <v>40583</v>
      </c>
      <c r="C894">
        <v>16</v>
      </c>
      <c r="D894" t="b">
        <v>0</v>
      </c>
      <c r="E894" t="s">
        <v>26</v>
      </c>
      <c r="F894" t="s">
        <v>31</v>
      </c>
      <c r="G894">
        <v>0.2</v>
      </c>
      <c r="H894">
        <v>0.19700000000000001</v>
      </c>
      <c r="I894">
        <v>0.37</v>
      </c>
      <c r="J894">
        <v>0.25369999999999998</v>
      </c>
      <c r="K894">
        <v>7</v>
      </c>
      <c r="L894">
        <v>72</v>
      </c>
      <c r="M894">
        <v>79</v>
      </c>
      <c r="N894" t="s">
        <v>18</v>
      </c>
      <c r="O894" t="s">
        <v>85</v>
      </c>
      <c r="P894" t="s">
        <v>91</v>
      </c>
    </row>
    <row r="895" spans="1:16" x14ac:dyDescent="0.3">
      <c r="A895">
        <v>894</v>
      </c>
      <c r="B895" s="1">
        <v>40583</v>
      </c>
      <c r="C895">
        <v>17</v>
      </c>
      <c r="D895" t="b">
        <v>0</v>
      </c>
      <c r="E895" t="s">
        <v>26</v>
      </c>
      <c r="F895" t="s">
        <v>31</v>
      </c>
      <c r="G895">
        <v>0.2</v>
      </c>
      <c r="H895">
        <v>0.19700000000000001</v>
      </c>
      <c r="I895">
        <v>0.34</v>
      </c>
      <c r="J895">
        <v>0.25369999999999998</v>
      </c>
      <c r="K895">
        <v>9</v>
      </c>
      <c r="L895">
        <v>157</v>
      </c>
      <c r="M895">
        <v>166</v>
      </c>
      <c r="N895" t="s">
        <v>18</v>
      </c>
      <c r="O895" t="s">
        <v>87</v>
      </c>
      <c r="P895" t="s">
        <v>91</v>
      </c>
    </row>
    <row r="896" spans="1:16" x14ac:dyDescent="0.3">
      <c r="A896">
        <v>895</v>
      </c>
      <c r="B896" s="1">
        <v>40583</v>
      </c>
      <c r="C896">
        <v>18</v>
      </c>
      <c r="D896" t="b">
        <v>0</v>
      </c>
      <c r="E896" t="s">
        <v>26</v>
      </c>
      <c r="F896" t="s">
        <v>31</v>
      </c>
      <c r="G896">
        <v>0.18</v>
      </c>
      <c r="H896">
        <v>0.16669999999999999</v>
      </c>
      <c r="I896">
        <v>0.47</v>
      </c>
      <c r="J896">
        <v>0.29849999999999999</v>
      </c>
      <c r="K896">
        <v>2</v>
      </c>
      <c r="L896">
        <v>168</v>
      </c>
      <c r="M896">
        <v>170</v>
      </c>
      <c r="N896" t="s">
        <v>18</v>
      </c>
      <c r="O896" t="s">
        <v>87</v>
      </c>
      <c r="P896" t="s">
        <v>91</v>
      </c>
    </row>
    <row r="897" spans="1:16" x14ac:dyDescent="0.3">
      <c r="A897">
        <v>896</v>
      </c>
      <c r="B897" s="1">
        <v>40583</v>
      </c>
      <c r="C897">
        <v>19</v>
      </c>
      <c r="D897" t="b">
        <v>0</v>
      </c>
      <c r="E897" t="s">
        <v>26</v>
      </c>
      <c r="F897" t="s">
        <v>32</v>
      </c>
      <c r="G897">
        <v>0.14000000000000001</v>
      </c>
      <c r="H897">
        <v>0.1212</v>
      </c>
      <c r="I897">
        <v>0.86</v>
      </c>
      <c r="J897">
        <v>0.25369999999999998</v>
      </c>
      <c r="K897">
        <v>1</v>
      </c>
      <c r="L897">
        <v>87</v>
      </c>
      <c r="M897">
        <v>88</v>
      </c>
      <c r="N897" t="s">
        <v>18</v>
      </c>
      <c r="O897" t="s">
        <v>87</v>
      </c>
      <c r="P897" t="s">
        <v>92</v>
      </c>
    </row>
    <row r="898" spans="1:16" x14ac:dyDescent="0.3">
      <c r="A898">
        <v>897</v>
      </c>
      <c r="B898" s="1">
        <v>40583</v>
      </c>
      <c r="C898">
        <v>20</v>
      </c>
      <c r="D898" t="b">
        <v>0</v>
      </c>
      <c r="E898" t="s">
        <v>26</v>
      </c>
      <c r="F898" t="s">
        <v>32</v>
      </c>
      <c r="G898">
        <v>0.14000000000000001</v>
      </c>
      <c r="H898">
        <v>0.1515</v>
      </c>
      <c r="I898">
        <v>0.86</v>
      </c>
      <c r="J898">
        <v>0.16420000000000001</v>
      </c>
      <c r="K898">
        <v>0</v>
      </c>
      <c r="L898">
        <v>84</v>
      </c>
      <c r="M898">
        <v>84</v>
      </c>
      <c r="N898" t="s">
        <v>18</v>
      </c>
      <c r="O898" t="s">
        <v>85</v>
      </c>
      <c r="P898" t="s">
        <v>92</v>
      </c>
    </row>
    <row r="899" spans="1:16" x14ac:dyDescent="0.3">
      <c r="A899">
        <v>898</v>
      </c>
      <c r="B899" s="1">
        <v>40583</v>
      </c>
      <c r="C899">
        <v>21</v>
      </c>
      <c r="D899" t="b">
        <v>0</v>
      </c>
      <c r="E899" t="s">
        <v>26</v>
      </c>
      <c r="F899" t="s">
        <v>31</v>
      </c>
      <c r="G899">
        <v>0.14000000000000001</v>
      </c>
      <c r="H899">
        <v>0.1515</v>
      </c>
      <c r="I899">
        <v>0.86</v>
      </c>
      <c r="J899">
        <v>0.16420000000000001</v>
      </c>
      <c r="K899">
        <v>0</v>
      </c>
      <c r="L899">
        <v>83</v>
      </c>
      <c r="M899">
        <v>83</v>
      </c>
      <c r="N899" t="s">
        <v>18</v>
      </c>
      <c r="O899" t="s">
        <v>85</v>
      </c>
      <c r="P899" t="s">
        <v>91</v>
      </c>
    </row>
    <row r="900" spans="1:16" x14ac:dyDescent="0.3">
      <c r="A900">
        <v>899</v>
      </c>
      <c r="B900" s="1">
        <v>40583</v>
      </c>
      <c r="C900">
        <v>22</v>
      </c>
      <c r="D900" t="b">
        <v>0</v>
      </c>
      <c r="E900" t="s">
        <v>26</v>
      </c>
      <c r="F900" t="s">
        <v>32</v>
      </c>
      <c r="G900">
        <v>0.16</v>
      </c>
      <c r="H900">
        <v>0.16669999999999999</v>
      </c>
      <c r="I900">
        <v>0.8</v>
      </c>
      <c r="J900">
        <v>0.16420000000000001</v>
      </c>
      <c r="K900">
        <v>4</v>
      </c>
      <c r="L900">
        <v>42</v>
      </c>
      <c r="M900">
        <v>46</v>
      </c>
      <c r="N900" t="s">
        <v>18</v>
      </c>
      <c r="O900" t="s">
        <v>85</v>
      </c>
      <c r="P900" t="s">
        <v>92</v>
      </c>
    </row>
    <row r="901" spans="1:16" x14ac:dyDescent="0.3">
      <c r="A901">
        <v>900</v>
      </c>
      <c r="B901" s="1">
        <v>40583</v>
      </c>
      <c r="C901">
        <v>23</v>
      </c>
      <c r="D901" t="b">
        <v>0</v>
      </c>
      <c r="E901" t="s">
        <v>26</v>
      </c>
      <c r="F901" t="s">
        <v>32</v>
      </c>
      <c r="G901">
        <v>0.16</v>
      </c>
      <c r="H901">
        <v>0.1515</v>
      </c>
      <c r="I901">
        <v>0.8</v>
      </c>
      <c r="J901">
        <v>0.19400000000000001</v>
      </c>
      <c r="K901">
        <v>0</v>
      </c>
      <c r="L901">
        <v>37</v>
      </c>
      <c r="M901">
        <v>37</v>
      </c>
      <c r="N901" t="s">
        <v>18</v>
      </c>
      <c r="O901" t="s">
        <v>85</v>
      </c>
      <c r="P901" t="s">
        <v>92</v>
      </c>
    </row>
    <row r="902" spans="1:16" x14ac:dyDescent="0.3">
      <c r="A902">
        <v>901</v>
      </c>
      <c r="B902" s="1">
        <v>40584</v>
      </c>
      <c r="C902">
        <v>0</v>
      </c>
      <c r="D902" t="b">
        <v>0</v>
      </c>
      <c r="E902" t="s">
        <v>27</v>
      </c>
      <c r="F902" t="s">
        <v>32</v>
      </c>
      <c r="G902">
        <v>0.14000000000000001</v>
      </c>
      <c r="H902">
        <v>0.13639999999999999</v>
      </c>
      <c r="I902">
        <v>0.86</v>
      </c>
      <c r="J902">
        <v>0.19400000000000001</v>
      </c>
      <c r="K902">
        <v>0</v>
      </c>
      <c r="L902">
        <v>16</v>
      </c>
      <c r="M902">
        <v>16</v>
      </c>
      <c r="N902" t="s">
        <v>18</v>
      </c>
      <c r="O902" t="s">
        <v>85</v>
      </c>
      <c r="P902" t="s">
        <v>92</v>
      </c>
    </row>
    <row r="903" spans="1:16" x14ac:dyDescent="0.3">
      <c r="A903">
        <v>902</v>
      </c>
      <c r="B903" s="1">
        <v>40584</v>
      </c>
      <c r="C903">
        <v>1</v>
      </c>
      <c r="D903" t="b">
        <v>0</v>
      </c>
      <c r="E903" t="s">
        <v>27</v>
      </c>
      <c r="F903" t="s">
        <v>32</v>
      </c>
      <c r="G903">
        <v>0.14000000000000001</v>
      </c>
      <c r="H903">
        <v>0.1515</v>
      </c>
      <c r="I903">
        <v>0.8</v>
      </c>
      <c r="J903">
        <v>0.1343</v>
      </c>
      <c r="K903">
        <v>0</v>
      </c>
      <c r="L903">
        <v>7</v>
      </c>
      <c r="M903">
        <v>7</v>
      </c>
      <c r="N903" t="s">
        <v>18</v>
      </c>
      <c r="O903" t="s">
        <v>85</v>
      </c>
      <c r="P903" t="s">
        <v>92</v>
      </c>
    </row>
    <row r="904" spans="1:16" x14ac:dyDescent="0.3">
      <c r="A904">
        <v>903</v>
      </c>
      <c r="B904" s="1">
        <v>40584</v>
      </c>
      <c r="C904">
        <v>2</v>
      </c>
      <c r="D904" t="b">
        <v>0</v>
      </c>
      <c r="E904" t="s">
        <v>27</v>
      </c>
      <c r="F904" t="s">
        <v>32</v>
      </c>
      <c r="G904">
        <v>0.14000000000000001</v>
      </c>
      <c r="H904">
        <v>0.1515</v>
      </c>
      <c r="I904">
        <v>0.8</v>
      </c>
      <c r="J904">
        <v>0.1343</v>
      </c>
      <c r="K904">
        <v>0</v>
      </c>
      <c r="L904">
        <v>3</v>
      </c>
      <c r="M904">
        <v>3</v>
      </c>
      <c r="N904" t="s">
        <v>18</v>
      </c>
      <c r="O904" t="s">
        <v>85</v>
      </c>
      <c r="P904" t="s">
        <v>92</v>
      </c>
    </row>
    <row r="905" spans="1:16" x14ac:dyDescent="0.3">
      <c r="A905">
        <v>904</v>
      </c>
      <c r="B905" s="1">
        <v>40584</v>
      </c>
      <c r="C905">
        <v>4</v>
      </c>
      <c r="D905" t="b">
        <v>0</v>
      </c>
      <c r="E905" t="s">
        <v>27</v>
      </c>
      <c r="F905" t="s">
        <v>31</v>
      </c>
      <c r="G905">
        <v>0.14000000000000001</v>
      </c>
      <c r="H905">
        <v>0.13639999999999999</v>
      </c>
      <c r="I905">
        <v>0.59</v>
      </c>
      <c r="J905">
        <v>0.22389999999999999</v>
      </c>
      <c r="K905">
        <v>0</v>
      </c>
      <c r="L905">
        <v>1</v>
      </c>
      <c r="M905">
        <v>1</v>
      </c>
      <c r="N905" t="s">
        <v>18</v>
      </c>
      <c r="O905" t="s">
        <v>85</v>
      </c>
      <c r="P905" t="s">
        <v>91</v>
      </c>
    </row>
    <row r="906" spans="1:16" x14ac:dyDescent="0.3">
      <c r="A906">
        <v>905</v>
      </c>
      <c r="B906" s="1">
        <v>40584</v>
      </c>
      <c r="C906">
        <v>5</v>
      </c>
      <c r="D906" t="b">
        <v>0</v>
      </c>
      <c r="E906" t="s">
        <v>27</v>
      </c>
      <c r="F906" t="s">
        <v>31</v>
      </c>
      <c r="G906">
        <v>0.12</v>
      </c>
      <c r="H906">
        <v>0.1212</v>
      </c>
      <c r="I906">
        <v>0.5</v>
      </c>
      <c r="J906">
        <v>0.22389999999999999</v>
      </c>
      <c r="K906">
        <v>0</v>
      </c>
      <c r="L906">
        <v>6</v>
      </c>
      <c r="M906">
        <v>6</v>
      </c>
      <c r="N906" t="s">
        <v>18</v>
      </c>
      <c r="O906" t="s">
        <v>85</v>
      </c>
      <c r="P906" t="s">
        <v>91</v>
      </c>
    </row>
    <row r="907" spans="1:16" x14ac:dyDescent="0.3">
      <c r="A907">
        <v>906</v>
      </c>
      <c r="B907" s="1">
        <v>40584</v>
      </c>
      <c r="C907">
        <v>6</v>
      </c>
      <c r="D907" t="b">
        <v>0</v>
      </c>
      <c r="E907" t="s">
        <v>27</v>
      </c>
      <c r="F907" t="s">
        <v>31</v>
      </c>
      <c r="G907">
        <v>0.12</v>
      </c>
      <c r="H907">
        <v>0.1212</v>
      </c>
      <c r="I907">
        <v>0.54</v>
      </c>
      <c r="J907">
        <v>0.28360000000000002</v>
      </c>
      <c r="K907">
        <v>0</v>
      </c>
      <c r="L907">
        <v>26</v>
      </c>
      <c r="M907">
        <v>26</v>
      </c>
      <c r="N907" t="s">
        <v>18</v>
      </c>
      <c r="O907" t="s">
        <v>85</v>
      </c>
      <c r="P907" t="s">
        <v>91</v>
      </c>
    </row>
    <row r="908" spans="1:16" x14ac:dyDescent="0.3">
      <c r="A908">
        <v>907</v>
      </c>
      <c r="B908" s="1">
        <v>40584</v>
      </c>
      <c r="C908">
        <v>7</v>
      </c>
      <c r="D908" t="b">
        <v>0</v>
      </c>
      <c r="E908" t="s">
        <v>27</v>
      </c>
      <c r="F908" t="s">
        <v>30</v>
      </c>
      <c r="G908">
        <v>0.1</v>
      </c>
      <c r="H908">
        <v>7.5800000000000006E-2</v>
      </c>
      <c r="I908">
        <v>0.5</v>
      </c>
      <c r="J908">
        <v>0.41789999999999999</v>
      </c>
      <c r="K908">
        <v>0</v>
      </c>
      <c r="L908">
        <v>99</v>
      </c>
      <c r="M908">
        <v>99</v>
      </c>
      <c r="N908" t="s">
        <v>18</v>
      </c>
      <c r="O908" t="s">
        <v>86</v>
      </c>
      <c r="P908" t="s">
        <v>90</v>
      </c>
    </row>
    <row r="909" spans="1:16" x14ac:dyDescent="0.3">
      <c r="A909">
        <v>908</v>
      </c>
      <c r="B909" s="1">
        <v>40584</v>
      </c>
      <c r="C909">
        <v>8</v>
      </c>
      <c r="D909" t="b">
        <v>0</v>
      </c>
      <c r="E909" t="s">
        <v>27</v>
      </c>
      <c r="F909" t="s">
        <v>30</v>
      </c>
      <c r="G909">
        <v>0.1</v>
      </c>
      <c r="H909">
        <v>7.5800000000000006E-2</v>
      </c>
      <c r="I909">
        <v>0.49</v>
      </c>
      <c r="J909">
        <v>0.32840000000000003</v>
      </c>
      <c r="K909">
        <v>5</v>
      </c>
      <c r="L909">
        <v>173</v>
      </c>
      <c r="M909">
        <v>178</v>
      </c>
      <c r="N909" t="s">
        <v>18</v>
      </c>
      <c r="O909" t="s">
        <v>86</v>
      </c>
      <c r="P909" t="s">
        <v>90</v>
      </c>
    </row>
    <row r="910" spans="1:16" x14ac:dyDescent="0.3">
      <c r="A910">
        <v>909</v>
      </c>
      <c r="B910" s="1">
        <v>40584</v>
      </c>
      <c r="C910">
        <v>9</v>
      </c>
      <c r="D910" t="b">
        <v>0</v>
      </c>
      <c r="E910" t="s">
        <v>27</v>
      </c>
      <c r="F910" t="s">
        <v>30</v>
      </c>
      <c r="G910">
        <v>0.12</v>
      </c>
      <c r="H910">
        <v>0.1061</v>
      </c>
      <c r="I910">
        <v>0.42</v>
      </c>
      <c r="J910">
        <v>0.35820000000000002</v>
      </c>
      <c r="K910">
        <v>1</v>
      </c>
      <c r="L910">
        <v>121</v>
      </c>
      <c r="M910">
        <v>122</v>
      </c>
      <c r="N910" t="s">
        <v>18</v>
      </c>
      <c r="O910" t="s">
        <v>86</v>
      </c>
      <c r="P910" t="s">
        <v>90</v>
      </c>
    </row>
    <row r="911" spans="1:16" x14ac:dyDescent="0.3">
      <c r="A911">
        <v>910</v>
      </c>
      <c r="B911" s="1">
        <v>40584</v>
      </c>
      <c r="C911">
        <v>10</v>
      </c>
      <c r="D911" t="b">
        <v>0</v>
      </c>
      <c r="E911" t="s">
        <v>27</v>
      </c>
      <c r="F911" t="s">
        <v>30</v>
      </c>
      <c r="G911">
        <v>0.12</v>
      </c>
      <c r="H911">
        <v>0.1061</v>
      </c>
      <c r="I911">
        <v>0.42</v>
      </c>
      <c r="J911">
        <v>0.29849999999999999</v>
      </c>
      <c r="K911">
        <v>1</v>
      </c>
      <c r="L911">
        <v>34</v>
      </c>
      <c r="M911">
        <v>35</v>
      </c>
      <c r="N911" t="s">
        <v>18</v>
      </c>
      <c r="O911" t="s">
        <v>85</v>
      </c>
      <c r="P911" t="s">
        <v>90</v>
      </c>
    </row>
    <row r="912" spans="1:16" x14ac:dyDescent="0.3">
      <c r="A912">
        <v>911</v>
      </c>
      <c r="B912" s="1">
        <v>40584</v>
      </c>
      <c r="C912">
        <v>11</v>
      </c>
      <c r="D912" t="b">
        <v>0</v>
      </c>
      <c r="E912" t="s">
        <v>27</v>
      </c>
      <c r="F912" t="s">
        <v>30</v>
      </c>
      <c r="G912">
        <v>0.14000000000000001</v>
      </c>
      <c r="H912">
        <v>0.1212</v>
      </c>
      <c r="I912">
        <v>0.39</v>
      </c>
      <c r="J912">
        <v>0.35820000000000002</v>
      </c>
      <c r="K912">
        <v>1</v>
      </c>
      <c r="L912">
        <v>44</v>
      </c>
      <c r="M912">
        <v>45</v>
      </c>
      <c r="N912" t="s">
        <v>18</v>
      </c>
      <c r="O912" t="s">
        <v>85</v>
      </c>
      <c r="P912" t="s">
        <v>90</v>
      </c>
    </row>
    <row r="913" spans="1:16" x14ac:dyDescent="0.3">
      <c r="A913">
        <v>912</v>
      </c>
      <c r="B913" s="1">
        <v>40584</v>
      </c>
      <c r="C913">
        <v>12</v>
      </c>
      <c r="D913" t="b">
        <v>0</v>
      </c>
      <c r="E913" t="s">
        <v>27</v>
      </c>
      <c r="F913" t="s">
        <v>30</v>
      </c>
      <c r="G913">
        <v>0.16</v>
      </c>
      <c r="H913">
        <v>0.13639999999999999</v>
      </c>
      <c r="I913">
        <v>0.34</v>
      </c>
      <c r="J913">
        <v>0.3881</v>
      </c>
      <c r="K913">
        <v>4</v>
      </c>
      <c r="L913">
        <v>65</v>
      </c>
      <c r="M913">
        <v>69</v>
      </c>
      <c r="N913" t="s">
        <v>18</v>
      </c>
      <c r="O913" t="s">
        <v>85</v>
      </c>
      <c r="P913" t="s">
        <v>90</v>
      </c>
    </row>
    <row r="914" spans="1:16" x14ac:dyDescent="0.3">
      <c r="A914">
        <v>913</v>
      </c>
      <c r="B914" s="1">
        <v>40584</v>
      </c>
      <c r="C914">
        <v>13</v>
      </c>
      <c r="D914" t="b">
        <v>0</v>
      </c>
      <c r="E914" t="s">
        <v>27</v>
      </c>
      <c r="F914" t="s">
        <v>30</v>
      </c>
      <c r="G914">
        <v>0.18</v>
      </c>
      <c r="H914">
        <v>0.16669999999999999</v>
      </c>
      <c r="I914">
        <v>0.28999999999999998</v>
      </c>
      <c r="J914">
        <v>0.29849999999999999</v>
      </c>
      <c r="K914">
        <v>3</v>
      </c>
      <c r="L914">
        <v>59</v>
      </c>
      <c r="M914">
        <v>62</v>
      </c>
      <c r="N914" t="s">
        <v>18</v>
      </c>
      <c r="O914" t="s">
        <v>85</v>
      </c>
      <c r="P914" t="s">
        <v>90</v>
      </c>
    </row>
    <row r="915" spans="1:16" x14ac:dyDescent="0.3">
      <c r="A915">
        <v>914</v>
      </c>
      <c r="B915" s="1">
        <v>40584</v>
      </c>
      <c r="C915">
        <v>14</v>
      </c>
      <c r="D915" t="b">
        <v>0</v>
      </c>
      <c r="E915" t="s">
        <v>27</v>
      </c>
      <c r="F915" t="s">
        <v>30</v>
      </c>
      <c r="G915">
        <v>0.2</v>
      </c>
      <c r="H915">
        <v>0.18179999999999999</v>
      </c>
      <c r="I915">
        <v>0.27</v>
      </c>
      <c r="J915">
        <v>0.28360000000000002</v>
      </c>
      <c r="K915">
        <v>6</v>
      </c>
      <c r="L915">
        <v>42</v>
      </c>
      <c r="M915">
        <v>48</v>
      </c>
      <c r="N915" t="s">
        <v>18</v>
      </c>
      <c r="O915" t="s">
        <v>85</v>
      </c>
      <c r="P915" t="s">
        <v>90</v>
      </c>
    </row>
    <row r="916" spans="1:16" x14ac:dyDescent="0.3">
      <c r="A916">
        <v>915</v>
      </c>
      <c r="B916" s="1">
        <v>40584</v>
      </c>
      <c r="C916">
        <v>15</v>
      </c>
      <c r="D916" t="b">
        <v>0</v>
      </c>
      <c r="E916" t="s">
        <v>27</v>
      </c>
      <c r="F916" t="s">
        <v>30</v>
      </c>
      <c r="G916">
        <v>0.2</v>
      </c>
      <c r="H916">
        <v>0.19700000000000001</v>
      </c>
      <c r="I916">
        <v>0.25</v>
      </c>
      <c r="J916">
        <v>0.25369999999999998</v>
      </c>
      <c r="K916">
        <v>0</v>
      </c>
      <c r="L916">
        <v>50</v>
      </c>
      <c r="M916">
        <v>50</v>
      </c>
      <c r="N916" t="s">
        <v>18</v>
      </c>
      <c r="O916" t="s">
        <v>85</v>
      </c>
      <c r="P916" t="s">
        <v>90</v>
      </c>
    </row>
    <row r="917" spans="1:16" x14ac:dyDescent="0.3">
      <c r="A917">
        <v>916</v>
      </c>
      <c r="B917" s="1">
        <v>40584</v>
      </c>
      <c r="C917">
        <v>16</v>
      </c>
      <c r="D917" t="b">
        <v>0</v>
      </c>
      <c r="E917" t="s">
        <v>27</v>
      </c>
      <c r="F917" t="s">
        <v>30</v>
      </c>
      <c r="G917">
        <v>0.2</v>
      </c>
      <c r="H917">
        <v>0.18179999999999999</v>
      </c>
      <c r="I917">
        <v>0.27</v>
      </c>
      <c r="J917">
        <v>0.29849999999999999</v>
      </c>
      <c r="K917">
        <v>4</v>
      </c>
      <c r="L917">
        <v>76</v>
      </c>
      <c r="M917">
        <v>80</v>
      </c>
      <c r="N917" t="s">
        <v>18</v>
      </c>
      <c r="O917" t="s">
        <v>85</v>
      </c>
      <c r="P917" t="s">
        <v>90</v>
      </c>
    </row>
    <row r="918" spans="1:16" x14ac:dyDescent="0.3">
      <c r="A918">
        <v>917</v>
      </c>
      <c r="B918" s="1">
        <v>40584</v>
      </c>
      <c r="C918">
        <v>17</v>
      </c>
      <c r="D918" t="b">
        <v>0</v>
      </c>
      <c r="E918" t="s">
        <v>27</v>
      </c>
      <c r="F918" t="s">
        <v>30</v>
      </c>
      <c r="G918">
        <v>0.18</v>
      </c>
      <c r="H918">
        <v>0.18179999999999999</v>
      </c>
      <c r="I918">
        <v>0.26</v>
      </c>
      <c r="J918">
        <v>0.19400000000000001</v>
      </c>
      <c r="K918">
        <v>6</v>
      </c>
      <c r="L918">
        <v>159</v>
      </c>
      <c r="M918">
        <v>165</v>
      </c>
      <c r="N918" t="s">
        <v>18</v>
      </c>
      <c r="O918" t="s">
        <v>87</v>
      </c>
      <c r="P918" t="s">
        <v>90</v>
      </c>
    </row>
    <row r="919" spans="1:16" x14ac:dyDescent="0.3">
      <c r="A919">
        <v>918</v>
      </c>
      <c r="B919" s="1">
        <v>40584</v>
      </c>
      <c r="C919">
        <v>18</v>
      </c>
      <c r="D919" t="b">
        <v>0</v>
      </c>
      <c r="E919" t="s">
        <v>27</v>
      </c>
      <c r="F919" t="s">
        <v>30</v>
      </c>
      <c r="G919">
        <v>0.16</v>
      </c>
      <c r="H919">
        <v>0.18179999999999999</v>
      </c>
      <c r="I919">
        <v>0.28000000000000003</v>
      </c>
      <c r="J919">
        <v>0.1343</v>
      </c>
      <c r="K919">
        <v>3</v>
      </c>
      <c r="L919">
        <v>157</v>
      </c>
      <c r="M919">
        <v>160</v>
      </c>
      <c r="N919" t="s">
        <v>18</v>
      </c>
      <c r="O919" t="s">
        <v>87</v>
      </c>
      <c r="P919" t="s">
        <v>90</v>
      </c>
    </row>
    <row r="920" spans="1:16" x14ac:dyDescent="0.3">
      <c r="A920">
        <v>919</v>
      </c>
      <c r="B920" s="1">
        <v>40584</v>
      </c>
      <c r="C920">
        <v>19</v>
      </c>
      <c r="D920" t="b">
        <v>0</v>
      </c>
      <c r="E920" t="s">
        <v>27</v>
      </c>
      <c r="F920" t="s">
        <v>30</v>
      </c>
      <c r="G920">
        <v>0.14000000000000001</v>
      </c>
      <c r="H920">
        <v>0.16669999999999999</v>
      </c>
      <c r="I920">
        <v>0.28000000000000003</v>
      </c>
      <c r="J920">
        <v>0.1045</v>
      </c>
      <c r="K920">
        <v>2</v>
      </c>
      <c r="L920">
        <v>110</v>
      </c>
      <c r="M920">
        <v>112</v>
      </c>
      <c r="N920" t="s">
        <v>18</v>
      </c>
      <c r="O920" t="s">
        <v>87</v>
      </c>
      <c r="P920" t="s">
        <v>90</v>
      </c>
    </row>
    <row r="921" spans="1:16" x14ac:dyDescent="0.3">
      <c r="A921">
        <v>920</v>
      </c>
      <c r="B921" s="1">
        <v>40584</v>
      </c>
      <c r="C921">
        <v>20</v>
      </c>
      <c r="D921" t="b">
        <v>0</v>
      </c>
      <c r="E921" t="s">
        <v>27</v>
      </c>
      <c r="F921" t="s">
        <v>30</v>
      </c>
      <c r="G921">
        <v>0.14000000000000001</v>
      </c>
      <c r="H921">
        <v>0.18179999999999999</v>
      </c>
      <c r="I921">
        <v>0.31</v>
      </c>
      <c r="J921">
        <v>8.9599999999999999E-2</v>
      </c>
      <c r="K921">
        <v>4</v>
      </c>
      <c r="L921">
        <v>93</v>
      </c>
      <c r="M921">
        <v>97</v>
      </c>
      <c r="N921" t="s">
        <v>18</v>
      </c>
      <c r="O921" t="s">
        <v>85</v>
      </c>
      <c r="P921" t="s">
        <v>90</v>
      </c>
    </row>
    <row r="922" spans="1:16" x14ac:dyDescent="0.3">
      <c r="A922">
        <v>921</v>
      </c>
      <c r="B922" s="1">
        <v>40584</v>
      </c>
      <c r="C922">
        <v>21</v>
      </c>
      <c r="D922" t="b">
        <v>0</v>
      </c>
      <c r="E922" t="s">
        <v>27</v>
      </c>
      <c r="F922" t="s">
        <v>30</v>
      </c>
      <c r="G922">
        <v>0.14000000000000001</v>
      </c>
      <c r="H922">
        <v>0.21210000000000001</v>
      </c>
      <c r="I922">
        <v>0.39</v>
      </c>
      <c r="J922">
        <v>0</v>
      </c>
      <c r="K922">
        <v>2</v>
      </c>
      <c r="L922">
        <v>70</v>
      </c>
      <c r="M922">
        <v>72</v>
      </c>
      <c r="N922" t="s">
        <v>18</v>
      </c>
      <c r="O922" t="s">
        <v>85</v>
      </c>
      <c r="P922" t="s">
        <v>90</v>
      </c>
    </row>
    <row r="923" spans="1:16" x14ac:dyDescent="0.3">
      <c r="A923">
        <v>922</v>
      </c>
      <c r="B923" s="1">
        <v>40584</v>
      </c>
      <c r="C923">
        <v>22</v>
      </c>
      <c r="D923" t="b">
        <v>0</v>
      </c>
      <c r="E923" t="s">
        <v>27</v>
      </c>
      <c r="F923" t="s">
        <v>30</v>
      </c>
      <c r="G923">
        <v>0.12</v>
      </c>
      <c r="H923">
        <v>0.19700000000000001</v>
      </c>
      <c r="I923">
        <v>0.39</v>
      </c>
      <c r="J923">
        <v>0</v>
      </c>
      <c r="K923">
        <v>4</v>
      </c>
      <c r="L923">
        <v>47</v>
      </c>
      <c r="M923">
        <v>51</v>
      </c>
      <c r="N923" t="s">
        <v>18</v>
      </c>
      <c r="O923" t="s">
        <v>85</v>
      </c>
      <c r="P923" t="s">
        <v>90</v>
      </c>
    </row>
    <row r="924" spans="1:16" x14ac:dyDescent="0.3">
      <c r="A924">
        <v>923</v>
      </c>
      <c r="B924" s="1">
        <v>40584</v>
      </c>
      <c r="C924">
        <v>23</v>
      </c>
      <c r="D924" t="b">
        <v>0</v>
      </c>
      <c r="E924" t="s">
        <v>27</v>
      </c>
      <c r="F924" t="s">
        <v>30</v>
      </c>
      <c r="G924">
        <v>0.12</v>
      </c>
      <c r="H924">
        <v>0.1515</v>
      </c>
      <c r="I924">
        <v>0.42</v>
      </c>
      <c r="J924">
        <v>0.1045</v>
      </c>
      <c r="K924">
        <v>1</v>
      </c>
      <c r="L924">
        <v>33</v>
      </c>
      <c r="M924">
        <v>34</v>
      </c>
      <c r="N924" t="s">
        <v>18</v>
      </c>
      <c r="O924" t="s">
        <v>85</v>
      </c>
      <c r="P924" t="s">
        <v>90</v>
      </c>
    </row>
    <row r="925" spans="1:16" x14ac:dyDescent="0.3">
      <c r="A925">
        <v>924</v>
      </c>
      <c r="B925" s="1">
        <v>40585</v>
      </c>
      <c r="C925">
        <v>0</v>
      </c>
      <c r="D925" t="b">
        <v>0</v>
      </c>
      <c r="E925" t="s">
        <v>28</v>
      </c>
      <c r="F925" t="s">
        <v>30</v>
      </c>
      <c r="G925">
        <v>0.1</v>
      </c>
      <c r="H925">
        <v>0.13639999999999999</v>
      </c>
      <c r="I925">
        <v>0.49</v>
      </c>
      <c r="J925">
        <v>0.1045</v>
      </c>
      <c r="K925">
        <v>2</v>
      </c>
      <c r="L925">
        <v>12</v>
      </c>
      <c r="M925">
        <v>14</v>
      </c>
      <c r="N925" t="s">
        <v>18</v>
      </c>
      <c r="O925" t="s">
        <v>85</v>
      </c>
      <c r="P925" t="s">
        <v>90</v>
      </c>
    </row>
    <row r="926" spans="1:16" x14ac:dyDescent="0.3">
      <c r="A926">
        <v>925</v>
      </c>
      <c r="B926" s="1">
        <v>40585</v>
      </c>
      <c r="C926">
        <v>1</v>
      </c>
      <c r="D926" t="b">
        <v>0</v>
      </c>
      <c r="E926" t="s">
        <v>28</v>
      </c>
      <c r="F926" t="s">
        <v>30</v>
      </c>
      <c r="G926">
        <v>0.1</v>
      </c>
      <c r="H926">
        <v>0.13639999999999999</v>
      </c>
      <c r="I926">
        <v>0.54</v>
      </c>
      <c r="J926">
        <v>8.9599999999999999E-2</v>
      </c>
      <c r="K926">
        <v>1</v>
      </c>
      <c r="L926">
        <v>6</v>
      </c>
      <c r="M926">
        <v>7</v>
      </c>
      <c r="N926" t="s">
        <v>18</v>
      </c>
      <c r="O926" t="s">
        <v>85</v>
      </c>
      <c r="P926" t="s">
        <v>90</v>
      </c>
    </row>
    <row r="927" spans="1:16" x14ac:dyDescent="0.3">
      <c r="A927">
        <v>926</v>
      </c>
      <c r="B927" s="1">
        <v>40585</v>
      </c>
      <c r="C927">
        <v>2</v>
      </c>
      <c r="D927" t="b">
        <v>0</v>
      </c>
      <c r="E927" t="s">
        <v>28</v>
      </c>
      <c r="F927" t="s">
        <v>30</v>
      </c>
      <c r="G927">
        <v>0.1</v>
      </c>
      <c r="H927">
        <v>0.13639999999999999</v>
      </c>
      <c r="I927">
        <v>0.54</v>
      </c>
      <c r="J927">
        <v>8.9599999999999999E-2</v>
      </c>
      <c r="K927">
        <v>0</v>
      </c>
      <c r="L927">
        <v>3</v>
      </c>
      <c r="M927">
        <v>3</v>
      </c>
      <c r="N927" t="s">
        <v>18</v>
      </c>
      <c r="O927" t="s">
        <v>85</v>
      </c>
      <c r="P927" t="s">
        <v>90</v>
      </c>
    </row>
    <row r="928" spans="1:16" x14ac:dyDescent="0.3">
      <c r="A928">
        <v>927</v>
      </c>
      <c r="B928" s="1">
        <v>40585</v>
      </c>
      <c r="C928">
        <v>5</v>
      </c>
      <c r="D928" t="b">
        <v>0</v>
      </c>
      <c r="E928" t="s">
        <v>28</v>
      </c>
      <c r="F928" t="s">
        <v>30</v>
      </c>
      <c r="G928">
        <v>0.08</v>
      </c>
      <c r="H928">
        <v>0.1212</v>
      </c>
      <c r="I928">
        <v>0.63</v>
      </c>
      <c r="J928">
        <v>8.9599999999999999E-2</v>
      </c>
      <c r="K928">
        <v>0</v>
      </c>
      <c r="L928">
        <v>4</v>
      </c>
      <c r="M928">
        <v>4</v>
      </c>
      <c r="N928" t="s">
        <v>18</v>
      </c>
      <c r="O928" t="s">
        <v>85</v>
      </c>
      <c r="P928" t="s">
        <v>90</v>
      </c>
    </row>
    <row r="929" spans="1:16" x14ac:dyDescent="0.3">
      <c r="A929">
        <v>928</v>
      </c>
      <c r="B929" s="1">
        <v>40585</v>
      </c>
      <c r="C929">
        <v>6</v>
      </c>
      <c r="D929" t="b">
        <v>0</v>
      </c>
      <c r="E929" t="s">
        <v>28</v>
      </c>
      <c r="F929" t="s">
        <v>30</v>
      </c>
      <c r="G929">
        <v>0.1</v>
      </c>
      <c r="H929">
        <v>0.18179999999999999</v>
      </c>
      <c r="I929">
        <v>0.68</v>
      </c>
      <c r="J929">
        <v>0</v>
      </c>
      <c r="K929">
        <v>1</v>
      </c>
      <c r="L929">
        <v>23</v>
      </c>
      <c r="M929">
        <v>24</v>
      </c>
      <c r="N929" t="s">
        <v>18</v>
      </c>
      <c r="O929" t="s">
        <v>85</v>
      </c>
      <c r="P929" t="s">
        <v>90</v>
      </c>
    </row>
    <row r="930" spans="1:16" x14ac:dyDescent="0.3">
      <c r="A930">
        <v>929</v>
      </c>
      <c r="B930" s="1">
        <v>40585</v>
      </c>
      <c r="C930">
        <v>7</v>
      </c>
      <c r="D930" t="b">
        <v>0</v>
      </c>
      <c r="E930" t="s">
        <v>28</v>
      </c>
      <c r="F930" t="s">
        <v>30</v>
      </c>
      <c r="G930">
        <v>0.08</v>
      </c>
      <c r="H930">
        <v>0.16669999999999999</v>
      </c>
      <c r="I930">
        <v>0.73</v>
      </c>
      <c r="J930">
        <v>0</v>
      </c>
      <c r="K930">
        <v>1</v>
      </c>
      <c r="L930">
        <v>73</v>
      </c>
      <c r="M930">
        <v>74</v>
      </c>
      <c r="N930" t="s">
        <v>18</v>
      </c>
      <c r="O930" t="s">
        <v>86</v>
      </c>
      <c r="P930" t="s">
        <v>90</v>
      </c>
    </row>
    <row r="931" spans="1:16" x14ac:dyDescent="0.3">
      <c r="A931">
        <v>930</v>
      </c>
      <c r="B931" s="1">
        <v>40585</v>
      </c>
      <c r="C931">
        <v>8</v>
      </c>
      <c r="D931" t="b">
        <v>0</v>
      </c>
      <c r="E931" t="s">
        <v>28</v>
      </c>
      <c r="F931" t="s">
        <v>30</v>
      </c>
      <c r="G931">
        <v>0.1</v>
      </c>
      <c r="H931">
        <v>0.1212</v>
      </c>
      <c r="I931">
        <v>0.74</v>
      </c>
      <c r="J931">
        <v>0.16420000000000001</v>
      </c>
      <c r="K931">
        <v>4</v>
      </c>
      <c r="L931">
        <v>212</v>
      </c>
      <c r="M931">
        <v>216</v>
      </c>
      <c r="N931" t="s">
        <v>18</v>
      </c>
      <c r="O931" t="s">
        <v>86</v>
      </c>
      <c r="P931" t="s">
        <v>90</v>
      </c>
    </row>
    <row r="932" spans="1:16" x14ac:dyDescent="0.3">
      <c r="A932">
        <v>931</v>
      </c>
      <c r="B932" s="1">
        <v>40585</v>
      </c>
      <c r="C932">
        <v>9</v>
      </c>
      <c r="D932" t="b">
        <v>0</v>
      </c>
      <c r="E932" t="s">
        <v>28</v>
      </c>
      <c r="F932" t="s">
        <v>30</v>
      </c>
      <c r="G932">
        <v>0.12</v>
      </c>
      <c r="H932">
        <v>0.1212</v>
      </c>
      <c r="I932">
        <v>0.74</v>
      </c>
      <c r="J932">
        <v>0.22389999999999999</v>
      </c>
      <c r="K932">
        <v>8</v>
      </c>
      <c r="L932">
        <v>132</v>
      </c>
      <c r="M932">
        <v>140</v>
      </c>
      <c r="N932" t="s">
        <v>18</v>
      </c>
      <c r="O932" t="s">
        <v>86</v>
      </c>
      <c r="P932" t="s">
        <v>90</v>
      </c>
    </row>
    <row r="933" spans="1:16" x14ac:dyDescent="0.3">
      <c r="A933">
        <v>932</v>
      </c>
      <c r="B933" s="1">
        <v>40585</v>
      </c>
      <c r="C933">
        <v>10</v>
      </c>
      <c r="D933" t="b">
        <v>0</v>
      </c>
      <c r="E933" t="s">
        <v>28</v>
      </c>
      <c r="F933" t="s">
        <v>30</v>
      </c>
      <c r="G933">
        <v>0.14000000000000001</v>
      </c>
      <c r="H933">
        <v>0.13639999999999999</v>
      </c>
      <c r="I933">
        <v>0.69</v>
      </c>
      <c r="J933">
        <v>0.19400000000000001</v>
      </c>
      <c r="K933">
        <v>5</v>
      </c>
      <c r="L933">
        <v>39</v>
      </c>
      <c r="M933">
        <v>44</v>
      </c>
      <c r="N933" t="s">
        <v>18</v>
      </c>
      <c r="O933" t="s">
        <v>85</v>
      </c>
      <c r="P933" t="s">
        <v>90</v>
      </c>
    </row>
    <row r="934" spans="1:16" x14ac:dyDescent="0.3">
      <c r="A934">
        <v>933</v>
      </c>
      <c r="B934" s="1">
        <v>40585</v>
      </c>
      <c r="C934">
        <v>11</v>
      </c>
      <c r="D934" t="b">
        <v>0</v>
      </c>
      <c r="E934" t="s">
        <v>28</v>
      </c>
      <c r="F934" t="s">
        <v>30</v>
      </c>
      <c r="G934">
        <v>0.22</v>
      </c>
      <c r="H934">
        <v>0.2273</v>
      </c>
      <c r="I934">
        <v>0.47</v>
      </c>
      <c r="J934">
        <v>0.1343</v>
      </c>
      <c r="K934">
        <v>12</v>
      </c>
      <c r="L934">
        <v>52</v>
      </c>
      <c r="M934">
        <v>64</v>
      </c>
      <c r="N934" t="s">
        <v>18</v>
      </c>
      <c r="O934" t="s">
        <v>85</v>
      </c>
      <c r="P934" t="s">
        <v>90</v>
      </c>
    </row>
    <row r="935" spans="1:16" x14ac:dyDescent="0.3">
      <c r="A935">
        <v>934</v>
      </c>
      <c r="B935" s="1">
        <v>40585</v>
      </c>
      <c r="C935">
        <v>12</v>
      </c>
      <c r="D935" t="b">
        <v>0</v>
      </c>
      <c r="E935" t="s">
        <v>28</v>
      </c>
      <c r="F935" t="s">
        <v>30</v>
      </c>
      <c r="G935">
        <v>0.22</v>
      </c>
      <c r="H935">
        <v>0.2273</v>
      </c>
      <c r="I935">
        <v>0.47</v>
      </c>
      <c r="J935">
        <v>0.1343</v>
      </c>
      <c r="K935">
        <v>7</v>
      </c>
      <c r="L935">
        <v>64</v>
      </c>
      <c r="M935">
        <v>71</v>
      </c>
      <c r="N935" t="s">
        <v>18</v>
      </c>
      <c r="O935" t="s">
        <v>85</v>
      </c>
      <c r="P935" t="s">
        <v>90</v>
      </c>
    </row>
    <row r="936" spans="1:16" x14ac:dyDescent="0.3">
      <c r="A936">
        <v>935</v>
      </c>
      <c r="B936" s="1">
        <v>40585</v>
      </c>
      <c r="C936">
        <v>13</v>
      </c>
      <c r="D936" t="b">
        <v>0</v>
      </c>
      <c r="E936" t="s">
        <v>28</v>
      </c>
      <c r="F936" t="s">
        <v>30</v>
      </c>
      <c r="G936">
        <v>0.24</v>
      </c>
      <c r="H936">
        <v>0.2273</v>
      </c>
      <c r="I936">
        <v>0.35</v>
      </c>
      <c r="J936">
        <v>0.19400000000000001</v>
      </c>
      <c r="K936">
        <v>21</v>
      </c>
      <c r="L936">
        <v>89</v>
      </c>
      <c r="M936">
        <v>110</v>
      </c>
      <c r="N936" t="s">
        <v>18</v>
      </c>
      <c r="O936" t="s">
        <v>85</v>
      </c>
      <c r="P936" t="s">
        <v>90</v>
      </c>
    </row>
    <row r="937" spans="1:16" x14ac:dyDescent="0.3">
      <c r="A937">
        <v>936</v>
      </c>
      <c r="B937" s="1">
        <v>40585</v>
      </c>
      <c r="C937">
        <v>14</v>
      </c>
      <c r="D937" t="b">
        <v>0</v>
      </c>
      <c r="E937" t="s">
        <v>28</v>
      </c>
      <c r="F937" t="s">
        <v>30</v>
      </c>
      <c r="G937">
        <v>0.3</v>
      </c>
      <c r="H937">
        <v>0.28789999999999999</v>
      </c>
      <c r="I937">
        <v>0.26</v>
      </c>
      <c r="J937">
        <v>0.25369999999999998</v>
      </c>
      <c r="K937">
        <v>17</v>
      </c>
      <c r="L937">
        <v>67</v>
      </c>
      <c r="M937">
        <v>84</v>
      </c>
      <c r="N937" t="s">
        <v>18</v>
      </c>
      <c r="O937" t="s">
        <v>85</v>
      </c>
      <c r="P937" t="s">
        <v>90</v>
      </c>
    </row>
    <row r="938" spans="1:16" x14ac:dyDescent="0.3">
      <c r="A938">
        <v>937</v>
      </c>
      <c r="B938" s="1">
        <v>40585</v>
      </c>
      <c r="C938">
        <v>15</v>
      </c>
      <c r="D938" t="b">
        <v>0</v>
      </c>
      <c r="E938" t="s">
        <v>28</v>
      </c>
      <c r="F938" t="s">
        <v>30</v>
      </c>
      <c r="G938">
        <v>0.32</v>
      </c>
      <c r="H938">
        <v>0.31819999999999998</v>
      </c>
      <c r="I938">
        <v>0.21</v>
      </c>
      <c r="J938">
        <v>0.16420000000000001</v>
      </c>
      <c r="K938">
        <v>12</v>
      </c>
      <c r="L938">
        <v>62</v>
      </c>
      <c r="M938">
        <v>74</v>
      </c>
      <c r="N938" t="s">
        <v>18</v>
      </c>
      <c r="O938" t="s">
        <v>85</v>
      </c>
      <c r="P938" t="s">
        <v>90</v>
      </c>
    </row>
    <row r="939" spans="1:16" x14ac:dyDescent="0.3">
      <c r="A939">
        <v>938</v>
      </c>
      <c r="B939" s="1">
        <v>40585</v>
      </c>
      <c r="C939">
        <v>16</v>
      </c>
      <c r="D939" t="b">
        <v>0</v>
      </c>
      <c r="E939" t="s">
        <v>28</v>
      </c>
      <c r="F939" t="s">
        <v>30</v>
      </c>
      <c r="G939">
        <v>0.3</v>
      </c>
      <c r="H939">
        <v>0.28789999999999999</v>
      </c>
      <c r="I939">
        <v>0.28000000000000003</v>
      </c>
      <c r="J939">
        <v>0.19400000000000001</v>
      </c>
      <c r="K939">
        <v>14</v>
      </c>
      <c r="L939">
        <v>111</v>
      </c>
      <c r="M939">
        <v>125</v>
      </c>
      <c r="N939" t="s">
        <v>18</v>
      </c>
      <c r="O939" t="s">
        <v>85</v>
      </c>
      <c r="P939" t="s">
        <v>90</v>
      </c>
    </row>
    <row r="940" spans="1:16" x14ac:dyDescent="0.3">
      <c r="A940">
        <v>939</v>
      </c>
      <c r="B940" s="1">
        <v>40585</v>
      </c>
      <c r="C940">
        <v>17</v>
      </c>
      <c r="D940" t="b">
        <v>0</v>
      </c>
      <c r="E940" t="s">
        <v>28</v>
      </c>
      <c r="F940" t="s">
        <v>30</v>
      </c>
      <c r="G940">
        <v>0.3</v>
      </c>
      <c r="H940">
        <v>0.33329999999999999</v>
      </c>
      <c r="I940">
        <v>0.24</v>
      </c>
      <c r="J940">
        <v>0</v>
      </c>
      <c r="K940">
        <v>18</v>
      </c>
      <c r="L940">
        <v>193</v>
      </c>
      <c r="M940">
        <v>211</v>
      </c>
      <c r="N940" t="s">
        <v>18</v>
      </c>
      <c r="O940" t="s">
        <v>87</v>
      </c>
      <c r="P940" t="s">
        <v>90</v>
      </c>
    </row>
    <row r="941" spans="1:16" x14ac:dyDescent="0.3">
      <c r="A941">
        <v>940</v>
      </c>
      <c r="B941" s="1">
        <v>40585</v>
      </c>
      <c r="C941">
        <v>18</v>
      </c>
      <c r="D941" t="b">
        <v>0</v>
      </c>
      <c r="E941" t="s">
        <v>28</v>
      </c>
      <c r="F941" t="s">
        <v>30</v>
      </c>
      <c r="G941">
        <v>0.28000000000000003</v>
      </c>
      <c r="H941">
        <v>0.31819999999999998</v>
      </c>
      <c r="I941">
        <v>0.28000000000000003</v>
      </c>
      <c r="J941">
        <v>0</v>
      </c>
      <c r="K941">
        <v>9</v>
      </c>
      <c r="L941">
        <v>165</v>
      </c>
      <c r="M941">
        <v>174</v>
      </c>
      <c r="N941" t="s">
        <v>18</v>
      </c>
      <c r="O941" t="s">
        <v>87</v>
      </c>
      <c r="P941" t="s">
        <v>90</v>
      </c>
    </row>
    <row r="942" spans="1:16" x14ac:dyDescent="0.3">
      <c r="A942">
        <v>941</v>
      </c>
      <c r="B942" s="1">
        <v>40585</v>
      </c>
      <c r="C942">
        <v>19</v>
      </c>
      <c r="D942" t="b">
        <v>0</v>
      </c>
      <c r="E942" t="s">
        <v>28</v>
      </c>
      <c r="F942" t="s">
        <v>30</v>
      </c>
      <c r="G942">
        <v>0.26</v>
      </c>
      <c r="H942">
        <v>0.30299999999999999</v>
      </c>
      <c r="I942">
        <v>0.33</v>
      </c>
      <c r="J942">
        <v>0</v>
      </c>
      <c r="K942">
        <v>7</v>
      </c>
      <c r="L942">
        <v>94</v>
      </c>
      <c r="M942">
        <v>101</v>
      </c>
      <c r="N942" t="s">
        <v>18</v>
      </c>
      <c r="O942" t="s">
        <v>87</v>
      </c>
      <c r="P942" t="s">
        <v>90</v>
      </c>
    </row>
    <row r="943" spans="1:16" x14ac:dyDescent="0.3">
      <c r="A943">
        <v>942</v>
      </c>
      <c r="B943" s="1">
        <v>40585</v>
      </c>
      <c r="C943">
        <v>20</v>
      </c>
      <c r="D943" t="b">
        <v>0</v>
      </c>
      <c r="E943" t="s">
        <v>28</v>
      </c>
      <c r="F943" t="s">
        <v>30</v>
      </c>
      <c r="G943">
        <v>0.22</v>
      </c>
      <c r="H943">
        <v>0.2273</v>
      </c>
      <c r="I943">
        <v>0.55000000000000004</v>
      </c>
      <c r="J943">
        <v>0.1343</v>
      </c>
      <c r="K943">
        <v>2</v>
      </c>
      <c r="L943">
        <v>61</v>
      </c>
      <c r="M943">
        <v>63</v>
      </c>
      <c r="N943" t="s">
        <v>18</v>
      </c>
      <c r="O943" t="s">
        <v>85</v>
      </c>
      <c r="P943" t="s">
        <v>90</v>
      </c>
    </row>
    <row r="944" spans="1:16" x14ac:dyDescent="0.3">
      <c r="A944">
        <v>943</v>
      </c>
      <c r="B944" s="1">
        <v>40585</v>
      </c>
      <c r="C944">
        <v>21</v>
      </c>
      <c r="D944" t="b">
        <v>0</v>
      </c>
      <c r="E944" t="s">
        <v>28</v>
      </c>
      <c r="F944" t="s">
        <v>30</v>
      </c>
      <c r="G944">
        <v>0.2</v>
      </c>
      <c r="H944">
        <v>0.21210000000000001</v>
      </c>
      <c r="I944">
        <v>0.59</v>
      </c>
      <c r="J944">
        <v>0.1343</v>
      </c>
      <c r="K944">
        <v>1</v>
      </c>
      <c r="L944">
        <v>46</v>
      </c>
      <c r="M944">
        <v>47</v>
      </c>
      <c r="N944" t="s">
        <v>18</v>
      </c>
      <c r="O944" t="s">
        <v>85</v>
      </c>
      <c r="P944" t="s">
        <v>90</v>
      </c>
    </row>
    <row r="945" spans="1:16" x14ac:dyDescent="0.3">
      <c r="A945">
        <v>944</v>
      </c>
      <c r="B945" s="1">
        <v>40585</v>
      </c>
      <c r="C945">
        <v>22</v>
      </c>
      <c r="D945" t="b">
        <v>0</v>
      </c>
      <c r="E945" t="s">
        <v>28</v>
      </c>
      <c r="F945" t="s">
        <v>30</v>
      </c>
      <c r="G945">
        <v>0.2</v>
      </c>
      <c r="H945">
        <v>0.2273</v>
      </c>
      <c r="I945">
        <v>0.64</v>
      </c>
      <c r="J945">
        <v>8.9599999999999999E-2</v>
      </c>
      <c r="K945">
        <v>2</v>
      </c>
      <c r="L945">
        <v>41</v>
      </c>
      <c r="M945">
        <v>43</v>
      </c>
      <c r="N945" t="s">
        <v>18</v>
      </c>
      <c r="O945" t="s">
        <v>85</v>
      </c>
      <c r="P945" t="s">
        <v>90</v>
      </c>
    </row>
    <row r="946" spans="1:16" x14ac:dyDescent="0.3">
      <c r="A946">
        <v>945</v>
      </c>
      <c r="B946" s="1">
        <v>40585</v>
      </c>
      <c r="C946">
        <v>23</v>
      </c>
      <c r="D946" t="b">
        <v>0</v>
      </c>
      <c r="E946" t="s">
        <v>28</v>
      </c>
      <c r="F946" t="s">
        <v>30</v>
      </c>
      <c r="G946">
        <v>0.18</v>
      </c>
      <c r="H946">
        <v>0.2424</v>
      </c>
      <c r="I946">
        <v>0.69</v>
      </c>
      <c r="J946">
        <v>0</v>
      </c>
      <c r="K946">
        <v>5</v>
      </c>
      <c r="L946">
        <v>48</v>
      </c>
      <c r="M946">
        <v>53</v>
      </c>
      <c r="N946" t="s">
        <v>18</v>
      </c>
      <c r="O946" t="s">
        <v>85</v>
      </c>
      <c r="P946" t="s">
        <v>90</v>
      </c>
    </row>
    <row r="947" spans="1:16" x14ac:dyDescent="0.3">
      <c r="A947">
        <v>946</v>
      </c>
      <c r="B947" s="1">
        <v>40586</v>
      </c>
      <c r="C947">
        <v>0</v>
      </c>
      <c r="D947" t="b">
        <v>0</v>
      </c>
      <c r="E947" t="s">
        <v>29</v>
      </c>
      <c r="F947" t="s">
        <v>30</v>
      </c>
      <c r="G947">
        <v>0.16</v>
      </c>
      <c r="H947">
        <v>0.19700000000000001</v>
      </c>
      <c r="I947">
        <v>0.69</v>
      </c>
      <c r="J947">
        <v>8.9599999999999999E-2</v>
      </c>
      <c r="K947">
        <v>3</v>
      </c>
      <c r="L947">
        <v>27</v>
      </c>
      <c r="M947">
        <v>30</v>
      </c>
      <c r="N947" t="s">
        <v>84</v>
      </c>
      <c r="O947" t="s">
        <v>85</v>
      </c>
      <c r="P947" t="s">
        <v>90</v>
      </c>
    </row>
    <row r="948" spans="1:16" x14ac:dyDescent="0.3">
      <c r="A948">
        <v>947</v>
      </c>
      <c r="B948" s="1">
        <v>40586</v>
      </c>
      <c r="C948">
        <v>1</v>
      </c>
      <c r="D948" t="b">
        <v>0</v>
      </c>
      <c r="E948" t="s">
        <v>29</v>
      </c>
      <c r="F948" t="s">
        <v>30</v>
      </c>
      <c r="G948">
        <v>0.14000000000000001</v>
      </c>
      <c r="H948">
        <v>0.21210000000000001</v>
      </c>
      <c r="I948">
        <v>0.86</v>
      </c>
      <c r="J948">
        <v>0</v>
      </c>
      <c r="K948">
        <v>2</v>
      </c>
      <c r="L948">
        <v>22</v>
      </c>
      <c r="M948">
        <v>24</v>
      </c>
      <c r="N948" t="s">
        <v>84</v>
      </c>
      <c r="O948" t="s">
        <v>85</v>
      </c>
      <c r="P948" t="s">
        <v>90</v>
      </c>
    </row>
    <row r="949" spans="1:16" x14ac:dyDescent="0.3">
      <c r="A949">
        <v>948</v>
      </c>
      <c r="B949" s="1">
        <v>40586</v>
      </c>
      <c r="C949">
        <v>2</v>
      </c>
      <c r="D949" t="b">
        <v>0</v>
      </c>
      <c r="E949" t="s">
        <v>29</v>
      </c>
      <c r="F949" t="s">
        <v>30</v>
      </c>
      <c r="G949">
        <v>0.14000000000000001</v>
      </c>
      <c r="H949">
        <v>0.21210000000000001</v>
      </c>
      <c r="I949">
        <v>0.8</v>
      </c>
      <c r="J949">
        <v>0</v>
      </c>
      <c r="K949">
        <v>2</v>
      </c>
      <c r="L949">
        <v>13</v>
      </c>
      <c r="M949">
        <v>15</v>
      </c>
      <c r="N949" t="s">
        <v>84</v>
      </c>
      <c r="O949" t="s">
        <v>85</v>
      </c>
      <c r="P949" t="s">
        <v>90</v>
      </c>
    </row>
    <row r="950" spans="1:16" x14ac:dyDescent="0.3">
      <c r="A950">
        <v>949</v>
      </c>
      <c r="B950" s="1">
        <v>40586</v>
      </c>
      <c r="C950">
        <v>3</v>
      </c>
      <c r="D950" t="b">
        <v>0</v>
      </c>
      <c r="E950" t="s">
        <v>29</v>
      </c>
      <c r="F950" t="s">
        <v>30</v>
      </c>
      <c r="G950">
        <v>0.12</v>
      </c>
      <c r="H950">
        <v>0.19700000000000001</v>
      </c>
      <c r="I950">
        <v>0.8</v>
      </c>
      <c r="J950">
        <v>0</v>
      </c>
      <c r="K950">
        <v>3</v>
      </c>
      <c r="L950">
        <v>7</v>
      </c>
      <c r="M950">
        <v>10</v>
      </c>
      <c r="N950" t="s">
        <v>84</v>
      </c>
      <c r="O950" t="s">
        <v>85</v>
      </c>
      <c r="P950" t="s">
        <v>90</v>
      </c>
    </row>
    <row r="951" spans="1:16" x14ac:dyDescent="0.3">
      <c r="A951">
        <v>950</v>
      </c>
      <c r="B951" s="1">
        <v>40586</v>
      </c>
      <c r="C951">
        <v>4</v>
      </c>
      <c r="D951" t="b">
        <v>0</v>
      </c>
      <c r="E951" t="s">
        <v>29</v>
      </c>
      <c r="F951" t="s">
        <v>30</v>
      </c>
      <c r="G951">
        <v>0.12</v>
      </c>
      <c r="H951">
        <v>0.16669999999999999</v>
      </c>
      <c r="I951">
        <v>0.74</v>
      </c>
      <c r="J951">
        <v>8.9599999999999999E-2</v>
      </c>
      <c r="K951">
        <v>0</v>
      </c>
      <c r="L951">
        <v>4</v>
      </c>
      <c r="M951">
        <v>4</v>
      </c>
      <c r="N951" t="s">
        <v>84</v>
      </c>
      <c r="O951" t="s">
        <v>85</v>
      </c>
      <c r="P951" t="s">
        <v>90</v>
      </c>
    </row>
    <row r="952" spans="1:16" x14ac:dyDescent="0.3">
      <c r="A952">
        <v>951</v>
      </c>
      <c r="B952" s="1">
        <v>40586</v>
      </c>
      <c r="C952">
        <v>5</v>
      </c>
      <c r="D952" t="b">
        <v>0</v>
      </c>
      <c r="E952" t="s">
        <v>29</v>
      </c>
      <c r="F952" t="s">
        <v>30</v>
      </c>
      <c r="G952">
        <v>0.12</v>
      </c>
      <c r="H952">
        <v>0.16669999999999999</v>
      </c>
      <c r="I952">
        <v>0.74</v>
      </c>
      <c r="J952">
        <v>8.9599999999999999E-2</v>
      </c>
      <c r="K952">
        <v>0</v>
      </c>
      <c r="L952">
        <v>1</v>
      </c>
      <c r="M952">
        <v>1</v>
      </c>
      <c r="N952" t="s">
        <v>84</v>
      </c>
      <c r="O952" t="s">
        <v>85</v>
      </c>
      <c r="P952" t="s">
        <v>90</v>
      </c>
    </row>
    <row r="953" spans="1:16" x14ac:dyDescent="0.3">
      <c r="A953">
        <v>952</v>
      </c>
      <c r="B953" s="1">
        <v>40586</v>
      </c>
      <c r="C953">
        <v>6</v>
      </c>
      <c r="D953" t="b">
        <v>0</v>
      </c>
      <c r="E953" t="s">
        <v>29</v>
      </c>
      <c r="F953" t="s">
        <v>30</v>
      </c>
      <c r="G953">
        <v>0.12</v>
      </c>
      <c r="H953">
        <v>0.13639999999999999</v>
      </c>
      <c r="I953">
        <v>0.93</v>
      </c>
      <c r="J953">
        <v>0.19400000000000001</v>
      </c>
      <c r="K953">
        <v>1</v>
      </c>
      <c r="L953">
        <v>1</v>
      </c>
      <c r="M953">
        <v>2</v>
      </c>
      <c r="N953" t="s">
        <v>84</v>
      </c>
      <c r="O953" t="s">
        <v>85</v>
      </c>
      <c r="P953" t="s">
        <v>90</v>
      </c>
    </row>
    <row r="954" spans="1:16" x14ac:dyDescent="0.3">
      <c r="A954">
        <v>953</v>
      </c>
      <c r="B954" s="1">
        <v>40586</v>
      </c>
      <c r="C954">
        <v>7</v>
      </c>
      <c r="D954" t="b">
        <v>0</v>
      </c>
      <c r="E954" t="s">
        <v>29</v>
      </c>
      <c r="F954" t="s">
        <v>30</v>
      </c>
      <c r="G954">
        <v>0.12</v>
      </c>
      <c r="H954">
        <v>0.1515</v>
      </c>
      <c r="I954">
        <v>0.8</v>
      </c>
      <c r="J954">
        <v>0.1045</v>
      </c>
      <c r="K954">
        <v>2</v>
      </c>
      <c r="L954">
        <v>9</v>
      </c>
      <c r="M954">
        <v>11</v>
      </c>
      <c r="N954" t="s">
        <v>84</v>
      </c>
      <c r="O954" t="s">
        <v>86</v>
      </c>
      <c r="P954" t="s">
        <v>90</v>
      </c>
    </row>
    <row r="955" spans="1:16" x14ac:dyDescent="0.3">
      <c r="A955">
        <v>954</v>
      </c>
      <c r="B955" s="1">
        <v>40586</v>
      </c>
      <c r="C955">
        <v>8</v>
      </c>
      <c r="D955" t="b">
        <v>0</v>
      </c>
      <c r="E955" t="s">
        <v>29</v>
      </c>
      <c r="F955" t="s">
        <v>30</v>
      </c>
      <c r="G955">
        <v>0.14000000000000001</v>
      </c>
      <c r="H955">
        <v>0.1515</v>
      </c>
      <c r="I955">
        <v>0.86</v>
      </c>
      <c r="J955">
        <v>0.1343</v>
      </c>
      <c r="K955">
        <v>2</v>
      </c>
      <c r="L955">
        <v>28</v>
      </c>
      <c r="M955">
        <v>30</v>
      </c>
      <c r="N955" t="s">
        <v>84</v>
      </c>
      <c r="O955" t="s">
        <v>86</v>
      </c>
      <c r="P955" t="s">
        <v>90</v>
      </c>
    </row>
    <row r="956" spans="1:16" x14ac:dyDescent="0.3">
      <c r="A956">
        <v>955</v>
      </c>
      <c r="B956" s="1">
        <v>40586</v>
      </c>
      <c r="C956">
        <v>9</v>
      </c>
      <c r="D956" t="b">
        <v>0</v>
      </c>
      <c r="E956" t="s">
        <v>29</v>
      </c>
      <c r="F956" t="s">
        <v>30</v>
      </c>
      <c r="G956">
        <v>0.16</v>
      </c>
      <c r="H956">
        <v>0.18179999999999999</v>
      </c>
      <c r="I956">
        <v>0.64</v>
      </c>
      <c r="J956">
        <v>0.1343</v>
      </c>
      <c r="K956">
        <v>5</v>
      </c>
      <c r="L956">
        <v>38</v>
      </c>
      <c r="M956">
        <v>43</v>
      </c>
      <c r="N956" t="s">
        <v>84</v>
      </c>
      <c r="O956" t="s">
        <v>86</v>
      </c>
      <c r="P956" t="s">
        <v>90</v>
      </c>
    </row>
    <row r="957" spans="1:16" x14ac:dyDescent="0.3">
      <c r="A957">
        <v>956</v>
      </c>
      <c r="B957" s="1">
        <v>40586</v>
      </c>
      <c r="C957">
        <v>10</v>
      </c>
      <c r="D957" t="b">
        <v>0</v>
      </c>
      <c r="E957" t="s">
        <v>29</v>
      </c>
      <c r="F957" t="s">
        <v>30</v>
      </c>
      <c r="G957">
        <v>0.22</v>
      </c>
      <c r="H957">
        <v>0.21210000000000001</v>
      </c>
      <c r="I957">
        <v>0.41</v>
      </c>
      <c r="J957">
        <v>0.25369999999999998</v>
      </c>
      <c r="K957">
        <v>13</v>
      </c>
      <c r="L957">
        <v>71</v>
      </c>
      <c r="M957">
        <v>84</v>
      </c>
      <c r="N957" t="s">
        <v>84</v>
      </c>
      <c r="O957" t="s">
        <v>85</v>
      </c>
      <c r="P957" t="s">
        <v>90</v>
      </c>
    </row>
    <row r="958" spans="1:16" x14ac:dyDescent="0.3">
      <c r="A958">
        <v>957</v>
      </c>
      <c r="B958" s="1">
        <v>40586</v>
      </c>
      <c r="C958">
        <v>11</v>
      </c>
      <c r="D958" t="b">
        <v>0</v>
      </c>
      <c r="E958" t="s">
        <v>29</v>
      </c>
      <c r="F958" t="s">
        <v>30</v>
      </c>
      <c r="G958">
        <v>0.3</v>
      </c>
      <c r="H958">
        <v>0.2727</v>
      </c>
      <c r="I958">
        <v>0.28000000000000003</v>
      </c>
      <c r="J958">
        <v>0.32840000000000003</v>
      </c>
      <c r="K958">
        <v>30</v>
      </c>
      <c r="L958">
        <v>84</v>
      </c>
      <c r="M958">
        <v>114</v>
      </c>
      <c r="N958" t="s">
        <v>84</v>
      </c>
      <c r="O958" t="s">
        <v>85</v>
      </c>
      <c r="P958" t="s">
        <v>90</v>
      </c>
    </row>
    <row r="959" spans="1:16" x14ac:dyDescent="0.3">
      <c r="A959">
        <v>958</v>
      </c>
      <c r="B959" s="1">
        <v>40586</v>
      </c>
      <c r="C959">
        <v>12</v>
      </c>
      <c r="D959" t="b">
        <v>0</v>
      </c>
      <c r="E959" t="s">
        <v>29</v>
      </c>
      <c r="F959" t="s">
        <v>30</v>
      </c>
      <c r="G959">
        <v>0.3</v>
      </c>
      <c r="H959">
        <v>0.2727</v>
      </c>
      <c r="I959">
        <v>0.39</v>
      </c>
      <c r="J959">
        <v>0.4627</v>
      </c>
      <c r="K959">
        <v>27</v>
      </c>
      <c r="L959">
        <v>93</v>
      </c>
      <c r="M959">
        <v>120</v>
      </c>
      <c r="N959" t="s">
        <v>84</v>
      </c>
      <c r="O959" t="s">
        <v>85</v>
      </c>
      <c r="P959" t="s">
        <v>90</v>
      </c>
    </row>
    <row r="960" spans="1:16" x14ac:dyDescent="0.3">
      <c r="A960">
        <v>959</v>
      </c>
      <c r="B960" s="1">
        <v>40586</v>
      </c>
      <c r="C960">
        <v>13</v>
      </c>
      <c r="D960" t="b">
        <v>0</v>
      </c>
      <c r="E960" t="s">
        <v>29</v>
      </c>
      <c r="F960" t="s">
        <v>30</v>
      </c>
      <c r="G960">
        <v>0.3</v>
      </c>
      <c r="H960">
        <v>0.2727</v>
      </c>
      <c r="I960">
        <v>0.39</v>
      </c>
      <c r="J960">
        <v>0.41789999999999999</v>
      </c>
      <c r="K960">
        <v>32</v>
      </c>
      <c r="L960">
        <v>103</v>
      </c>
      <c r="M960">
        <v>135</v>
      </c>
      <c r="N960" t="s">
        <v>84</v>
      </c>
      <c r="O960" t="s">
        <v>85</v>
      </c>
      <c r="P960" t="s">
        <v>90</v>
      </c>
    </row>
    <row r="961" spans="1:16" x14ac:dyDescent="0.3">
      <c r="A961">
        <v>960</v>
      </c>
      <c r="B961" s="1">
        <v>40586</v>
      </c>
      <c r="C961">
        <v>14</v>
      </c>
      <c r="D961" t="b">
        <v>0</v>
      </c>
      <c r="E961" t="s">
        <v>29</v>
      </c>
      <c r="F961" t="s">
        <v>30</v>
      </c>
      <c r="G961">
        <v>0.34</v>
      </c>
      <c r="H961">
        <v>0.31819999999999998</v>
      </c>
      <c r="I961">
        <v>0.31</v>
      </c>
      <c r="J961">
        <v>0.28360000000000002</v>
      </c>
      <c r="K961">
        <v>30</v>
      </c>
      <c r="L961">
        <v>90</v>
      </c>
      <c r="M961">
        <v>120</v>
      </c>
      <c r="N961" t="s">
        <v>84</v>
      </c>
      <c r="O961" t="s">
        <v>85</v>
      </c>
      <c r="P961" t="s">
        <v>90</v>
      </c>
    </row>
    <row r="962" spans="1:16" x14ac:dyDescent="0.3">
      <c r="A962">
        <v>961</v>
      </c>
      <c r="B962" s="1">
        <v>40586</v>
      </c>
      <c r="C962">
        <v>15</v>
      </c>
      <c r="D962" t="b">
        <v>0</v>
      </c>
      <c r="E962" t="s">
        <v>29</v>
      </c>
      <c r="F962" t="s">
        <v>30</v>
      </c>
      <c r="G962">
        <v>0.34</v>
      </c>
      <c r="H962">
        <v>0.30299999999999999</v>
      </c>
      <c r="I962">
        <v>0.28999999999999998</v>
      </c>
      <c r="J962">
        <v>0.41789999999999999</v>
      </c>
      <c r="K962">
        <v>47</v>
      </c>
      <c r="L962">
        <v>127</v>
      </c>
      <c r="M962">
        <v>174</v>
      </c>
      <c r="N962" t="s">
        <v>84</v>
      </c>
      <c r="O962" t="s">
        <v>85</v>
      </c>
      <c r="P962" t="s">
        <v>90</v>
      </c>
    </row>
    <row r="963" spans="1:16" x14ac:dyDescent="0.3">
      <c r="A963">
        <v>962</v>
      </c>
      <c r="B963" s="1">
        <v>40586</v>
      </c>
      <c r="C963">
        <v>16</v>
      </c>
      <c r="D963" t="b">
        <v>0</v>
      </c>
      <c r="E963" t="s">
        <v>29</v>
      </c>
      <c r="F963" t="s">
        <v>30</v>
      </c>
      <c r="G963">
        <v>0.34</v>
      </c>
      <c r="H963">
        <v>0.30299999999999999</v>
      </c>
      <c r="I963">
        <v>0.28999999999999998</v>
      </c>
      <c r="J963">
        <v>0.41789999999999999</v>
      </c>
      <c r="K963">
        <v>42</v>
      </c>
      <c r="L963">
        <v>103</v>
      </c>
      <c r="M963">
        <v>145</v>
      </c>
      <c r="N963" t="s">
        <v>84</v>
      </c>
      <c r="O963" t="s">
        <v>85</v>
      </c>
      <c r="P963" t="s">
        <v>90</v>
      </c>
    </row>
    <row r="964" spans="1:16" x14ac:dyDescent="0.3">
      <c r="A964">
        <v>963</v>
      </c>
      <c r="B964" s="1">
        <v>40586</v>
      </c>
      <c r="C964">
        <v>17</v>
      </c>
      <c r="D964" t="b">
        <v>0</v>
      </c>
      <c r="E964" t="s">
        <v>29</v>
      </c>
      <c r="F964" t="s">
        <v>30</v>
      </c>
      <c r="G964">
        <v>0.32</v>
      </c>
      <c r="H964">
        <v>0.28789999999999999</v>
      </c>
      <c r="I964">
        <v>0.31</v>
      </c>
      <c r="J964">
        <v>0.52239999999999998</v>
      </c>
      <c r="K964">
        <v>24</v>
      </c>
      <c r="L964">
        <v>113</v>
      </c>
      <c r="M964">
        <v>137</v>
      </c>
      <c r="N964" t="s">
        <v>84</v>
      </c>
      <c r="O964" t="s">
        <v>87</v>
      </c>
      <c r="P964" t="s">
        <v>90</v>
      </c>
    </row>
    <row r="965" spans="1:16" x14ac:dyDescent="0.3">
      <c r="A965">
        <v>964</v>
      </c>
      <c r="B965" s="1">
        <v>40586</v>
      </c>
      <c r="C965">
        <v>18</v>
      </c>
      <c r="D965" t="b">
        <v>0</v>
      </c>
      <c r="E965" t="s">
        <v>29</v>
      </c>
      <c r="F965" t="s">
        <v>30</v>
      </c>
      <c r="G965">
        <v>0.28000000000000003</v>
      </c>
      <c r="H965">
        <v>0.2576</v>
      </c>
      <c r="I965">
        <v>0.38</v>
      </c>
      <c r="J965">
        <v>0.32840000000000003</v>
      </c>
      <c r="K965">
        <v>4</v>
      </c>
      <c r="L965">
        <v>60</v>
      </c>
      <c r="M965">
        <v>64</v>
      </c>
      <c r="N965" t="s">
        <v>84</v>
      </c>
      <c r="O965" t="s">
        <v>87</v>
      </c>
      <c r="P965" t="s">
        <v>90</v>
      </c>
    </row>
    <row r="966" spans="1:16" x14ac:dyDescent="0.3">
      <c r="A966">
        <v>965</v>
      </c>
      <c r="B966" s="1">
        <v>40586</v>
      </c>
      <c r="C966">
        <v>19</v>
      </c>
      <c r="D966" t="b">
        <v>0</v>
      </c>
      <c r="E966" t="s">
        <v>29</v>
      </c>
      <c r="F966" t="s">
        <v>30</v>
      </c>
      <c r="G966">
        <v>0.28000000000000003</v>
      </c>
      <c r="H966">
        <v>0.2727</v>
      </c>
      <c r="I966">
        <v>0.38</v>
      </c>
      <c r="J966">
        <v>0.16420000000000001</v>
      </c>
      <c r="K966">
        <v>2</v>
      </c>
      <c r="L966">
        <v>39</v>
      </c>
      <c r="M966">
        <v>41</v>
      </c>
      <c r="N966" t="s">
        <v>84</v>
      </c>
      <c r="O966" t="s">
        <v>87</v>
      </c>
      <c r="P966" t="s">
        <v>90</v>
      </c>
    </row>
    <row r="967" spans="1:16" x14ac:dyDescent="0.3">
      <c r="A967">
        <v>966</v>
      </c>
      <c r="B967" s="1">
        <v>40586</v>
      </c>
      <c r="C967">
        <v>20</v>
      </c>
      <c r="D967" t="b">
        <v>0</v>
      </c>
      <c r="E967" t="s">
        <v>29</v>
      </c>
      <c r="F967" t="s">
        <v>30</v>
      </c>
      <c r="G967">
        <v>0.26</v>
      </c>
      <c r="H967">
        <v>0.2576</v>
      </c>
      <c r="I967">
        <v>0.41</v>
      </c>
      <c r="J967">
        <v>0.22389999999999999</v>
      </c>
      <c r="K967">
        <v>1</v>
      </c>
      <c r="L967">
        <v>39</v>
      </c>
      <c r="M967">
        <v>40</v>
      </c>
      <c r="N967" t="s">
        <v>84</v>
      </c>
      <c r="O967" t="s">
        <v>85</v>
      </c>
      <c r="P967" t="s">
        <v>90</v>
      </c>
    </row>
    <row r="968" spans="1:16" x14ac:dyDescent="0.3">
      <c r="A968">
        <v>967</v>
      </c>
      <c r="B968" s="1">
        <v>40586</v>
      </c>
      <c r="C968">
        <v>21</v>
      </c>
      <c r="D968" t="b">
        <v>0</v>
      </c>
      <c r="E968" t="s">
        <v>29</v>
      </c>
      <c r="F968" t="s">
        <v>30</v>
      </c>
      <c r="G968">
        <v>0.26</v>
      </c>
      <c r="H968">
        <v>0.30299999999999999</v>
      </c>
      <c r="I968">
        <v>0.41</v>
      </c>
      <c r="J968">
        <v>0</v>
      </c>
      <c r="K968">
        <v>9</v>
      </c>
      <c r="L968">
        <v>42</v>
      </c>
      <c r="M968">
        <v>51</v>
      </c>
      <c r="N968" t="s">
        <v>84</v>
      </c>
      <c r="O968" t="s">
        <v>85</v>
      </c>
      <c r="P968" t="s">
        <v>90</v>
      </c>
    </row>
    <row r="969" spans="1:16" x14ac:dyDescent="0.3">
      <c r="A969">
        <v>968</v>
      </c>
      <c r="B969" s="1">
        <v>40586</v>
      </c>
      <c r="C969">
        <v>22</v>
      </c>
      <c r="D969" t="b">
        <v>0</v>
      </c>
      <c r="E969" t="s">
        <v>29</v>
      </c>
      <c r="F969" t="s">
        <v>30</v>
      </c>
      <c r="G969">
        <v>0.24</v>
      </c>
      <c r="H969">
        <v>0.2576</v>
      </c>
      <c r="I969">
        <v>0.44</v>
      </c>
      <c r="J969">
        <v>8.9599999999999999E-2</v>
      </c>
      <c r="K969">
        <v>6</v>
      </c>
      <c r="L969">
        <v>39</v>
      </c>
      <c r="M969">
        <v>45</v>
      </c>
      <c r="N969" t="s">
        <v>84</v>
      </c>
      <c r="O969" t="s">
        <v>85</v>
      </c>
      <c r="P969" t="s">
        <v>90</v>
      </c>
    </row>
    <row r="970" spans="1:16" x14ac:dyDescent="0.3">
      <c r="A970">
        <v>969</v>
      </c>
      <c r="B970" s="1">
        <v>40586</v>
      </c>
      <c r="C970">
        <v>23</v>
      </c>
      <c r="D970" t="b">
        <v>0</v>
      </c>
      <c r="E970" t="s">
        <v>29</v>
      </c>
      <c r="F970" t="s">
        <v>30</v>
      </c>
      <c r="G970">
        <v>0.22</v>
      </c>
      <c r="H970">
        <v>0.2273</v>
      </c>
      <c r="I970">
        <v>0.51</v>
      </c>
      <c r="J970">
        <v>0.1343</v>
      </c>
      <c r="K970">
        <v>1</v>
      </c>
      <c r="L970">
        <v>31</v>
      </c>
      <c r="M970">
        <v>32</v>
      </c>
      <c r="N970" t="s">
        <v>84</v>
      </c>
      <c r="O970" t="s">
        <v>85</v>
      </c>
      <c r="P970" t="s">
        <v>90</v>
      </c>
    </row>
    <row r="971" spans="1:16" x14ac:dyDescent="0.3">
      <c r="A971">
        <v>970</v>
      </c>
      <c r="B971" s="1">
        <v>40587</v>
      </c>
      <c r="C971">
        <v>0</v>
      </c>
      <c r="D971" t="b">
        <v>0</v>
      </c>
      <c r="E971" t="s">
        <v>23</v>
      </c>
      <c r="F971" t="s">
        <v>30</v>
      </c>
      <c r="G971">
        <v>0.2</v>
      </c>
      <c r="H971">
        <v>0.2273</v>
      </c>
      <c r="I971">
        <v>0.64</v>
      </c>
      <c r="J971">
        <v>0.1045</v>
      </c>
      <c r="K971">
        <v>5</v>
      </c>
      <c r="L971">
        <v>34</v>
      </c>
      <c r="M971">
        <v>39</v>
      </c>
      <c r="N971" t="s">
        <v>84</v>
      </c>
      <c r="O971" t="s">
        <v>85</v>
      </c>
      <c r="P971" t="s">
        <v>90</v>
      </c>
    </row>
    <row r="972" spans="1:16" x14ac:dyDescent="0.3">
      <c r="A972">
        <v>971</v>
      </c>
      <c r="B972" s="1">
        <v>40587</v>
      </c>
      <c r="C972">
        <v>1</v>
      </c>
      <c r="D972" t="b">
        <v>0</v>
      </c>
      <c r="E972" t="s">
        <v>23</v>
      </c>
      <c r="F972" t="s">
        <v>30</v>
      </c>
      <c r="G972">
        <v>0.2</v>
      </c>
      <c r="H972">
        <v>0.2273</v>
      </c>
      <c r="I972">
        <v>0.59</v>
      </c>
      <c r="J972">
        <v>8.9599999999999999E-2</v>
      </c>
      <c r="K972">
        <v>1</v>
      </c>
      <c r="L972">
        <v>23</v>
      </c>
      <c r="M972">
        <v>24</v>
      </c>
      <c r="N972" t="s">
        <v>84</v>
      </c>
      <c r="O972" t="s">
        <v>85</v>
      </c>
      <c r="P972" t="s">
        <v>90</v>
      </c>
    </row>
    <row r="973" spans="1:16" x14ac:dyDescent="0.3">
      <c r="A973">
        <v>972</v>
      </c>
      <c r="B973" s="1">
        <v>40587</v>
      </c>
      <c r="C973">
        <v>2</v>
      </c>
      <c r="D973" t="b">
        <v>0</v>
      </c>
      <c r="E973" t="s">
        <v>23</v>
      </c>
      <c r="F973" t="s">
        <v>31</v>
      </c>
      <c r="G973">
        <v>0.2</v>
      </c>
      <c r="H973">
        <v>0.2273</v>
      </c>
      <c r="I973">
        <v>0.75</v>
      </c>
      <c r="J973">
        <v>8.9599999999999999E-2</v>
      </c>
      <c r="K973">
        <v>1</v>
      </c>
      <c r="L973">
        <v>19</v>
      </c>
      <c r="M973">
        <v>20</v>
      </c>
      <c r="N973" t="s">
        <v>84</v>
      </c>
      <c r="O973" t="s">
        <v>85</v>
      </c>
      <c r="P973" t="s">
        <v>91</v>
      </c>
    </row>
    <row r="974" spans="1:16" x14ac:dyDescent="0.3">
      <c r="A974">
        <v>973</v>
      </c>
      <c r="B974" s="1">
        <v>40587</v>
      </c>
      <c r="C974">
        <v>3</v>
      </c>
      <c r="D974" t="b">
        <v>0</v>
      </c>
      <c r="E974" t="s">
        <v>23</v>
      </c>
      <c r="F974" t="s">
        <v>31</v>
      </c>
      <c r="G974">
        <v>0.2</v>
      </c>
      <c r="H974">
        <v>0.2273</v>
      </c>
      <c r="I974">
        <v>0.69</v>
      </c>
      <c r="J974">
        <v>0.1045</v>
      </c>
      <c r="K974">
        <v>4</v>
      </c>
      <c r="L974">
        <v>8</v>
      </c>
      <c r="M974">
        <v>12</v>
      </c>
      <c r="N974" t="s">
        <v>84</v>
      </c>
      <c r="O974" t="s">
        <v>85</v>
      </c>
      <c r="P974" t="s">
        <v>91</v>
      </c>
    </row>
    <row r="975" spans="1:16" x14ac:dyDescent="0.3">
      <c r="A975">
        <v>974</v>
      </c>
      <c r="B975" s="1">
        <v>40587</v>
      </c>
      <c r="C975">
        <v>4</v>
      </c>
      <c r="D975" t="b">
        <v>0</v>
      </c>
      <c r="E975" t="s">
        <v>23</v>
      </c>
      <c r="F975" t="s">
        <v>31</v>
      </c>
      <c r="G975">
        <v>0.2</v>
      </c>
      <c r="H975">
        <v>0.21210000000000001</v>
      </c>
      <c r="I975">
        <v>0.69</v>
      </c>
      <c r="J975">
        <v>0.16420000000000001</v>
      </c>
      <c r="K975">
        <v>0</v>
      </c>
      <c r="L975">
        <v>2</v>
      </c>
      <c r="M975">
        <v>2</v>
      </c>
      <c r="N975" t="s">
        <v>84</v>
      </c>
      <c r="O975" t="s">
        <v>85</v>
      </c>
      <c r="P975" t="s">
        <v>91</v>
      </c>
    </row>
    <row r="976" spans="1:16" x14ac:dyDescent="0.3">
      <c r="A976">
        <v>975</v>
      </c>
      <c r="B976" s="1">
        <v>40587</v>
      </c>
      <c r="C976">
        <v>6</v>
      </c>
      <c r="D976" t="b">
        <v>0</v>
      </c>
      <c r="E976" t="s">
        <v>23</v>
      </c>
      <c r="F976" t="s">
        <v>31</v>
      </c>
      <c r="G976">
        <v>0.2</v>
      </c>
      <c r="H976">
        <v>0.21210000000000001</v>
      </c>
      <c r="I976">
        <v>0.69</v>
      </c>
      <c r="J976">
        <v>0.1343</v>
      </c>
      <c r="K976">
        <v>2</v>
      </c>
      <c r="L976">
        <v>3</v>
      </c>
      <c r="M976">
        <v>5</v>
      </c>
      <c r="N976" t="s">
        <v>84</v>
      </c>
      <c r="O976" t="s">
        <v>85</v>
      </c>
      <c r="P976" t="s">
        <v>91</v>
      </c>
    </row>
    <row r="977" spans="1:16" x14ac:dyDescent="0.3">
      <c r="A977">
        <v>976</v>
      </c>
      <c r="B977" s="1">
        <v>40587</v>
      </c>
      <c r="C977">
        <v>7</v>
      </c>
      <c r="D977" t="b">
        <v>0</v>
      </c>
      <c r="E977" t="s">
        <v>23</v>
      </c>
      <c r="F977" t="s">
        <v>31</v>
      </c>
      <c r="G977">
        <v>0.22</v>
      </c>
      <c r="H977">
        <v>0.2727</v>
      </c>
      <c r="I977">
        <v>0.55000000000000004</v>
      </c>
      <c r="J977">
        <v>0</v>
      </c>
      <c r="K977">
        <v>0</v>
      </c>
      <c r="L977">
        <v>3</v>
      </c>
      <c r="M977">
        <v>3</v>
      </c>
      <c r="N977" t="s">
        <v>84</v>
      </c>
      <c r="O977" t="s">
        <v>86</v>
      </c>
      <c r="P977" t="s">
        <v>91</v>
      </c>
    </row>
    <row r="978" spans="1:16" x14ac:dyDescent="0.3">
      <c r="A978">
        <v>977</v>
      </c>
      <c r="B978" s="1">
        <v>40587</v>
      </c>
      <c r="C978">
        <v>8</v>
      </c>
      <c r="D978" t="b">
        <v>0</v>
      </c>
      <c r="E978" t="s">
        <v>23</v>
      </c>
      <c r="F978" t="s">
        <v>31</v>
      </c>
      <c r="G978">
        <v>0.22</v>
      </c>
      <c r="H978">
        <v>0.2273</v>
      </c>
      <c r="I978">
        <v>0.64</v>
      </c>
      <c r="J978">
        <v>0.19400000000000001</v>
      </c>
      <c r="K978">
        <v>1</v>
      </c>
      <c r="L978">
        <v>11</v>
      </c>
      <c r="M978">
        <v>12</v>
      </c>
      <c r="N978" t="s">
        <v>84</v>
      </c>
      <c r="O978" t="s">
        <v>86</v>
      </c>
      <c r="P978" t="s">
        <v>91</v>
      </c>
    </row>
    <row r="979" spans="1:16" x14ac:dyDescent="0.3">
      <c r="A979">
        <v>978</v>
      </c>
      <c r="B979" s="1">
        <v>40587</v>
      </c>
      <c r="C979">
        <v>9</v>
      </c>
      <c r="D979" t="b">
        <v>0</v>
      </c>
      <c r="E979" t="s">
        <v>23</v>
      </c>
      <c r="F979" t="s">
        <v>31</v>
      </c>
      <c r="G979">
        <v>0.24</v>
      </c>
      <c r="H979">
        <v>0.2273</v>
      </c>
      <c r="I979">
        <v>0.6</v>
      </c>
      <c r="J979">
        <v>0.22389999999999999</v>
      </c>
      <c r="K979">
        <v>12</v>
      </c>
      <c r="L979">
        <v>35</v>
      </c>
      <c r="M979">
        <v>47</v>
      </c>
      <c r="N979" t="s">
        <v>84</v>
      </c>
      <c r="O979" t="s">
        <v>86</v>
      </c>
      <c r="P979" t="s">
        <v>91</v>
      </c>
    </row>
    <row r="980" spans="1:16" x14ac:dyDescent="0.3">
      <c r="A980">
        <v>979</v>
      </c>
      <c r="B980" s="1">
        <v>40587</v>
      </c>
      <c r="C980">
        <v>10</v>
      </c>
      <c r="D980" t="b">
        <v>0</v>
      </c>
      <c r="E980" t="s">
        <v>23</v>
      </c>
      <c r="F980" t="s">
        <v>30</v>
      </c>
      <c r="G980">
        <v>0.3</v>
      </c>
      <c r="H980">
        <v>0.2727</v>
      </c>
      <c r="I980">
        <v>0.45</v>
      </c>
      <c r="J980">
        <v>0.32840000000000003</v>
      </c>
      <c r="K980">
        <v>19</v>
      </c>
      <c r="L980">
        <v>86</v>
      </c>
      <c r="M980">
        <v>105</v>
      </c>
      <c r="N980" t="s">
        <v>84</v>
      </c>
      <c r="O980" t="s">
        <v>85</v>
      </c>
      <c r="P980" t="s">
        <v>90</v>
      </c>
    </row>
    <row r="981" spans="1:16" x14ac:dyDescent="0.3">
      <c r="A981">
        <v>980</v>
      </c>
      <c r="B981" s="1">
        <v>40587</v>
      </c>
      <c r="C981">
        <v>11</v>
      </c>
      <c r="D981" t="b">
        <v>0</v>
      </c>
      <c r="E981" t="s">
        <v>23</v>
      </c>
      <c r="F981" t="s">
        <v>30</v>
      </c>
      <c r="G981">
        <v>0.32</v>
      </c>
      <c r="H981">
        <v>0.28789999999999999</v>
      </c>
      <c r="I981">
        <v>0.39</v>
      </c>
      <c r="J981">
        <v>0.44779999999999998</v>
      </c>
      <c r="K981">
        <v>26</v>
      </c>
      <c r="L981">
        <v>86</v>
      </c>
      <c r="M981">
        <v>112</v>
      </c>
      <c r="N981" t="s">
        <v>84</v>
      </c>
      <c r="O981" t="s">
        <v>85</v>
      </c>
      <c r="P981" t="s">
        <v>90</v>
      </c>
    </row>
    <row r="982" spans="1:16" x14ac:dyDescent="0.3">
      <c r="A982">
        <v>981</v>
      </c>
      <c r="B982" s="1">
        <v>40587</v>
      </c>
      <c r="C982">
        <v>12</v>
      </c>
      <c r="D982" t="b">
        <v>0</v>
      </c>
      <c r="E982" t="s">
        <v>23</v>
      </c>
      <c r="F982" t="s">
        <v>30</v>
      </c>
      <c r="G982">
        <v>0.36</v>
      </c>
      <c r="H982">
        <v>0.31819999999999998</v>
      </c>
      <c r="I982">
        <v>0.32</v>
      </c>
      <c r="J982">
        <v>0.4627</v>
      </c>
      <c r="K982">
        <v>58</v>
      </c>
      <c r="L982">
        <v>94</v>
      </c>
      <c r="M982">
        <v>152</v>
      </c>
      <c r="N982" t="s">
        <v>84</v>
      </c>
      <c r="O982" t="s">
        <v>85</v>
      </c>
      <c r="P982" t="s">
        <v>90</v>
      </c>
    </row>
    <row r="983" spans="1:16" x14ac:dyDescent="0.3">
      <c r="A983">
        <v>982</v>
      </c>
      <c r="B983" s="1">
        <v>40587</v>
      </c>
      <c r="C983">
        <v>13</v>
      </c>
      <c r="D983" t="b">
        <v>0</v>
      </c>
      <c r="E983" t="s">
        <v>23</v>
      </c>
      <c r="F983" t="s">
        <v>30</v>
      </c>
      <c r="G983">
        <v>0.38</v>
      </c>
      <c r="H983">
        <v>0.39389999999999997</v>
      </c>
      <c r="I983">
        <v>0.28999999999999998</v>
      </c>
      <c r="J983">
        <v>0.35820000000000002</v>
      </c>
      <c r="K983">
        <v>62</v>
      </c>
      <c r="L983">
        <v>92</v>
      </c>
      <c r="M983">
        <v>154</v>
      </c>
      <c r="N983" t="s">
        <v>84</v>
      </c>
      <c r="O983" t="s">
        <v>85</v>
      </c>
      <c r="P983" t="s">
        <v>90</v>
      </c>
    </row>
    <row r="984" spans="1:16" x14ac:dyDescent="0.3">
      <c r="A984">
        <v>983</v>
      </c>
      <c r="B984" s="1">
        <v>40587</v>
      </c>
      <c r="C984">
        <v>14</v>
      </c>
      <c r="D984" t="b">
        <v>0</v>
      </c>
      <c r="E984" t="s">
        <v>23</v>
      </c>
      <c r="F984" t="s">
        <v>31</v>
      </c>
      <c r="G984">
        <v>0.4</v>
      </c>
      <c r="H984">
        <v>0.40910000000000002</v>
      </c>
      <c r="I984">
        <v>0.3</v>
      </c>
      <c r="J984">
        <v>0.41789999999999999</v>
      </c>
      <c r="K984">
        <v>51</v>
      </c>
      <c r="L984">
        <v>110</v>
      </c>
      <c r="M984">
        <v>161</v>
      </c>
      <c r="N984" t="s">
        <v>84</v>
      </c>
      <c r="O984" t="s">
        <v>85</v>
      </c>
      <c r="P984" t="s">
        <v>91</v>
      </c>
    </row>
    <row r="985" spans="1:16" x14ac:dyDescent="0.3">
      <c r="A985">
        <v>984</v>
      </c>
      <c r="B985" s="1">
        <v>40587</v>
      </c>
      <c r="C985">
        <v>15</v>
      </c>
      <c r="D985" t="b">
        <v>0</v>
      </c>
      <c r="E985" t="s">
        <v>23</v>
      </c>
      <c r="F985" t="s">
        <v>31</v>
      </c>
      <c r="G985">
        <v>0.4</v>
      </c>
      <c r="H985">
        <v>0.40910000000000002</v>
      </c>
      <c r="I985">
        <v>0.3</v>
      </c>
      <c r="J985">
        <v>0.29849999999999999</v>
      </c>
      <c r="K985">
        <v>40</v>
      </c>
      <c r="L985">
        <v>122</v>
      </c>
      <c r="M985">
        <v>162</v>
      </c>
      <c r="N985" t="s">
        <v>84</v>
      </c>
      <c r="O985" t="s">
        <v>85</v>
      </c>
      <c r="P985" t="s">
        <v>91</v>
      </c>
    </row>
    <row r="986" spans="1:16" x14ac:dyDescent="0.3">
      <c r="A986">
        <v>985</v>
      </c>
      <c r="B986" s="1">
        <v>40587</v>
      </c>
      <c r="C986">
        <v>16</v>
      </c>
      <c r="D986" t="b">
        <v>0</v>
      </c>
      <c r="E986" t="s">
        <v>23</v>
      </c>
      <c r="F986" t="s">
        <v>31</v>
      </c>
      <c r="G986">
        <v>0.42</v>
      </c>
      <c r="H986">
        <v>0.42420000000000002</v>
      </c>
      <c r="I986">
        <v>0.28000000000000003</v>
      </c>
      <c r="J986">
        <v>0.32840000000000003</v>
      </c>
      <c r="K986">
        <v>28</v>
      </c>
      <c r="L986">
        <v>106</v>
      </c>
      <c r="M986">
        <v>134</v>
      </c>
      <c r="N986" t="s">
        <v>84</v>
      </c>
      <c r="O986" t="s">
        <v>85</v>
      </c>
      <c r="P986" t="s">
        <v>91</v>
      </c>
    </row>
    <row r="987" spans="1:16" x14ac:dyDescent="0.3">
      <c r="A987">
        <v>986</v>
      </c>
      <c r="B987" s="1">
        <v>40587</v>
      </c>
      <c r="C987">
        <v>17</v>
      </c>
      <c r="D987" t="b">
        <v>0</v>
      </c>
      <c r="E987" t="s">
        <v>23</v>
      </c>
      <c r="F987" t="s">
        <v>30</v>
      </c>
      <c r="G987">
        <v>0.42</v>
      </c>
      <c r="H987">
        <v>0.42420000000000002</v>
      </c>
      <c r="I987">
        <v>0.28000000000000003</v>
      </c>
      <c r="J987">
        <v>0.32840000000000003</v>
      </c>
      <c r="K987">
        <v>30</v>
      </c>
      <c r="L987">
        <v>95</v>
      </c>
      <c r="M987">
        <v>125</v>
      </c>
      <c r="N987" t="s">
        <v>84</v>
      </c>
      <c r="O987" t="s">
        <v>87</v>
      </c>
      <c r="P987" t="s">
        <v>90</v>
      </c>
    </row>
    <row r="988" spans="1:16" x14ac:dyDescent="0.3">
      <c r="A988">
        <v>987</v>
      </c>
      <c r="B988" s="1">
        <v>40587</v>
      </c>
      <c r="C988">
        <v>18</v>
      </c>
      <c r="D988" t="b">
        <v>0</v>
      </c>
      <c r="E988" t="s">
        <v>23</v>
      </c>
      <c r="F988" t="s">
        <v>30</v>
      </c>
      <c r="G988">
        <v>0.4</v>
      </c>
      <c r="H988">
        <v>0.40910000000000002</v>
      </c>
      <c r="I988">
        <v>0.32</v>
      </c>
      <c r="J988">
        <v>0.29849999999999999</v>
      </c>
      <c r="K988">
        <v>17</v>
      </c>
      <c r="L988">
        <v>78</v>
      </c>
      <c r="M988">
        <v>95</v>
      </c>
      <c r="N988" t="s">
        <v>84</v>
      </c>
      <c r="O988" t="s">
        <v>87</v>
      </c>
      <c r="P988" t="s">
        <v>90</v>
      </c>
    </row>
    <row r="989" spans="1:16" x14ac:dyDescent="0.3">
      <c r="A989">
        <v>988</v>
      </c>
      <c r="B989" s="1">
        <v>40587</v>
      </c>
      <c r="C989">
        <v>19</v>
      </c>
      <c r="D989" t="b">
        <v>0</v>
      </c>
      <c r="E989" t="s">
        <v>23</v>
      </c>
      <c r="F989" t="s">
        <v>30</v>
      </c>
      <c r="G989">
        <v>0.4</v>
      </c>
      <c r="H989">
        <v>0.40910000000000002</v>
      </c>
      <c r="I989">
        <v>0.35</v>
      </c>
      <c r="J989">
        <v>0.28360000000000002</v>
      </c>
      <c r="K989">
        <v>11</v>
      </c>
      <c r="L989">
        <v>50</v>
      </c>
      <c r="M989">
        <v>61</v>
      </c>
      <c r="N989" t="s">
        <v>84</v>
      </c>
      <c r="O989" t="s">
        <v>87</v>
      </c>
      <c r="P989" t="s">
        <v>90</v>
      </c>
    </row>
    <row r="990" spans="1:16" x14ac:dyDescent="0.3">
      <c r="A990">
        <v>989</v>
      </c>
      <c r="B990" s="1">
        <v>40587</v>
      </c>
      <c r="C990">
        <v>20</v>
      </c>
      <c r="D990" t="b">
        <v>0</v>
      </c>
      <c r="E990" t="s">
        <v>23</v>
      </c>
      <c r="F990" t="s">
        <v>30</v>
      </c>
      <c r="G990">
        <v>0.4</v>
      </c>
      <c r="H990">
        <v>0.40910000000000002</v>
      </c>
      <c r="I990">
        <v>0.35</v>
      </c>
      <c r="J990">
        <v>0.32840000000000003</v>
      </c>
      <c r="K990">
        <v>15</v>
      </c>
      <c r="L990">
        <v>32</v>
      </c>
      <c r="M990">
        <v>47</v>
      </c>
      <c r="N990" t="s">
        <v>84</v>
      </c>
      <c r="O990" t="s">
        <v>85</v>
      </c>
      <c r="P990" t="s">
        <v>90</v>
      </c>
    </row>
    <row r="991" spans="1:16" x14ac:dyDescent="0.3">
      <c r="A991">
        <v>990</v>
      </c>
      <c r="B991" s="1">
        <v>40587</v>
      </c>
      <c r="C991">
        <v>21</v>
      </c>
      <c r="D991" t="b">
        <v>0</v>
      </c>
      <c r="E991" t="s">
        <v>23</v>
      </c>
      <c r="F991" t="s">
        <v>30</v>
      </c>
      <c r="G991">
        <v>0.4</v>
      </c>
      <c r="H991">
        <v>0.40910000000000002</v>
      </c>
      <c r="I991">
        <v>0.35</v>
      </c>
      <c r="J991">
        <v>0.35820000000000002</v>
      </c>
      <c r="K991">
        <v>6</v>
      </c>
      <c r="L991">
        <v>45</v>
      </c>
      <c r="M991">
        <v>51</v>
      </c>
      <c r="N991" t="s">
        <v>84</v>
      </c>
      <c r="O991" t="s">
        <v>85</v>
      </c>
      <c r="P991" t="s">
        <v>90</v>
      </c>
    </row>
    <row r="992" spans="1:16" x14ac:dyDescent="0.3">
      <c r="A992">
        <v>991</v>
      </c>
      <c r="B992" s="1">
        <v>40587</v>
      </c>
      <c r="C992">
        <v>22</v>
      </c>
      <c r="D992" t="b">
        <v>0</v>
      </c>
      <c r="E992" t="s">
        <v>23</v>
      </c>
      <c r="F992" t="s">
        <v>30</v>
      </c>
      <c r="G992">
        <v>0.4</v>
      </c>
      <c r="H992">
        <v>0.40910000000000002</v>
      </c>
      <c r="I992">
        <v>0.35</v>
      </c>
      <c r="J992">
        <v>0.29849999999999999</v>
      </c>
      <c r="K992">
        <v>5</v>
      </c>
      <c r="L992">
        <v>31</v>
      </c>
      <c r="M992">
        <v>36</v>
      </c>
      <c r="N992" t="s">
        <v>84</v>
      </c>
      <c r="O992" t="s">
        <v>85</v>
      </c>
      <c r="P992" t="s">
        <v>90</v>
      </c>
    </row>
    <row r="993" spans="1:16" x14ac:dyDescent="0.3">
      <c r="A993">
        <v>992</v>
      </c>
      <c r="B993" s="1">
        <v>40587</v>
      </c>
      <c r="C993">
        <v>23</v>
      </c>
      <c r="D993" t="b">
        <v>0</v>
      </c>
      <c r="E993" t="s">
        <v>23</v>
      </c>
      <c r="F993" t="s">
        <v>30</v>
      </c>
      <c r="G993">
        <v>0.4</v>
      </c>
      <c r="H993">
        <v>0.40910000000000002</v>
      </c>
      <c r="I993">
        <v>0.35</v>
      </c>
      <c r="J993">
        <v>0.35820000000000002</v>
      </c>
      <c r="K993">
        <v>3</v>
      </c>
      <c r="L993">
        <v>27</v>
      </c>
      <c r="M993">
        <v>30</v>
      </c>
      <c r="N993" t="s">
        <v>84</v>
      </c>
      <c r="O993" t="s">
        <v>85</v>
      </c>
      <c r="P993" t="s">
        <v>90</v>
      </c>
    </row>
    <row r="994" spans="1:16" x14ac:dyDescent="0.3">
      <c r="A994">
        <v>993</v>
      </c>
      <c r="B994" s="1">
        <v>40588</v>
      </c>
      <c r="C994">
        <v>0</v>
      </c>
      <c r="D994" t="b">
        <v>0</v>
      </c>
      <c r="E994" t="s">
        <v>24</v>
      </c>
      <c r="F994" t="s">
        <v>30</v>
      </c>
      <c r="G994">
        <v>0.38</v>
      </c>
      <c r="H994">
        <v>0.39389999999999997</v>
      </c>
      <c r="I994">
        <v>0.37</v>
      </c>
      <c r="J994">
        <v>0.35820000000000002</v>
      </c>
      <c r="K994">
        <v>3</v>
      </c>
      <c r="L994">
        <v>8</v>
      </c>
      <c r="M994">
        <v>11</v>
      </c>
      <c r="N994" t="s">
        <v>18</v>
      </c>
      <c r="O994" t="s">
        <v>85</v>
      </c>
      <c r="P994" t="s">
        <v>90</v>
      </c>
    </row>
    <row r="995" spans="1:16" x14ac:dyDescent="0.3">
      <c r="A995">
        <v>994</v>
      </c>
      <c r="B995" s="1">
        <v>40588</v>
      </c>
      <c r="C995">
        <v>1</v>
      </c>
      <c r="D995" t="b">
        <v>0</v>
      </c>
      <c r="E995" t="s">
        <v>24</v>
      </c>
      <c r="F995" t="s">
        <v>30</v>
      </c>
      <c r="G995">
        <v>0.38</v>
      </c>
      <c r="H995">
        <v>0.39389999999999997</v>
      </c>
      <c r="I995">
        <v>0.37</v>
      </c>
      <c r="J995">
        <v>0.35820000000000002</v>
      </c>
      <c r="K995">
        <v>1</v>
      </c>
      <c r="L995">
        <v>6</v>
      </c>
      <c r="M995">
        <v>7</v>
      </c>
      <c r="N995" t="s">
        <v>18</v>
      </c>
      <c r="O995" t="s">
        <v>85</v>
      </c>
      <c r="P995" t="s">
        <v>90</v>
      </c>
    </row>
    <row r="996" spans="1:16" x14ac:dyDescent="0.3">
      <c r="A996">
        <v>995</v>
      </c>
      <c r="B996" s="1">
        <v>40588</v>
      </c>
      <c r="C996">
        <v>2</v>
      </c>
      <c r="D996" t="b">
        <v>0</v>
      </c>
      <c r="E996" t="s">
        <v>24</v>
      </c>
      <c r="F996" t="s">
        <v>30</v>
      </c>
      <c r="G996">
        <v>0.36</v>
      </c>
      <c r="H996">
        <v>0.33329999999999999</v>
      </c>
      <c r="I996">
        <v>0.4</v>
      </c>
      <c r="J996">
        <v>0.29849999999999999</v>
      </c>
      <c r="K996">
        <v>0</v>
      </c>
      <c r="L996">
        <v>2</v>
      </c>
      <c r="M996">
        <v>2</v>
      </c>
      <c r="N996" t="s">
        <v>18</v>
      </c>
      <c r="O996" t="s">
        <v>85</v>
      </c>
      <c r="P996" t="s">
        <v>90</v>
      </c>
    </row>
    <row r="997" spans="1:16" x14ac:dyDescent="0.3">
      <c r="A997">
        <v>996</v>
      </c>
      <c r="B997" s="1">
        <v>40588</v>
      </c>
      <c r="C997">
        <v>3</v>
      </c>
      <c r="D997" t="b">
        <v>0</v>
      </c>
      <c r="E997" t="s">
        <v>24</v>
      </c>
      <c r="F997" t="s">
        <v>30</v>
      </c>
      <c r="G997">
        <v>0.34</v>
      </c>
      <c r="H997">
        <v>0.31819999999999998</v>
      </c>
      <c r="I997">
        <v>0.46</v>
      </c>
      <c r="J997">
        <v>0.22389999999999999</v>
      </c>
      <c r="K997">
        <v>1</v>
      </c>
      <c r="L997">
        <v>1</v>
      </c>
      <c r="M997">
        <v>2</v>
      </c>
      <c r="N997" t="s">
        <v>18</v>
      </c>
      <c r="O997" t="s">
        <v>85</v>
      </c>
      <c r="P997" t="s">
        <v>90</v>
      </c>
    </row>
    <row r="998" spans="1:16" x14ac:dyDescent="0.3">
      <c r="A998">
        <v>997</v>
      </c>
      <c r="B998" s="1">
        <v>40588</v>
      </c>
      <c r="C998">
        <v>4</v>
      </c>
      <c r="D998" t="b">
        <v>0</v>
      </c>
      <c r="E998" t="s">
        <v>24</v>
      </c>
      <c r="F998" t="s">
        <v>30</v>
      </c>
      <c r="G998">
        <v>0.32</v>
      </c>
      <c r="H998">
        <v>0.30299999999999999</v>
      </c>
      <c r="I998">
        <v>0.53</v>
      </c>
      <c r="J998">
        <v>0.28360000000000002</v>
      </c>
      <c r="K998">
        <v>0</v>
      </c>
      <c r="L998">
        <v>2</v>
      </c>
      <c r="M998">
        <v>2</v>
      </c>
      <c r="N998" t="s">
        <v>18</v>
      </c>
      <c r="O998" t="s">
        <v>85</v>
      </c>
      <c r="P998" t="s">
        <v>90</v>
      </c>
    </row>
    <row r="999" spans="1:16" x14ac:dyDescent="0.3">
      <c r="A999">
        <v>998</v>
      </c>
      <c r="B999" s="1">
        <v>40588</v>
      </c>
      <c r="C999">
        <v>5</v>
      </c>
      <c r="D999" t="b">
        <v>0</v>
      </c>
      <c r="E999" t="s">
        <v>24</v>
      </c>
      <c r="F999" t="s">
        <v>30</v>
      </c>
      <c r="G999">
        <v>0.32</v>
      </c>
      <c r="H999">
        <v>0.30299999999999999</v>
      </c>
      <c r="I999">
        <v>0.53</v>
      </c>
      <c r="J999">
        <v>0.28360000000000002</v>
      </c>
      <c r="K999">
        <v>0</v>
      </c>
      <c r="L999">
        <v>3</v>
      </c>
      <c r="M999">
        <v>3</v>
      </c>
      <c r="N999" t="s">
        <v>18</v>
      </c>
      <c r="O999" t="s">
        <v>85</v>
      </c>
      <c r="P999" t="s">
        <v>90</v>
      </c>
    </row>
    <row r="1000" spans="1:16" x14ac:dyDescent="0.3">
      <c r="A1000">
        <v>999</v>
      </c>
      <c r="B1000" s="1">
        <v>40588</v>
      </c>
      <c r="C1000">
        <v>6</v>
      </c>
      <c r="D1000" t="b">
        <v>0</v>
      </c>
      <c r="E1000" t="s">
        <v>24</v>
      </c>
      <c r="F1000" t="s">
        <v>30</v>
      </c>
      <c r="G1000">
        <v>0.34</v>
      </c>
      <c r="H1000">
        <v>0.30299999999999999</v>
      </c>
      <c r="I1000">
        <v>0.46</v>
      </c>
      <c r="J1000">
        <v>0.29849999999999999</v>
      </c>
      <c r="K1000">
        <v>1</v>
      </c>
      <c r="L1000">
        <v>25</v>
      </c>
      <c r="M1000">
        <v>26</v>
      </c>
      <c r="N1000" t="s">
        <v>18</v>
      </c>
      <c r="O1000" t="s">
        <v>85</v>
      </c>
      <c r="P1000" t="s">
        <v>90</v>
      </c>
    </row>
    <row r="1001" spans="1:16" x14ac:dyDescent="0.3">
      <c r="A1001">
        <v>1000</v>
      </c>
      <c r="B1001" s="1">
        <v>40588</v>
      </c>
      <c r="C1001">
        <v>7</v>
      </c>
      <c r="D1001" t="b">
        <v>0</v>
      </c>
      <c r="E1001" t="s">
        <v>24</v>
      </c>
      <c r="F1001" t="s">
        <v>30</v>
      </c>
      <c r="G1001">
        <v>0.34</v>
      </c>
      <c r="H1001">
        <v>0.30299999999999999</v>
      </c>
      <c r="I1001">
        <v>0.46</v>
      </c>
      <c r="J1001">
        <v>0.29849999999999999</v>
      </c>
      <c r="K1001">
        <v>2</v>
      </c>
      <c r="L1001">
        <v>96</v>
      </c>
      <c r="M1001">
        <v>98</v>
      </c>
      <c r="N1001" t="s">
        <v>18</v>
      </c>
      <c r="O1001" t="s">
        <v>86</v>
      </c>
      <c r="P1001" t="s">
        <v>90</v>
      </c>
    </row>
  </sheetData>
  <mergeCells count="1">
    <mergeCell ref="R2:T3"/>
  </mergeCells>
  <phoneticPr fontId="3" type="noConversion"/>
  <conditionalFormatting sqref="F2:F1001">
    <cfRule type="containsText" dxfId="13" priority="2" operator="containsText" text="Red Alert">
      <formula>NOT(ISERROR(SEARCH("Red Alert",F2)))</formula>
    </cfRule>
    <cfRule type="containsText" dxfId="12" priority="3" operator="containsText" text="Orange Alert">
      <formula>NOT(ISERROR(SEARCH("Orange Alert",F2)))</formula>
    </cfRule>
    <cfRule type="containsText" dxfId="11" priority="4" operator="containsText" text="Yellow Alert">
      <formula>NOT(ISERROR(SEARCH("Yellow Alert",F2)))</formula>
    </cfRule>
    <cfRule type="containsText" dxfId="10" priority="5" operator="containsText" text="Normal">
      <formula>NOT(ISERROR(SEARCH("Normal",F2)))</formula>
    </cfRule>
  </conditionalFormatting>
  <conditionalFormatting sqref="M2:M1001">
    <cfRule type="dataBar" priority="1">
      <dataBar>
        <cfvo type="min"/>
        <cfvo type="max"/>
        <color rgb="FFD6007B"/>
      </dataBar>
      <extLst>
        <ext xmlns:x14="http://schemas.microsoft.com/office/spreadsheetml/2009/9/main" uri="{B025F937-C7B1-47D3-B67F-A62EFF666E3E}">
          <x14:id>{1C46A14D-88FF-4F53-A345-4D869DA54EFA}</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1C46A14D-88FF-4F53-A345-4D869DA54EFA}">
            <x14:dataBar minLength="0" maxLength="100" border="1" negativeBarBorderColorSameAsPositive="0">
              <x14:cfvo type="autoMin"/>
              <x14:cfvo type="autoMax"/>
              <x14:borderColor rgb="FFD6007B"/>
              <x14:negativeFillColor rgb="FFFF0000"/>
              <x14:negativeBorderColor rgb="FFFF0000"/>
              <x14:axisColor rgb="FF000000"/>
            </x14:dataBar>
          </x14:cfRule>
          <xm:sqref>M2:M1001</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27648-2DD9-41BE-B5EC-8A3EE82AF18D}">
  <sheetPr codeName="Sheet10"/>
  <dimension ref="A1:C348"/>
  <sheetViews>
    <sheetView topLeftCell="A54" workbookViewId="0">
      <selection activeCell="A72" sqref="A72"/>
    </sheetView>
  </sheetViews>
  <sheetFormatPr defaultRowHeight="14.4" x14ac:dyDescent="0.3"/>
  <cols>
    <col min="1" max="1" width="10.88671875" bestFit="1" customWidth="1"/>
    <col min="2" max="2" width="16.6640625" bestFit="1" customWidth="1"/>
    <col min="3" max="3" width="15" bestFit="1" customWidth="1"/>
    <col min="4" max="4" width="21.109375" bestFit="1" customWidth="1"/>
    <col min="5" max="5" width="17.88671875" bestFit="1" customWidth="1"/>
  </cols>
  <sheetData>
    <row r="1" spans="1:1" x14ac:dyDescent="0.3">
      <c r="A1" t="s">
        <v>59</v>
      </c>
    </row>
    <row r="2" spans="1:1" x14ac:dyDescent="0.3">
      <c r="A2">
        <v>58304</v>
      </c>
    </row>
    <row r="5" spans="1:1" x14ac:dyDescent="0.3">
      <c r="A5" t="s">
        <v>60</v>
      </c>
    </row>
    <row r="6" spans="1:1" x14ac:dyDescent="0.3">
      <c r="A6">
        <v>53383</v>
      </c>
    </row>
    <row r="9" spans="1:1" x14ac:dyDescent="0.3">
      <c r="A9" t="s">
        <v>61</v>
      </c>
    </row>
    <row r="10" spans="1:1" x14ac:dyDescent="0.3">
      <c r="A10">
        <v>4921</v>
      </c>
    </row>
    <row r="13" spans="1:1" x14ac:dyDescent="0.3">
      <c r="A13" t="s">
        <v>62</v>
      </c>
    </row>
    <row r="14" spans="1:1" x14ac:dyDescent="0.3">
      <c r="A14">
        <v>58.304000000000002</v>
      </c>
    </row>
    <row r="17" spans="1:2" x14ac:dyDescent="0.3">
      <c r="A17" t="s">
        <v>63</v>
      </c>
    </row>
    <row r="18" spans="1:2" x14ac:dyDescent="0.3">
      <c r="A18">
        <v>249</v>
      </c>
    </row>
    <row r="21" spans="1:2" x14ac:dyDescent="0.3">
      <c r="A21" t="s">
        <v>64</v>
      </c>
    </row>
    <row r="22" spans="1:2" x14ac:dyDescent="0.3">
      <c r="A22">
        <v>0.20589999999999961</v>
      </c>
    </row>
    <row r="25" spans="1:2" x14ac:dyDescent="0.3">
      <c r="A25" s="8" t="s">
        <v>19</v>
      </c>
      <c r="B25" t="s">
        <v>66</v>
      </c>
    </row>
    <row r="26" spans="1:2" x14ac:dyDescent="0.3">
      <c r="A26" t="s">
        <v>30</v>
      </c>
      <c r="B26">
        <v>606</v>
      </c>
    </row>
    <row r="27" spans="1:2" x14ac:dyDescent="0.3">
      <c r="A27" t="s">
        <v>32</v>
      </c>
      <c r="B27">
        <v>84</v>
      </c>
    </row>
    <row r="28" spans="1:2" x14ac:dyDescent="0.3">
      <c r="A28" t="s">
        <v>33</v>
      </c>
      <c r="B28">
        <v>1</v>
      </c>
    </row>
    <row r="29" spans="1:2" x14ac:dyDescent="0.3">
      <c r="A29" t="s">
        <v>31</v>
      </c>
      <c r="B29">
        <v>309</v>
      </c>
    </row>
    <row r="30" spans="1:2" x14ac:dyDescent="0.3">
      <c r="A30" t="s">
        <v>65</v>
      </c>
      <c r="B30">
        <v>1000</v>
      </c>
    </row>
    <row r="33" spans="1:2" x14ac:dyDescent="0.3">
      <c r="A33" s="8" t="s">
        <v>41</v>
      </c>
      <c r="B33" t="s">
        <v>67</v>
      </c>
    </row>
    <row r="34" spans="1:2" x14ac:dyDescent="0.3">
      <c r="A34">
        <v>0</v>
      </c>
      <c r="B34" s="9">
        <v>16.348837209302324</v>
      </c>
    </row>
    <row r="35" spans="1:2" x14ac:dyDescent="0.3">
      <c r="A35">
        <v>1</v>
      </c>
      <c r="B35" s="9">
        <v>10.697674418604651</v>
      </c>
    </row>
    <row r="36" spans="1:2" x14ac:dyDescent="0.3">
      <c r="A36">
        <v>2</v>
      </c>
      <c r="B36" s="9">
        <v>7.1707317073170733</v>
      </c>
    </row>
    <row r="37" spans="1:2" x14ac:dyDescent="0.3">
      <c r="A37">
        <v>3</v>
      </c>
      <c r="B37" s="9">
        <v>4.870967741935484</v>
      </c>
    </row>
    <row r="38" spans="1:2" x14ac:dyDescent="0.3">
      <c r="A38">
        <v>4</v>
      </c>
      <c r="B38" s="9">
        <v>2.15625</v>
      </c>
    </row>
    <row r="39" spans="1:2" x14ac:dyDescent="0.3">
      <c r="A39">
        <v>5</v>
      </c>
      <c r="B39" s="9">
        <v>4.2051282051282053</v>
      </c>
    </row>
    <row r="40" spans="1:2" x14ac:dyDescent="0.3">
      <c r="A40">
        <v>6</v>
      </c>
      <c r="B40" s="9">
        <v>19.571428571428573</v>
      </c>
    </row>
    <row r="41" spans="1:2" x14ac:dyDescent="0.3">
      <c r="A41">
        <v>7</v>
      </c>
      <c r="B41" s="9">
        <v>54.395348837209305</v>
      </c>
    </row>
    <row r="42" spans="1:2" x14ac:dyDescent="0.3">
      <c r="A42">
        <v>8</v>
      </c>
      <c r="B42" s="9">
        <v>128.28571428571428</v>
      </c>
    </row>
    <row r="43" spans="1:2" x14ac:dyDescent="0.3">
      <c r="A43">
        <v>9</v>
      </c>
      <c r="B43" s="9">
        <v>87.428571428571431</v>
      </c>
    </row>
    <row r="44" spans="1:2" x14ac:dyDescent="0.3">
      <c r="A44">
        <v>10</v>
      </c>
      <c r="B44" s="9">
        <v>53.642857142857146</v>
      </c>
    </row>
    <row r="45" spans="1:2" x14ac:dyDescent="0.3">
      <c r="A45">
        <v>11</v>
      </c>
      <c r="B45" s="9">
        <v>59.38095238095238</v>
      </c>
    </row>
    <row r="46" spans="1:2" x14ac:dyDescent="0.3">
      <c r="A46">
        <v>12</v>
      </c>
      <c r="B46" s="9">
        <v>76.348837209302332</v>
      </c>
    </row>
    <row r="47" spans="1:2" x14ac:dyDescent="0.3">
      <c r="A47">
        <v>13</v>
      </c>
      <c r="B47" s="9">
        <v>78.511627906976742</v>
      </c>
    </row>
    <row r="48" spans="1:2" x14ac:dyDescent="0.3">
      <c r="A48">
        <v>14</v>
      </c>
      <c r="B48" s="9">
        <v>74.418604651162795</v>
      </c>
    </row>
    <row r="49" spans="1:2" x14ac:dyDescent="0.3">
      <c r="A49">
        <v>15</v>
      </c>
      <c r="B49" s="9">
        <v>77.95348837209302</v>
      </c>
    </row>
    <row r="50" spans="1:2" x14ac:dyDescent="0.3">
      <c r="A50">
        <v>16</v>
      </c>
      <c r="B50" s="9">
        <v>89.272727272727266</v>
      </c>
    </row>
    <row r="51" spans="1:2" x14ac:dyDescent="0.3">
      <c r="A51">
        <v>17</v>
      </c>
      <c r="B51" s="9">
        <v>140.20454545454547</v>
      </c>
    </row>
    <row r="52" spans="1:2" x14ac:dyDescent="0.3">
      <c r="A52">
        <v>18</v>
      </c>
      <c r="B52" s="9">
        <v>122.86046511627907</v>
      </c>
    </row>
    <row r="53" spans="1:2" x14ac:dyDescent="0.3">
      <c r="A53">
        <v>19</v>
      </c>
      <c r="B53" s="9">
        <v>85.139534883720927</v>
      </c>
    </row>
    <row r="54" spans="1:2" x14ac:dyDescent="0.3">
      <c r="A54">
        <v>20</v>
      </c>
      <c r="B54" s="9">
        <v>61.767441860465119</v>
      </c>
    </row>
    <row r="55" spans="1:2" x14ac:dyDescent="0.3">
      <c r="A55">
        <v>21</v>
      </c>
      <c r="B55" s="9">
        <v>46.418604651162788</v>
      </c>
    </row>
    <row r="56" spans="1:2" x14ac:dyDescent="0.3">
      <c r="A56">
        <v>22</v>
      </c>
      <c r="B56" s="9">
        <v>35.069767441860463</v>
      </c>
    </row>
    <row r="57" spans="1:2" x14ac:dyDescent="0.3">
      <c r="A57">
        <v>23</v>
      </c>
      <c r="B57" s="9">
        <v>25.186046511627907</v>
      </c>
    </row>
    <row r="58" spans="1:2" x14ac:dyDescent="0.3">
      <c r="A58" t="s">
        <v>65</v>
      </c>
      <c r="B58" s="9">
        <v>58.304000000000002</v>
      </c>
    </row>
    <row r="61" spans="1:2" x14ac:dyDescent="0.3">
      <c r="A61" t="s">
        <v>68</v>
      </c>
      <c r="B61" t="s">
        <v>69</v>
      </c>
    </row>
    <row r="62" spans="1:2" x14ac:dyDescent="0.3">
      <c r="A62">
        <v>4921</v>
      </c>
      <c r="B62">
        <v>53383</v>
      </c>
    </row>
    <row r="65" spans="1:2" x14ac:dyDescent="0.3">
      <c r="A65" s="8" t="s">
        <v>18</v>
      </c>
      <c r="B65" t="s">
        <v>70</v>
      </c>
    </row>
    <row r="66" spans="1:2" x14ac:dyDescent="0.3">
      <c r="A66" t="s">
        <v>23</v>
      </c>
      <c r="B66">
        <v>8121</v>
      </c>
    </row>
    <row r="67" spans="1:2" x14ac:dyDescent="0.3">
      <c r="A67" t="s">
        <v>24</v>
      </c>
      <c r="B67">
        <v>8450</v>
      </c>
    </row>
    <row r="68" spans="1:2" x14ac:dyDescent="0.3">
      <c r="A68" t="s">
        <v>25</v>
      </c>
      <c r="B68">
        <v>8383</v>
      </c>
    </row>
    <row r="69" spans="1:2" x14ac:dyDescent="0.3">
      <c r="A69" t="s">
        <v>26</v>
      </c>
      <c r="B69">
        <v>8049</v>
      </c>
    </row>
    <row r="70" spans="1:2" x14ac:dyDescent="0.3">
      <c r="A70" t="s">
        <v>27</v>
      </c>
      <c r="B70">
        <v>8458</v>
      </c>
    </row>
    <row r="71" spans="1:2" x14ac:dyDescent="0.3">
      <c r="A71" t="s">
        <v>28</v>
      </c>
      <c r="B71">
        <v>9095</v>
      </c>
    </row>
    <row r="72" spans="1:2" x14ac:dyDescent="0.3">
      <c r="A72" t="s">
        <v>29</v>
      </c>
      <c r="B72">
        <v>7748</v>
      </c>
    </row>
    <row r="73" spans="1:2" x14ac:dyDescent="0.3">
      <c r="A73" t="s">
        <v>65</v>
      </c>
      <c r="B73">
        <v>58304</v>
      </c>
    </row>
    <row r="76" spans="1:2" x14ac:dyDescent="0.3">
      <c r="A76" s="8" t="s">
        <v>19</v>
      </c>
      <c r="B76" t="s">
        <v>71</v>
      </c>
    </row>
    <row r="77" spans="1:2" x14ac:dyDescent="0.3">
      <c r="A77" t="s">
        <v>30</v>
      </c>
      <c r="B77" s="30">
        <v>61.671617161716171</v>
      </c>
    </row>
    <row r="78" spans="1:2" x14ac:dyDescent="0.3">
      <c r="A78" t="s">
        <v>32</v>
      </c>
      <c r="B78" s="30">
        <v>33.202380952380949</v>
      </c>
    </row>
    <row r="79" spans="1:2" x14ac:dyDescent="0.3">
      <c r="A79" t="s">
        <v>33</v>
      </c>
      <c r="B79" s="30">
        <v>36</v>
      </c>
    </row>
    <row r="80" spans="1:2" x14ac:dyDescent="0.3">
      <c r="A80" t="s">
        <v>31</v>
      </c>
      <c r="B80" s="30">
        <v>58.595469255663431</v>
      </c>
    </row>
    <row r="81" spans="1:3" x14ac:dyDescent="0.3">
      <c r="A81" t="s">
        <v>65</v>
      </c>
      <c r="B81">
        <v>58.304000000000002</v>
      </c>
    </row>
    <row r="84" spans="1:3" x14ac:dyDescent="0.3">
      <c r="A84" s="8" t="s">
        <v>41</v>
      </c>
      <c r="B84" t="s">
        <v>72</v>
      </c>
      <c r="C84" t="s">
        <v>73</v>
      </c>
    </row>
    <row r="85" spans="1:3" x14ac:dyDescent="0.3">
      <c r="A85">
        <v>0</v>
      </c>
      <c r="B85">
        <v>74</v>
      </c>
      <c r="C85">
        <v>629</v>
      </c>
    </row>
    <row r="86" spans="1:3" x14ac:dyDescent="0.3">
      <c r="A86">
        <v>1</v>
      </c>
      <c r="B86">
        <v>48</v>
      </c>
      <c r="C86">
        <v>412</v>
      </c>
    </row>
    <row r="87" spans="1:3" x14ac:dyDescent="0.3">
      <c r="A87">
        <v>2</v>
      </c>
      <c r="B87">
        <v>33</v>
      </c>
      <c r="C87">
        <v>261</v>
      </c>
    </row>
    <row r="88" spans="1:3" x14ac:dyDescent="0.3">
      <c r="A88">
        <v>3</v>
      </c>
      <c r="B88">
        <v>34</v>
      </c>
      <c r="C88">
        <v>117</v>
      </c>
    </row>
    <row r="89" spans="1:3" x14ac:dyDescent="0.3">
      <c r="A89">
        <v>4</v>
      </c>
      <c r="B89">
        <v>7</v>
      </c>
      <c r="C89">
        <v>62</v>
      </c>
    </row>
    <row r="90" spans="1:3" x14ac:dyDescent="0.3">
      <c r="A90">
        <v>5</v>
      </c>
      <c r="B90">
        <v>3</v>
      </c>
      <c r="C90">
        <v>161</v>
      </c>
    </row>
    <row r="91" spans="1:3" x14ac:dyDescent="0.3">
      <c r="A91">
        <v>6</v>
      </c>
      <c r="B91">
        <v>21</v>
      </c>
      <c r="C91">
        <v>801</v>
      </c>
    </row>
    <row r="92" spans="1:3" x14ac:dyDescent="0.3">
      <c r="A92">
        <v>7</v>
      </c>
      <c r="B92">
        <v>64</v>
      </c>
      <c r="C92">
        <v>2275</v>
      </c>
    </row>
    <row r="93" spans="1:3" x14ac:dyDescent="0.3">
      <c r="A93">
        <v>8</v>
      </c>
      <c r="B93">
        <v>127</v>
      </c>
      <c r="C93">
        <v>5261</v>
      </c>
    </row>
    <row r="94" spans="1:3" x14ac:dyDescent="0.3">
      <c r="A94">
        <v>9</v>
      </c>
      <c r="B94">
        <v>172</v>
      </c>
      <c r="C94">
        <v>3500</v>
      </c>
    </row>
    <row r="95" spans="1:3" x14ac:dyDescent="0.3">
      <c r="A95">
        <v>10</v>
      </c>
      <c r="B95">
        <v>216</v>
      </c>
      <c r="C95">
        <v>2037</v>
      </c>
    </row>
    <row r="96" spans="1:3" x14ac:dyDescent="0.3">
      <c r="A96">
        <v>11</v>
      </c>
      <c r="B96">
        <v>367</v>
      </c>
      <c r="C96">
        <v>2127</v>
      </c>
    </row>
    <row r="97" spans="1:3" x14ac:dyDescent="0.3">
      <c r="A97">
        <v>12</v>
      </c>
      <c r="B97">
        <v>482</v>
      </c>
      <c r="C97">
        <v>2801</v>
      </c>
    </row>
    <row r="98" spans="1:3" x14ac:dyDescent="0.3">
      <c r="A98">
        <v>13</v>
      </c>
      <c r="B98">
        <v>513</v>
      </c>
      <c r="C98">
        <v>2863</v>
      </c>
    </row>
    <row r="99" spans="1:3" x14ac:dyDescent="0.3">
      <c r="A99">
        <v>14</v>
      </c>
      <c r="B99">
        <v>466</v>
      </c>
      <c r="C99">
        <v>2734</v>
      </c>
    </row>
    <row r="100" spans="1:3" x14ac:dyDescent="0.3">
      <c r="A100">
        <v>15</v>
      </c>
      <c r="B100">
        <v>536</v>
      </c>
      <c r="C100">
        <v>2816</v>
      </c>
    </row>
    <row r="101" spans="1:3" x14ac:dyDescent="0.3">
      <c r="A101">
        <v>16</v>
      </c>
      <c r="B101">
        <v>493</v>
      </c>
      <c r="C101">
        <v>3435</v>
      </c>
    </row>
    <row r="102" spans="1:3" x14ac:dyDescent="0.3">
      <c r="A102">
        <v>17</v>
      </c>
      <c r="B102">
        <v>395</v>
      </c>
      <c r="C102">
        <v>5774</v>
      </c>
    </row>
    <row r="103" spans="1:3" x14ac:dyDescent="0.3">
      <c r="A103">
        <v>18</v>
      </c>
      <c r="B103">
        <v>222</v>
      </c>
      <c r="C103">
        <v>5061</v>
      </c>
    </row>
    <row r="104" spans="1:3" x14ac:dyDescent="0.3">
      <c r="A104">
        <v>19</v>
      </c>
      <c r="B104">
        <v>187</v>
      </c>
      <c r="C104">
        <v>3474</v>
      </c>
    </row>
    <row r="105" spans="1:3" x14ac:dyDescent="0.3">
      <c r="A105">
        <v>20</v>
      </c>
      <c r="B105">
        <v>140</v>
      </c>
      <c r="C105">
        <v>2516</v>
      </c>
    </row>
    <row r="106" spans="1:3" x14ac:dyDescent="0.3">
      <c r="A106">
        <v>21</v>
      </c>
      <c r="B106">
        <v>117</v>
      </c>
      <c r="C106">
        <v>1879</v>
      </c>
    </row>
    <row r="107" spans="1:3" x14ac:dyDescent="0.3">
      <c r="A107">
        <v>22</v>
      </c>
      <c r="B107">
        <v>103</v>
      </c>
      <c r="C107">
        <v>1405</v>
      </c>
    </row>
    <row r="108" spans="1:3" x14ac:dyDescent="0.3">
      <c r="A108">
        <v>23</v>
      </c>
      <c r="B108">
        <v>101</v>
      </c>
      <c r="C108">
        <v>982</v>
      </c>
    </row>
    <row r="109" spans="1:3" x14ac:dyDescent="0.3">
      <c r="A109" t="s">
        <v>65</v>
      </c>
      <c r="B109">
        <v>4921</v>
      </c>
      <c r="C109">
        <v>53383</v>
      </c>
    </row>
    <row r="112" spans="1:3" x14ac:dyDescent="0.3">
      <c r="A112" s="8" t="s">
        <v>20</v>
      </c>
      <c r="B112" t="s">
        <v>74</v>
      </c>
    </row>
    <row r="113" spans="1:2" x14ac:dyDescent="0.3">
      <c r="A113">
        <v>0.02</v>
      </c>
      <c r="B113">
        <v>16.8</v>
      </c>
    </row>
    <row r="114" spans="1:2" x14ac:dyDescent="0.3">
      <c r="A114">
        <v>0.04</v>
      </c>
      <c r="B114">
        <v>27.642857142857142</v>
      </c>
    </row>
    <row r="115" spans="1:2" x14ac:dyDescent="0.3">
      <c r="A115">
        <v>0.06</v>
      </c>
      <c r="B115">
        <v>40.533333333333331</v>
      </c>
    </row>
    <row r="116" spans="1:2" x14ac:dyDescent="0.3">
      <c r="A116">
        <v>0.08</v>
      </c>
      <c r="B116">
        <v>29.75</v>
      </c>
    </row>
    <row r="117" spans="1:2" x14ac:dyDescent="0.3">
      <c r="A117">
        <v>0.1</v>
      </c>
      <c r="B117">
        <v>39.34375</v>
      </c>
    </row>
    <row r="118" spans="1:2" x14ac:dyDescent="0.3">
      <c r="A118">
        <v>0.12</v>
      </c>
      <c r="B118">
        <v>47.81818181818182</v>
      </c>
    </row>
    <row r="119" spans="1:2" x14ac:dyDescent="0.3">
      <c r="A119">
        <v>0.14000000000000001</v>
      </c>
      <c r="B119">
        <v>48.707865168539328</v>
      </c>
    </row>
    <row r="120" spans="1:2" x14ac:dyDescent="0.3">
      <c r="A120">
        <v>0.16</v>
      </c>
      <c r="B120">
        <v>53.869230769230768</v>
      </c>
    </row>
    <row r="121" spans="1:2" x14ac:dyDescent="0.3">
      <c r="A121">
        <v>0.18</v>
      </c>
      <c r="B121">
        <v>51.202531645569621</v>
      </c>
    </row>
    <row r="122" spans="1:2" x14ac:dyDescent="0.3">
      <c r="A122">
        <v>0.2</v>
      </c>
      <c r="B122">
        <v>60.045454545454547</v>
      </c>
    </row>
    <row r="123" spans="1:2" x14ac:dyDescent="0.3">
      <c r="A123">
        <v>0.22</v>
      </c>
      <c r="B123">
        <v>53.029411764705884</v>
      </c>
    </row>
    <row r="124" spans="1:2" x14ac:dyDescent="0.3">
      <c r="A124">
        <v>0.24</v>
      </c>
      <c r="B124">
        <v>69.360465116279073</v>
      </c>
    </row>
    <row r="125" spans="1:2" x14ac:dyDescent="0.3">
      <c r="A125">
        <v>0.26</v>
      </c>
      <c r="B125">
        <v>56.375</v>
      </c>
    </row>
    <row r="126" spans="1:2" x14ac:dyDescent="0.3">
      <c r="A126">
        <v>0.28000000000000003</v>
      </c>
      <c r="B126">
        <v>72.518518518518519</v>
      </c>
    </row>
    <row r="127" spans="1:2" x14ac:dyDescent="0.3">
      <c r="A127">
        <v>0.3</v>
      </c>
      <c r="B127">
        <v>95.972972972972968</v>
      </c>
    </row>
    <row r="128" spans="1:2" x14ac:dyDescent="0.3">
      <c r="A128">
        <v>0.32</v>
      </c>
      <c r="B128">
        <v>81.916666666666671</v>
      </c>
    </row>
    <row r="129" spans="1:2" x14ac:dyDescent="0.3">
      <c r="A129">
        <v>0.34</v>
      </c>
      <c r="B129">
        <v>123.9</v>
      </c>
    </row>
    <row r="130" spans="1:2" x14ac:dyDescent="0.3">
      <c r="A130">
        <v>0.36</v>
      </c>
      <c r="B130">
        <v>89.4</v>
      </c>
    </row>
    <row r="131" spans="1:2" x14ac:dyDescent="0.3">
      <c r="A131">
        <v>0.38</v>
      </c>
      <c r="B131">
        <v>57.888888888888886</v>
      </c>
    </row>
    <row r="132" spans="1:2" x14ac:dyDescent="0.3">
      <c r="A132">
        <v>0.4</v>
      </c>
      <c r="B132">
        <v>61.5625</v>
      </c>
    </row>
    <row r="133" spans="1:2" x14ac:dyDescent="0.3">
      <c r="A133">
        <v>0.42</v>
      </c>
      <c r="B133">
        <v>64.875</v>
      </c>
    </row>
    <row r="134" spans="1:2" x14ac:dyDescent="0.3">
      <c r="A134">
        <v>0.44</v>
      </c>
      <c r="B134">
        <v>64.666666666666671</v>
      </c>
    </row>
    <row r="135" spans="1:2" x14ac:dyDescent="0.3">
      <c r="A135">
        <v>0.46</v>
      </c>
      <c r="B135">
        <v>44.166666666666664</v>
      </c>
    </row>
    <row r="136" spans="1:2" x14ac:dyDescent="0.3">
      <c r="A136" t="s">
        <v>65</v>
      </c>
      <c r="B136">
        <v>58.304000000000002</v>
      </c>
    </row>
    <row r="139" spans="1:2" x14ac:dyDescent="0.3">
      <c r="A139" s="8" t="s">
        <v>17</v>
      </c>
      <c r="B139" t="s">
        <v>77</v>
      </c>
    </row>
    <row r="140" spans="1:2" x14ac:dyDescent="0.3">
      <c r="A140" t="s">
        <v>75</v>
      </c>
      <c r="B140">
        <v>58.713114754098363</v>
      </c>
    </row>
    <row r="141" spans="1:2" x14ac:dyDescent="0.3">
      <c r="A141" t="s">
        <v>76</v>
      </c>
      <c r="B141">
        <v>41.666666666666664</v>
      </c>
    </row>
    <row r="142" spans="1:2" x14ac:dyDescent="0.3">
      <c r="A142" t="s">
        <v>65</v>
      </c>
      <c r="B142">
        <v>58.304000000000002</v>
      </c>
    </row>
    <row r="145" spans="1:2" x14ac:dyDescent="0.3">
      <c r="A145" s="8" t="s">
        <v>16</v>
      </c>
      <c r="B145" t="s">
        <v>78</v>
      </c>
    </row>
    <row r="146" spans="1:2" x14ac:dyDescent="0.3">
      <c r="A146" s="1">
        <v>40544</v>
      </c>
      <c r="B146">
        <v>985</v>
      </c>
    </row>
    <row r="147" spans="1:2" x14ac:dyDescent="0.3">
      <c r="A147" s="1">
        <v>40545</v>
      </c>
      <c r="B147">
        <v>801</v>
      </c>
    </row>
    <row r="148" spans="1:2" x14ac:dyDescent="0.3">
      <c r="A148" s="1">
        <v>40546</v>
      </c>
      <c r="B148">
        <v>1349</v>
      </c>
    </row>
    <row r="149" spans="1:2" x14ac:dyDescent="0.3">
      <c r="A149" s="1">
        <v>40547</v>
      </c>
      <c r="B149">
        <v>1562</v>
      </c>
    </row>
    <row r="150" spans="1:2" x14ac:dyDescent="0.3">
      <c r="A150" s="1">
        <v>40548</v>
      </c>
      <c r="B150">
        <v>1600</v>
      </c>
    </row>
    <row r="151" spans="1:2" x14ac:dyDescent="0.3">
      <c r="A151" s="1">
        <v>40549</v>
      </c>
      <c r="B151">
        <v>1606</v>
      </c>
    </row>
    <row r="152" spans="1:2" x14ac:dyDescent="0.3">
      <c r="A152" s="1">
        <v>40550</v>
      </c>
      <c r="B152">
        <v>1510</v>
      </c>
    </row>
    <row r="153" spans="1:2" x14ac:dyDescent="0.3">
      <c r="A153" s="1">
        <v>40551</v>
      </c>
      <c r="B153">
        <v>959</v>
      </c>
    </row>
    <row r="154" spans="1:2" x14ac:dyDescent="0.3">
      <c r="A154" s="1">
        <v>40552</v>
      </c>
      <c r="B154">
        <v>822</v>
      </c>
    </row>
    <row r="155" spans="1:2" x14ac:dyDescent="0.3">
      <c r="A155" s="1">
        <v>40553</v>
      </c>
      <c r="B155">
        <v>1321</v>
      </c>
    </row>
    <row r="156" spans="1:2" x14ac:dyDescent="0.3">
      <c r="A156" s="1">
        <v>40554</v>
      </c>
      <c r="B156">
        <v>1263</v>
      </c>
    </row>
    <row r="157" spans="1:2" x14ac:dyDescent="0.3">
      <c r="A157" s="1">
        <v>40555</v>
      </c>
      <c r="B157">
        <v>1162</v>
      </c>
    </row>
    <row r="158" spans="1:2" x14ac:dyDescent="0.3">
      <c r="A158" s="1">
        <v>40556</v>
      </c>
      <c r="B158">
        <v>1406</v>
      </c>
    </row>
    <row r="159" spans="1:2" x14ac:dyDescent="0.3">
      <c r="A159" s="1">
        <v>40557</v>
      </c>
      <c r="B159">
        <v>1421</v>
      </c>
    </row>
    <row r="160" spans="1:2" x14ac:dyDescent="0.3">
      <c r="A160" s="1">
        <v>40558</v>
      </c>
      <c r="B160">
        <v>1248</v>
      </c>
    </row>
    <row r="161" spans="1:2" x14ac:dyDescent="0.3">
      <c r="A161" s="1">
        <v>40559</v>
      </c>
      <c r="B161">
        <v>1204</v>
      </c>
    </row>
    <row r="162" spans="1:2" x14ac:dyDescent="0.3">
      <c r="A162" s="1">
        <v>40560</v>
      </c>
      <c r="B162">
        <v>1000</v>
      </c>
    </row>
    <row r="163" spans="1:2" x14ac:dyDescent="0.3">
      <c r="A163" s="1">
        <v>40561</v>
      </c>
      <c r="B163">
        <v>683</v>
      </c>
    </row>
    <row r="164" spans="1:2" x14ac:dyDescent="0.3">
      <c r="A164" s="1">
        <v>40562</v>
      </c>
      <c r="B164">
        <v>1650</v>
      </c>
    </row>
    <row r="165" spans="1:2" x14ac:dyDescent="0.3">
      <c r="A165" s="1">
        <v>40563</v>
      </c>
      <c r="B165">
        <v>1927</v>
      </c>
    </row>
    <row r="166" spans="1:2" x14ac:dyDescent="0.3">
      <c r="A166" s="1">
        <v>40564</v>
      </c>
      <c r="B166">
        <v>1543</v>
      </c>
    </row>
    <row r="167" spans="1:2" x14ac:dyDescent="0.3">
      <c r="A167" s="1">
        <v>40565</v>
      </c>
      <c r="B167">
        <v>981</v>
      </c>
    </row>
    <row r="168" spans="1:2" x14ac:dyDescent="0.3">
      <c r="A168" s="1">
        <v>40566</v>
      </c>
      <c r="B168">
        <v>986</v>
      </c>
    </row>
    <row r="169" spans="1:2" x14ac:dyDescent="0.3">
      <c r="A169" s="1">
        <v>40567</v>
      </c>
      <c r="B169">
        <v>1416</v>
      </c>
    </row>
    <row r="170" spans="1:2" x14ac:dyDescent="0.3">
      <c r="A170" s="1">
        <v>40568</v>
      </c>
      <c r="B170">
        <v>1985</v>
      </c>
    </row>
    <row r="171" spans="1:2" x14ac:dyDescent="0.3">
      <c r="A171" s="1">
        <v>40569</v>
      </c>
      <c r="B171">
        <v>506</v>
      </c>
    </row>
    <row r="172" spans="1:2" x14ac:dyDescent="0.3">
      <c r="A172" s="1">
        <v>40570</v>
      </c>
      <c r="B172">
        <v>431</v>
      </c>
    </row>
    <row r="173" spans="1:2" x14ac:dyDescent="0.3">
      <c r="A173" s="1">
        <v>40571</v>
      </c>
      <c r="B173">
        <v>1167</v>
      </c>
    </row>
    <row r="174" spans="1:2" x14ac:dyDescent="0.3">
      <c r="A174" s="1">
        <v>40572</v>
      </c>
      <c r="B174">
        <v>1098</v>
      </c>
    </row>
    <row r="175" spans="1:2" x14ac:dyDescent="0.3">
      <c r="A175" s="1">
        <v>40573</v>
      </c>
      <c r="B175">
        <v>1096</v>
      </c>
    </row>
    <row r="176" spans="1:2" x14ac:dyDescent="0.3">
      <c r="A176" s="1">
        <v>40574</v>
      </c>
      <c r="B176">
        <v>1501</v>
      </c>
    </row>
    <row r="177" spans="1:2" x14ac:dyDescent="0.3">
      <c r="A177" s="1">
        <v>40575</v>
      </c>
      <c r="B177">
        <v>1360</v>
      </c>
    </row>
    <row r="178" spans="1:2" x14ac:dyDescent="0.3">
      <c r="A178" s="1">
        <v>40576</v>
      </c>
      <c r="B178">
        <v>1526</v>
      </c>
    </row>
    <row r="179" spans="1:2" x14ac:dyDescent="0.3">
      <c r="A179" s="1">
        <v>40577</v>
      </c>
      <c r="B179">
        <v>1550</v>
      </c>
    </row>
    <row r="180" spans="1:2" x14ac:dyDescent="0.3">
      <c r="A180" s="1">
        <v>40578</v>
      </c>
      <c r="B180">
        <v>1708</v>
      </c>
    </row>
    <row r="181" spans="1:2" x14ac:dyDescent="0.3">
      <c r="A181" s="1">
        <v>40579</v>
      </c>
      <c r="B181">
        <v>1005</v>
      </c>
    </row>
    <row r="182" spans="1:2" x14ac:dyDescent="0.3">
      <c r="A182" s="1">
        <v>40580</v>
      </c>
      <c r="B182">
        <v>1623</v>
      </c>
    </row>
    <row r="183" spans="1:2" x14ac:dyDescent="0.3">
      <c r="A183" s="1">
        <v>40581</v>
      </c>
      <c r="B183">
        <v>1712</v>
      </c>
    </row>
    <row r="184" spans="1:2" x14ac:dyDescent="0.3">
      <c r="A184" s="1">
        <v>40582</v>
      </c>
      <c r="B184">
        <v>1530</v>
      </c>
    </row>
    <row r="185" spans="1:2" x14ac:dyDescent="0.3">
      <c r="A185" s="1">
        <v>40583</v>
      </c>
      <c r="B185">
        <v>1605</v>
      </c>
    </row>
    <row r="186" spans="1:2" x14ac:dyDescent="0.3">
      <c r="A186" s="1">
        <v>40584</v>
      </c>
      <c r="B186">
        <v>1538</v>
      </c>
    </row>
    <row r="187" spans="1:2" x14ac:dyDescent="0.3">
      <c r="A187" s="1">
        <v>40585</v>
      </c>
      <c r="B187">
        <v>1746</v>
      </c>
    </row>
    <row r="188" spans="1:2" x14ac:dyDescent="0.3">
      <c r="A188" s="1">
        <v>40586</v>
      </c>
      <c r="B188">
        <v>1472</v>
      </c>
    </row>
    <row r="189" spans="1:2" x14ac:dyDescent="0.3">
      <c r="A189" s="1">
        <v>40587</v>
      </c>
      <c r="B189">
        <v>1589</v>
      </c>
    </row>
    <row r="190" spans="1:2" x14ac:dyDescent="0.3">
      <c r="A190" s="1">
        <v>40588</v>
      </c>
      <c r="B190">
        <v>151</v>
      </c>
    </row>
    <row r="191" spans="1:2" x14ac:dyDescent="0.3">
      <c r="A191" s="1" t="s">
        <v>65</v>
      </c>
      <c r="B191">
        <v>58304</v>
      </c>
    </row>
    <row r="194" spans="1:1" x14ac:dyDescent="0.3">
      <c r="A194" s="8" t="s">
        <v>16</v>
      </c>
    </row>
    <row r="195" spans="1:1" x14ac:dyDescent="0.3">
      <c r="A195" s="1">
        <v>40544</v>
      </c>
    </row>
    <row r="196" spans="1:1" x14ac:dyDescent="0.3">
      <c r="A196" s="1">
        <v>40545</v>
      </c>
    </row>
    <row r="197" spans="1:1" x14ac:dyDescent="0.3">
      <c r="A197" s="1">
        <v>40546</v>
      </c>
    </row>
    <row r="198" spans="1:1" x14ac:dyDescent="0.3">
      <c r="A198" s="1">
        <v>40547</v>
      </c>
    </row>
    <row r="199" spans="1:1" x14ac:dyDescent="0.3">
      <c r="A199" s="1">
        <v>40548</v>
      </c>
    </row>
    <row r="200" spans="1:1" x14ac:dyDescent="0.3">
      <c r="A200" s="1">
        <v>40549</v>
      </c>
    </row>
    <row r="201" spans="1:1" x14ac:dyDescent="0.3">
      <c r="A201" s="1">
        <v>40550</v>
      </c>
    </row>
    <row r="202" spans="1:1" x14ac:dyDescent="0.3">
      <c r="A202" s="1">
        <v>40551</v>
      </c>
    </row>
    <row r="203" spans="1:1" x14ac:dyDescent="0.3">
      <c r="A203" s="1">
        <v>40552</v>
      </c>
    </row>
    <row r="204" spans="1:1" x14ac:dyDescent="0.3">
      <c r="A204" s="1">
        <v>40553</v>
      </c>
    </row>
    <row r="205" spans="1:1" x14ac:dyDescent="0.3">
      <c r="A205" s="1">
        <v>40554</v>
      </c>
    </row>
    <row r="206" spans="1:1" x14ac:dyDescent="0.3">
      <c r="A206" s="1">
        <v>40555</v>
      </c>
    </row>
    <row r="207" spans="1:1" x14ac:dyDescent="0.3">
      <c r="A207" s="1">
        <v>40556</v>
      </c>
    </row>
    <row r="208" spans="1:1" x14ac:dyDescent="0.3">
      <c r="A208" s="1">
        <v>40557</v>
      </c>
    </row>
    <row r="209" spans="1:1" x14ac:dyDescent="0.3">
      <c r="A209" s="1">
        <v>40558</v>
      </c>
    </row>
    <row r="210" spans="1:1" x14ac:dyDescent="0.3">
      <c r="A210" s="1">
        <v>40559</v>
      </c>
    </row>
    <row r="211" spans="1:1" x14ac:dyDescent="0.3">
      <c r="A211" s="1">
        <v>40560</v>
      </c>
    </row>
    <row r="212" spans="1:1" x14ac:dyDescent="0.3">
      <c r="A212" s="1">
        <v>40561</v>
      </c>
    </row>
    <row r="213" spans="1:1" x14ac:dyDescent="0.3">
      <c r="A213" s="1">
        <v>40562</v>
      </c>
    </row>
    <row r="214" spans="1:1" x14ac:dyDescent="0.3">
      <c r="A214" s="1">
        <v>40563</v>
      </c>
    </row>
    <row r="215" spans="1:1" x14ac:dyDescent="0.3">
      <c r="A215" s="1">
        <v>40564</v>
      </c>
    </row>
    <row r="216" spans="1:1" x14ac:dyDescent="0.3">
      <c r="A216" s="1">
        <v>40565</v>
      </c>
    </row>
    <row r="217" spans="1:1" x14ac:dyDescent="0.3">
      <c r="A217" s="1">
        <v>40566</v>
      </c>
    </row>
    <row r="218" spans="1:1" x14ac:dyDescent="0.3">
      <c r="A218" s="1">
        <v>40567</v>
      </c>
    </row>
    <row r="219" spans="1:1" x14ac:dyDescent="0.3">
      <c r="A219" s="1">
        <v>40568</v>
      </c>
    </row>
    <row r="220" spans="1:1" x14ac:dyDescent="0.3">
      <c r="A220" s="1">
        <v>40569</v>
      </c>
    </row>
    <row r="221" spans="1:1" x14ac:dyDescent="0.3">
      <c r="A221" s="1">
        <v>40570</v>
      </c>
    </row>
    <row r="222" spans="1:1" x14ac:dyDescent="0.3">
      <c r="A222" s="1">
        <v>40571</v>
      </c>
    </row>
    <row r="223" spans="1:1" x14ac:dyDescent="0.3">
      <c r="A223" s="1">
        <v>40572</v>
      </c>
    </row>
    <row r="224" spans="1:1" x14ac:dyDescent="0.3">
      <c r="A224" s="1">
        <v>40573</v>
      </c>
    </row>
    <row r="225" spans="1:1" x14ac:dyDescent="0.3">
      <c r="A225" s="1">
        <v>40574</v>
      </c>
    </row>
    <row r="226" spans="1:1" x14ac:dyDescent="0.3">
      <c r="A226" s="1">
        <v>40575</v>
      </c>
    </row>
    <row r="227" spans="1:1" x14ac:dyDescent="0.3">
      <c r="A227" s="1">
        <v>40576</v>
      </c>
    </row>
    <row r="228" spans="1:1" x14ac:dyDescent="0.3">
      <c r="A228" s="1">
        <v>40577</v>
      </c>
    </row>
    <row r="229" spans="1:1" x14ac:dyDescent="0.3">
      <c r="A229" s="1">
        <v>40578</v>
      </c>
    </row>
    <row r="230" spans="1:1" x14ac:dyDescent="0.3">
      <c r="A230" s="1">
        <v>40579</v>
      </c>
    </row>
    <row r="231" spans="1:1" x14ac:dyDescent="0.3">
      <c r="A231" s="1">
        <v>40580</v>
      </c>
    </row>
    <row r="232" spans="1:1" x14ac:dyDescent="0.3">
      <c r="A232" s="1">
        <v>40581</v>
      </c>
    </row>
    <row r="233" spans="1:1" x14ac:dyDescent="0.3">
      <c r="A233" s="1">
        <v>40582</v>
      </c>
    </row>
    <row r="234" spans="1:1" x14ac:dyDescent="0.3">
      <c r="A234" s="1">
        <v>40583</v>
      </c>
    </row>
    <row r="235" spans="1:1" x14ac:dyDescent="0.3">
      <c r="A235" s="1">
        <v>40584</v>
      </c>
    </row>
    <row r="236" spans="1:1" x14ac:dyDescent="0.3">
      <c r="A236" s="1">
        <v>40585</v>
      </c>
    </row>
    <row r="237" spans="1:1" x14ac:dyDescent="0.3">
      <c r="A237" s="1">
        <v>40586</v>
      </c>
    </row>
    <row r="238" spans="1:1" x14ac:dyDescent="0.3">
      <c r="A238" s="1">
        <v>40587</v>
      </c>
    </row>
    <row r="239" spans="1:1" x14ac:dyDescent="0.3">
      <c r="A239" s="1">
        <v>40588</v>
      </c>
    </row>
    <row r="240" spans="1:1" x14ac:dyDescent="0.3">
      <c r="A240" s="1" t="s">
        <v>65</v>
      </c>
    </row>
    <row r="243" spans="1:1" x14ac:dyDescent="0.3">
      <c r="A243" s="8" t="s">
        <v>18</v>
      </c>
    </row>
    <row r="244" spans="1:1" x14ac:dyDescent="0.3">
      <c r="A244" t="s">
        <v>23</v>
      </c>
    </row>
    <row r="245" spans="1:1" x14ac:dyDescent="0.3">
      <c r="A245" t="s">
        <v>24</v>
      </c>
    </row>
    <row r="246" spans="1:1" x14ac:dyDescent="0.3">
      <c r="A246" t="s">
        <v>25</v>
      </c>
    </row>
    <row r="247" spans="1:1" x14ac:dyDescent="0.3">
      <c r="A247" t="s">
        <v>26</v>
      </c>
    </row>
    <row r="248" spans="1:1" x14ac:dyDescent="0.3">
      <c r="A248" t="s">
        <v>27</v>
      </c>
    </row>
    <row r="249" spans="1:1" x14ac:dyDescent="0.3">
      <c r="A249" t="s">
        <v>28</v>
      </c>
    </row>
    <row r="250" spans="1:1" x14ac:dyDescent="0.3">
      <c r="A250" t="s">
        <v>29</v>
      </c>
    </row>
    <row r="251" spans="1:1" x14ac:dyDescent="0.3">
      <c r="A251" t="s">
        <v>65</v>
      </c>
    </row>
    <row r="254" spans="1:1" x14ac:dyDescent="0.3">
      <c r="A254" s="8" t="s">
        <v>19</v>
      </c>
    </row>
    <row r="255" spans="1:1" x14ac:dyDescent="0.3">
      <c r="A255" t="s">
        <v>30</v>
      </c>
    </row>
    <row r="256" spans="1:1" x14ac:dyDescent="0.3">
      <c r="A256" t="s">
        <v>32</v>
      </c>
    </row>
    <row r="257" spans="1:1" x14ac:dyDescent="0.3">
      <c r="A257" t="s">
        <v>33</v>
      </c>
    </row>
    <row r="258" spans="1:1" x14ac:dyDescent="0.3">
      <c r="A258" t="s">
        <v>31</v>
      </c>
    </row>
    <row r="259" spans="1:1" x14ac:dyDescent="0.3">
      <c r="A259" t="s">
        <v>65</v>
      </c>
    </row>
    <row r="262" spans="1:1" x14ac:dyDescent="0.3">
      <c r="A262" s="8" t="s">
        <v>17</v>
      </c>
    </row>
    <row r="263" spans="1:1" x14ac:dyDescent="0.3">
      <c r="A263" t="s">
        <v>75</v>
      </c>
    </row>
    <row r="264" spans="1:1" x14ac:dyDescent="0.3">
      <c r="A264" t="s">
        <v>76</v>
      </c>
    </row>
    <row r="265" spans="1:1" x14ac:dyDescent="0.3">
      <c r="A265" t="s">
        <v>65</v>
      </c>
    </row>
    <row r="268" spans="1:1" x14ac:dyDescent="0.3">
      <c r="A268" s="8" t="s">
        <v>41</v>
      </c>
    </row>
    <row r="269" spans="1:1" x14ac:dyDescent="0.3">
      <c r="A269">
        <v>0</v>
      </c>
    </row>
    <row r="270" spans="1:1" x14ac:dyDescent="0.3">
      <c r="A270">
        <v>1</v>
      </c>
    </row>
    <row r="271" spans="1:1" x14ac:dyDescent="0.3">
      <c r="A271">
        <v>2</v>
      </c>
    </row>
    <row r="272" spans="1:1" x14ac:dyDescent="0.3">
      <c r="A272">
        <v>3</v>
      </c>
    </row>
    <row r="273" spans="1:1" x14ac:dyDescent="0.3">
      <c r="A273">
        <v>4</v>
      </c>
    </row>
    <row r="274" spans="1:1" x14ac:dyDescent="0.3">
      <c r="A274">
        <v>5</v>
      </c>
    </row>
    <row r="275" spans="1:1" x14ac:dyDescent="0.3">
      <c r="A275">
        <v>6</v>
      </c>
    </row>
    <row r="276" spans="1:1" x14ac:dyDescent="0.3">
      <c r="A276">
        <v>7</v>
      </c>
    </row>
    <row r="277" spans="1:1" x14ac:dyDescent="0.3">
      <c r="A277">
        <v>8</v>
      </c>
    </row>
    <row r="278" spans="1:1" x14ac:dyDescent="0.3">
      <c r="A278">
        <v>9</v>
      </c>
    </row>
    <row r="279" spans="1:1" x14ac:dyDescent="0.3">
      <c r="A279">
        <v>10</v>
      </c>
    </row>
    <row r="280" spans="1:1" x14ac:dyDescent="0.3">
      <c r="A280">
        <v>11</v>
      </c>
    </row>
    <row r="281" spans="1:1" x14ac:dyDescent="0.3">
      <c r="A281">
        <v>12</v>
      </c>
    </row>
    <row r="282" spans="1:1" x14ac:dyDescent="0.3">
      <c r="A282">
        <v>13</v>
      </c>
    </row>
    <row r="283" spans="1:1" x14ac:dyDescent="0.3">
      <c r="A283">
        <v>14</v>
      </c>
    </row>
    <row r="284" spans="1:1" x14ac:dyDescent="0.3">
      <c r="A284">
        <v>15</v>
      </c>
    </row>
    <row r="285" spans="1:1" x14ac:dyDescent="0.3">
      <c r="A285">
        <v>16</v>
      </c>
    </row>
    <row r="286" spans="1:1" x14ac:dyDescent="0.3">
      <c r="A286">
        <v>17</v>
      </c>
    </row>
    <row r="287" spans="1:1" x14ac:dyDescent="0.3">
      <c r="A287">
        <v>18</v>
      </c>
    </row>
    <row r="288" spans="1:1" x14ac:dyDescent="0.3">
      <c r="A288">
        <v>19</v>
      </c>
    </row>
    <row r="289" spans="1:1" x14ac:dyDescent="0.3">
      <c r="A289">
        <v>20</v>
      </c>
    </row>
    <row r="290" spans="1:1" x14ac:dyDescent="0.3">
      <c r="A290">
        <v>21</v>
      </c>
    </row>
    <row r="291" spans="1:1" x14ac:dyDescent="0.3">
      <c r="A291">
        <v>22</v>
      </c>
    </row>
    <row r="292" spans="1:1" x14ac:dyDescent="0.3">
      <c r="A292">
        <v>23</v>
      </c>
    </row>
    <row r="293" spans="1:1" x14ac:dyDescent="0.3">
      <c r="A293" t="s">
        <v>65</v>
      </c>
    </row>
    <row r="296" spans="1:1" x14ac:dyDescent="0.3">
      <c r="A296" s="8" t="s">
        <v>20</v>
      </c>
    </row>
    <row r="297" spans="1:1" x14ac:dyDescent="0.3">
      <c r="A297">
        <v>0.02</v>
      </c>
    </row>
    <row r="298" spans="1:1" x14ac:dyDescent="0.3">
      <c r="A298">
        <v>0.04</v>
      </c>
    </row>
    <row r="299" spans="1:1" x14ac:dyDescent="0.3">
      <c r="A299">
        <v>0.06</v>
      </c>
    </row>
    <row r="300" spans="1:1" x14ac:dyDescent="0.3">
      <c r="A300">
        <v>0.08</v>
      </c>
    </row>
    <row r="301" spans="1:1" x14ac:dyDescent="0.3">
      <c r="A301">
        <v>0.1</v>
      </c>
    </row>
    <row r="302" spans="1:1" x14ac:dyDescent="0.3">
      <c r="A302">
        <v>0.12</v>
      </c>
    </row>
    <row r="303" spans="1:1" x14ac:dyDescent="0.3">
      <c r="A303">
        <v>0.14000000000000001</v>
      </c>
    </row>
    <row r="304" spans="1:1" x14ac:dyDescent="0.3">
      <c r="A304">
        <v>0.16</v>
      </c>
    </row>
    <row r="305" spans="1:1" x14ac:dyDescent="0.3">
      <c r="A305">
        <v>0.18</v>
      </c>
    </row>
    <row r="306" spans="1:1" x14ac:dyDescent="0.3">
      <c r="A306">
        <v>0.2</v>
      </c>
    </row>
    <row r="307" spans="1:1" x14ac:dyDescent="0.3">
      <c r="A307">
        <v>0.22</v>
      </c>
    </row>
    <row r="308" spans="1:1" x14ac:dyDescent="0.3">
      <c r="A308">
        <v>0.24</v>
      </c>
    </row>
    <row r="309" spans="1:1" x14ac:dyDescent="0.3">
      <c r="A309">
        <v>0.26</v>
      </c>
    </row>
    <row r="310" spans="1:1" x14ac:dyDescent="0.3">
      <c r="A310">
        <v>0.28000000000000003</v>
      </c>
    </row>
    <row r="311" spans="1:1" x14ac:dyDescent="0.3">
      <c r="A311">
        <v>0.3</v>
      </c>
    </row>
    <row r="312" spans="1:1" x14ac:dyDescent="0.3">
      <c r="A312">
        <v>0.32</v>
      </c>
    </row>
    <row r="313" spans="1:1" x14ac:dyDescent="0.3">
      <c r="A313">
        <v>0.34</v>
      </c>
    </row>
    <row r="314" spans="1:1" x14ac:dyDescent="0.3">
      <c r="A314">
        <v>0.36</v>
      </c>
    </row>
    <row r="315" spans="1:1" x14ac:dyDescent="0.3">
      <c r="A315">
        <v>0.38</v>
      </c>
    </row>
    <row r="316" spans="1:1" x14ac:dyDescent="0.3">
      <c r="A316">
        <v>0.4</v>
      </c>
    </row>
    <row r="317" spans="1:1" x14ac:dyDescent="0.3">
      <c r="A317">
        <v>0.42</v>
      </c>
    </row>
    <row r="318" spans="1:1" x14ac:dyDescent="0.3">
      <c r="A318">
        <v>0.44</v>
      </c>
    </row>
    <row r="319" spans="1:1" x14ac:dyDescent="0.3">
      <c r="A319">
        <v>0.46</v>
      </c>
    </row>
    <row r="320" spans="1:1" x14ac:dyDescent="0.3">
      <c r="A320" t="s">
        <v>65</v>
      </c>
    </row>
    <row r="323" spans="1:2" x14ac:dyDescent="0.3">
      <c r="A323" s="28" t="s">
        <v>72</v>
      </c>
      <c r="B323" s="28" t="s">
        <v>73</v>
      </c>
    </row>
    <row r="324" spans="1:2" x14ac:dyDescent="0.3">
      <c r="A324" s="26">
        <v>74</v>
      </c>
      <c r="B324" s="26">
        <v>629</v>
      </c>
    </row>
    <row r="325" spans="1:2" x14ac:dyDescent="0.3">
      <c r="A325">
        <v>48</v>
      </c>
      <c r="B325">
        <v>412</v>
      </c>
    </row>
    <row r="326" spans="1:2" x14ac:dyDescent="0.3">
      <c r="A326" s="26">
        <v>33</v>
      </c>
      <c r="B326" s="26">
        <v>261</v>
      </c>
    </row>
    <row r="327" spans="1:2" x14ac:dyDescent="0.3">
      <c r="A327">
        <v>34</v>
      </c>
      <c r="B327">
        <v>117</v>
      </c>
    </row>
    <row r="328" spans="1:2" x14ac:dyDescent="0.3">
      <c r="A328" s="26">
        <v>7</v>
      </c>
      <c r="B328" s="26">
        <v>62</v>
      </c>
    </row>
    <row r="329" spans="1:2" x14ac:dyDescent="0.3">
      <c r="A329">
        <v>3</v>
      </c>
      <c r="B329">
        <v>161</v>
      </c>
    </row>
    <row r="330" spans="1:2" x14ac:dyDescent="0.3">
      <c r="A330" s="26">
        <v>21</v>
      </c>
      <c r="B330" s="26">
        <v>801</v>
      </c>
    </row>
    <row r="331" spans="1:2" x14ac:dyDescent="0.3">
      <c r="A331">
        <v>64</v>
      </c>
      <c r="B331">
        <v>2275</v>
      </c>
    </row>
    <row r="332" spans="1:2" x14ac:dyDescent="0.3">
      <c r="A332" s="26">
        <v>127</v>
      </c>
      <c r="B332" s="26">
        <v>5261</v>
      </c>
    </row>
    <row r="333" spans="1:2" x14ac:dyDescent="0.3">
      <c r="A333">
        <v>172</v>
      </c>
      <c r="B333">
        <v>3500</v>
      </c>
    </row>
    <row r="334" spans="1:2" x14ac:dyDescent="0.3">
      <c r="A334" s="26">
        <v>216</v>
      </c>
      <c r="B334" s="26">
        <v>2037</v>
      </c>
    </row>
    <row r="335" spans="1:2" x14ac:dyDescent="0.3">
      <c r="A335">
        <v>367</v>
      </c>
      <c r="B335">
        <v>2127</v>
      </c>
    </row>
    <row r="336" spans="1:2" x14ac:dyDescent="0.3">
      <c r="A336" s="26">
        <v>482</v>
      </c>
      <c r="B336" s="26">
        <v>2801</v>
      </c>
    </row>
    <row r="337" spans="1:2" x14ac:dyDescent="0.3">
      <c r="A337">
        <v>513</v>
      </c>
      <c r="B337">
        <v>2863</v>
      </c>
    </row>
    <row r="338" spans="1:2" x14ac:dyDescent="0.3">
      <c r="A338" s="26">
        <v>466</v>
      </c>
      <c r="B338" s="26">
        <v>2734</v>
      </c>
    </row>
    <row r="339" spans="1:2" x14ac:dyDescent="0.3">
      <c r="A339">
        <v>536</v>
      </c>
      <c r="B339">
        <v>2816</v>
      </c>
    </row>
    <row r="340" spans="1:2" x14ac:dyDescent="0.3">
      <c r="A340" s="26">
        <v>493</v>
      </c>
      <c r="B340" s="26">
        <v>3435</v>
      </c>
    </row>
    <row r="341" spans="1:2" x14ac:dyDescent="0.3">
      <c r="A341">
        <v>395</v>
      </c>
      <c r="B341">
        <v>5774</v>
      </c>
    </row>
    <row r="342" spans="1:2" x14ac:dyDescent="0.3">
      <c r="A342" s="26">
        <v>222</v>
      </c>
      <c r="B342" s="26">
        <v>5061</v>
      </c>
    </row>
    <row r="343" spans="1:2" x14ac:dyDescent="0.3">
      <c r="A343">
        <v>187</v>
      </c>
      <c r="B343">
        <v>3474</v>
      </c>
    </row>
    <row r="344" spans="1:2" x14ac:dyDescent="0.3">
      <c r="A344" s="26">
        <v>140</v>
      </c>
      <c r="B344" s="26">
        <v>2516</v>
      </c>
    </row>
    <row r="345" spans="1:2" x14ac:dyDescent="0.3">
      <c r="A345">
        <v>117</v>
      </c>
      <c r="B345">
        <v>1879</v>
      </c>
    </row>
    <row r="346" spans="1:2" x14ac:dyDescent="0.3">
      <c r="A346" s="26">
        <v>103</v>
      </c>
      <c r="B346" s="26">
        <v>1405</v>
      </c>
    </row>
    <row r="347" spans="1:2" x14ac:dyDescent="0.3">
      <c r="A347">
        <v>101</v>
      </c>
      <c r="B347">
        <v>982</v>
      </c>
    </row>
    <row r="348" spans="1:2" x14ac:dyDescent="0.3">
      <c r="A348" s="27">
        <v>4921</v>
      </c>
      <c r="B348" s="27">
        <v>53383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43659-A5E9-464B-9A1B-663175750C76}">
  <dimension ref="A1:H14"/>
  <sheetViews>
    <sheetView workbookViewId="0">
      <selection sqref="A1:H2"/>
    </sheetView>
  </sheetViews>
  <sheetFormatPr defaultRowHeight="14.4" x14ac:dyDescent="0.3"/>
  <cols>
    <col min="2" max="2" width="12" bestFit="1" customWidth="1"/>
    <col min="3" max="3" width="14.5546875" bestFit="1" customWidth="1"/>
    <col min="4" max="4" width="12.6640625" bestFit="1" customWidth="1"/>
    <col min="5" max="5" width="12" bestFit="1" customWidth="1"/>
    <col min="6" max="6" width="17.109375" bestFit="1" customWidth="1"/>
    <col min="7" max="7" width="20.33203125" bestFit="1" customWidth="1"/>
    <col min="8" max="8" width="11.44140625" bestFit="1" customWidth="1"/>
  </cols>
  <sheetData>
    <row r="1" spans="1:8" x14ac:dyDescent="0.3">
      <c r="A1" s="37" t="s">
        <v>94</v>
      </c>
      <c r="B1" s="37"/>
      <c r="C1" s="37"/>
      <c r="D1" s="37"/>
      <c r="E1" s="37"/>
      <c r="F1" s="37"/>
      <c r="G1" s="37"/>
      <c r="H1" s="37"/>
    </row>
    <row r="2" spans="1:8" x14ac:dyDescent="0.3">
      <c r="A2" s="37"/>
      <c r="B2" s="37"/>
      <c r="C2" s="37"/>
      <c r="D2" s="37"/>
      <c r="E2" s="37"/>
      <c r="F2" s="37"/>
      <c r="G2" s="37"/>
      <c r="H2" s="37"/>
    </row>
    <row r="4" spans="1:8" x14ac:dyDescent="0.3">
      <c r="A4" s="11"/>
      <c r="B4" s="11" t="s">
        <v>20</v>
      </c>
      <c r="C4" s="11" t="s">
        <v>34</v>
      </c>
      <c r="D4" s="11" t="s">
        <v>21</v>
      </c>
      <c r="E4" s="11" t="s">
        <v>22</v>
      </c>
      <c r="F4" s="11" t="s">
        <v>36</v>
      </c>
      <c r="G4" s="11" t="s">
        <v>35</v>
      </c>
      <c r="H4" s="11" t="s">
        <v>42</v>
      </c>
    </row>
    <row r="5" spans="1:8" x14ac:dyDescent="0.3">
      <c r="A5" s="12" t="s">
        <v>20</v>
      </c>
      <c r="B5" s="12">
        <v>1</v>
      </c>
      <c r="C5" s="12"/>
      <c r="D5" s="12"/>
      <c r="E5" s="12"/>
      <c r="F5" s="12"/>
      <c r="G5" s="12"/>
      <c r="H5" s="12"/>
    </row>
    <row r="6" spans="1:8" x14ac:dyDescent="0.3">
      <c r="A6" s="12" t="s">
        <v>34</v>
      </c>
      <c r="B6" s="12">
        <v>0.83656444191138579</v>
      </c>
      <c r="C6" s="12">
        <v>1</v>
      </c>
      <c r="D6" s="12"/>
      <c r="E6" s="12"/>
      <c r="F6" s="12"/>
      <c r="G6" s="12"/>
      <c r="H6" s="12"/>
    </row>
    <row r="7" spans="1:8" x14ac:dyDescent="0.3">
      <c r="A7" s="12" t="s">
        <v>21</v>
      </c>
      <c r="B7" s="12">
        <v>8.0720147162812214E-2</v>
      </c>
      <c r="C7" s="12">
        <v>0.17543150697987131</v>
      </c>
      <c r="D7" s="12">
        <v>1</v>
      </c>
      <c r="E7" s="12"/>
      <c r="F7" s="12"/>
      <c r="G7" s="12"/>
      <c r="H7" s="12"/>
    </row>
    <row r="8" spans="1:8" x14ac:dyDescent="0.3">
      <c r="A8" s="12" t="s">
        <v>22</v>
      </c>
      <c r="B8" s="12">
        <v>0.12262532562998485</v>
      </c>
      <c r="C8" s="12">
        <v>-0.20996903551973625</v>
      </c>
      <c r="D8" s="12">
        <v>-0.38555034700358864</v>
      </c>
      <c r="E8" s="12">
        <v>1</v>
      </c>
      <c r="F8" s="12"/>
      <c r="G8" s="12"/>
      <c r="H8" s="12"/>
    </row>
    <row r="9" spans="1:8" x14ac:dyDescent="0.3">
      <c r="A9" s="12" t="s">
        <v>36</v>
      </c>
      <c r="B9" s="12">
        <v>0.47022073160199324</v>
      </c>
      <c r="C9" s="12">
        <v>0.40689383027013698</v>
      </c>
      <c r="D9" s="12">
        <v>-0.2594074545428624</v>
      </c>
      <c r="E9" s="12">
        <v>0.12939194234487605</v>
      </c>
      <c r="F9" s="12">
        <v>1</v>
      </c>
      <c r="G9" s="12"/>
      <c r="H9" s="12"/>
    </row>
    <row r="10" spans="1:8" x14ac:dyDescent="0.3">
      <c r="A10" s="12" t="s">
        <v>35</v>
      </c>
      <c r="B10" s="12">
        <v>0.16904504909761614</v>
      </c>
      <c r="C10" s="12">
        <v>0.14873322757754825</v>
      </c>
      <c r="D10" s="12">
        <v>-0.22937044088624536</v>
      </c>
      <c r="E10" s="12">
        <v>9.0058728679306796E-2</v>
      </c>
      <c r="F10" s="12">
        <v>0.33770561189314974</v>
      </c>
      <c r="G10" s="12">
        <v>1</v>
      </c>
      <c r="H10" s="12"/>
    </row>
    <row r="11" spans="1:8" x14ac:dyDescent="0.3">
      <c r="A11" s="12" t="s">
        <v>42</v>
      </c>
      <c r="B11" s="12">
        <v>0.22929155386993369</v>
      </c>
      <c r="C11" s="12">
        <v>0.20071722405460785</v>
      </c>
      <c r="D11" s="12">
        <v>-0.25435329828790432</v>
      </c>
      <c r="E11" s="12">
        <v>0.10399668008577614</v>
      </c>
      <c r="F11" s="12">
        <v>0.46715111933058207</v>
      </c>
      <c r="G11" s="12">
        <v>0.98999319275208175</v>
      </c>
      <c r="H11" s="12">
        <v>1</v>
      </c>
    </row>
    <row r="13" spans="1:8" x14ac:dyDescent="0.3">
      <c r="A13" s="36" t="s">
        <v>95</v>
      </c>
      <c r="B13" s="36"/>
      <c r="C13" s="36"/>
      <c r="D13" s="36"/>
      <c r="E13" s="36"/>
      <c r="F13" s="36"/>
      <c r="G13" s="36"/>
      <c r="H13" s="36"/>
    </row>
    <row r="14" spans="1:8" x14ac:dyDescent="0.3">
      <c r="A14" s="36"/>
      <c r="B14" s="36"/>
      <c r="C14" s="36"/>
      <c r="D14" s="36"/>
      <c r="E14" s="36"/>
      <c r="F14" s="36"/>
      <c r="G14" s="36"/>
      <c r="H14" s="36"/>
    </row>
  </sheetData>
  <mergeCells count="2">
    <mergeCell ref="A1:H2"/>
    <mergeCell ref="A13:H14"/>
  </mergeCells>
  <conditionalFormatting sqref="A4:H1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4F94F-623A-4BD4-892B-17704E676A04}">
  <dimension ref="A1:E18"/>
  <sheetViews>
    <sheetView workbookViewId="0">
      <selection activeCell="C17" sqref="C17"/>
    </sheetView>
  </sheetViews>
  <sheetFormatPr defaultRowHeight="14.4" x14ac:dyDescent="0.3"/>
  <cols>
    <col min="1" max="1" width="19.77734375" bestFit="1" customWidth="1"/>
    <col min="2" max="2" width="15.5546875" bestFit="1" customWidth="1"/>
    <col min="3" max="5" width="12" bestFit="1" customWidth="1"/>
  </cols>
  <sheetData>
    <row r="1" spans="1:5" ht="15.6" x14ac:dyDescent="0.3">
      <c r="A1" s="37" t="s">
        <v>136</v>
      </c>
      <c r="B1" s="37"/>
      <c r="C1" s="37"/>
      <c r="D1" s="37"/>
      <c r="E1" s="37"/>
    </row>
    <row r="3" spans="1:5" x14ac:dyDescent="0.3">
      <c r="A3" s="8" t="s">
        <v>98</v>
      </c>
      <c r="B3" s="8" t="s">
        <v>97</v>
      </c>
    </row>
    <row r="4" spans="1:5" x14ac:dyDescent="0.3">
      <c r="A4" s="8" t="s">
        <v>96</v>
      </c>
      <c r="B4" t="s">
        <v>87</v>
      </c>
      <c r="C4" t="s">
        <v>86</v>
      </c>
      <c r="D4" t="s">
        <v>85</v>
      </c>
      <c r="E4" t="s">
        <v>65</v>
      </c>
    </row>
    <row r="5" spans="1:5" x14ac:dyDescent="0.3">
      <c r="A5" s="13" t="s">
        <v>90</v>
      </c>
      <c r="B5">
        <v>114.86666666666666</v>
      </c>
      <c r="C5">
        <v>93.468354430379748</v>
      </c>
      <c r="D5">
        <v>44.967963386727689</v>
      </c>
      <c r="E5">
        <v>61.671617161716171</v>
      </c>
    </row>
    <row r="6" spans="1:5" x14ac:dyDescent="0.3">
      <c r="A6" s="13" t="s">
        <v>93</v>
      </c>
      <c r="D6">
        <v>36</v>
      </c>
      <c r="E6">
        <v>36</v>
      </c>
    </row>
    <row r="7" spans="1:5" x14ac:dyDescent="0.3">
      <c r="A7" s="13" t="s">
        <v>92</v>
      </c>
      <c r="B7">
        <v>56</v>
      </c>
      <c r="C7">
        <v>52.071428571428569</v>
      </c>
      <c r="D7">
        <v>26.476190476190474</v>
      </c>
      <c r="E7">
        <v>33.202380952380949</v>
      </c>
    </row>
    <row r="8" spans="1:5" x14ac:dyDescent="0.3">
      <c r="A8" s="13" t="s">
        <v>91</v>
      </c>
      <c r="B8">
        <v>132.81818181818181</v>
      </c>
      <c r="C8">
        <v>96.647058823529406</v>
      </c>
      <c r="D8">
        <v>43.128099173553721</v>
      </c>
      <c r="E8">
        <v>58.595469255663431</v>
      </c>
    </row>
    <row r="9" spans="1:5" x14ac:dyDescent="0.3">
      <c r="A9" s="13" t="s">
        <v>65</v>
      </c>
      <c r="B9">
        <v>116.25384615384615</v>
      </c>
      <c r="C9">
        <v>89.755905511811022</v>
      </c>
      <c r="D9">
        <v>42.788694481830419</v>
      </c>
      <c r="E9">
        <v>58.304000000000002</v>
      </c>
    </row>
    <row r="11" spans="1:5" x14ac:dyDescent="0.3">
      <c r="A11" s="38" t="s">
        <v>135</v>
      </c>
      <c r="B11" s="39"/>
      <c r="C11" s="39"/>
      <c r="D11" s="39"/>
      <c r="E11" s="39"/>
    </row>
    <row r="12" spans="1:5" x14ac:dyDescent="0.3">
      <c r="A12" s="39"/>
      <c r="B12" s="39"/>
      <c r="C12" s="39"/>
      <c r="D12" s="39"/>
      <c r="E12" s="39"/>
    </row>
    <row r="18" spans="3:3" ht="15.6" x14ac:dyDescent="0.3">
      <c r="C18" s="14"/>
    </row>
  </sheetData>
  <mergeCells count="2">
    <mergeCell ref="A11:E12"/>
    <mergeCell ref="A1:E1"/>
  </mergeCells>
  <conditionalFormatting pivot="1" sqref="B5:E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AB246-3C3C-49ED-8D02-4F4A70C970DA}">
  <dimension ref="A1:Z12"/>
  <sheetViews>
    <sheetView workbookViewId="0">
      <selection activeCell="G24" sqref="G24:G25"/>
    </sheetView>
  </sheetViews>
  <sheetFormatPr defaultRowHeight="14.4" x14ac:dyDescent="0.3"/>
  <cols>
    <col min="1" max="1" width="19.77734375" bestFit="1" customWidth="1"/>
    <col min="2" max="2" width="15.5546875" customWidth="1"/>
    <col min="3" max="26" width="12" bestFit="1" customWidth="1"/>
  </cols>
  <sheetData>
    <row r="1" spans="1:26" x14ac:dyDescent="0.3">
      <c r="E1" s="37" t="s">
        <v>99</v>
      </c>
      <c r="F1" s="37"/>
      <c r="G1" s="37"/>
      <c r="H1" s="37"/>
      <c r="I1" s="37"/>
      <c r="J1" s="37"/>
    </row>
    <row r="2" spans="1:26" x14ac:dyDescent="0.3">
      <c r="E2" s="37"/>
      <c r="F2" s="37"/>
      <c r="G2" s="37"/>
      <c r="H2" s="37"/>
      <c r="I2" s="37"/>
      <c r="J2" s="37"/>
    </row>
    <row r="3" spans="1:26" x14ac:dyDescent="0.3">
      <c r="A3" s="8" t="s">
        <v>98</v>
      </c>
      <c r="B3" s="8" t="s">
        <v>97</v>
      </c>
    </row>
    <row r="4" spans="1:26" x14ac:dyDescent="0.3">
      <c r="A4" s="8" t="s">
        <v>96</v>
      </c>
      <c r="B4">
        <v>0</v>
      </c>
      <c r="C4">
        <v>1</v>
      </c>
      <c r="D4">
        <v>2</v>
      </c>
      <c r="E4">
        <v>3</v>
      </c>
      <c r="F4">
        <v>4</v>
      </c>
      <c r="G4">
        <v>5</v>
      </c>
      <c r="H4">
        <v>6</v>
      </c>
      <c r="I4">
        <v>7</v>
      </c>
      <c r="J4">
        <v>8</v>
      </c>
      <c r="K4">
        <v>9</v>
      </c>
      <c r="L4">
        <v>10</v>
      </c>
      <c r="M4">
        <v>11</v>
      </c>
      <c r="N4">
        <v>12</v>
      </c>
      <c r="O4">
        <v>13</v>
      </c>
      <c r="P4">
        <v>14</v>
      </c>
      <c r="Q4">
        <v>15</v>
      </c>
      <c r="R4">
        <v>16</v>
      </c>
      <c r="S4">
        <v>17</v>
      </c>
      <c r="T4">
        <v>18</v>
      </c>
      <c r="U4">
        <v>19</v>
      </c>
      <c r="V4">
        <v>20</v>
      </c>
      <c r="W4">
        <v>21</v>
      </c>
      <c r="X4">
        <v>22</v>
      </c>
      <c r="Y4">
        <v>23</v>
      </c>
      <c r="Z4" t="s">
        <v>65</v>
      </c>
    </row>
    <row r="5" spans="1:26" x14ac:dyDescent="0.3">
      <c r="A5" s="13" t="s">
        <v>90</v>
      </c>
      <c r="B5">
        <v>17.923076923076923</v>
      </c>
      <c r="C5">
        <v>11.92</v>
      </c>
      <c r="D5">
        <v>7.3043478260869561</v>
      </c>
      <c r="E5">
        <v>5.0555555555555554</v>
      </c>
      <c r="F5">
        <v>1.9473684210526316</v>
      </c>
      <c r="G5">
        <v>4.2173913043478262</v>
      </c>
      <c r="H5">
        <v>23.041666666666668</v>
      </c>
      <c r="I5">
        <v>60.655172413793103</v>
      </c>
      <c r="J5">
        <v>135.53846153846155</v>
      </c>
      <c r="K5">
        <v>87.541666666666671</v>
      </c>
      <c r="L5">
        <v>56.695652173913047</v>
      </c>
      <c r="M5">
        <v>65.695652173913047</v>
      </c>
      <c r="N5">
        <v>87.666666666666671</v>
      </c>
      <c r="O5">
        <v>89.375</v>
      </c>
      <c r="P5">
        <v>78.625</v>
      </c>
      <c r="Q5">
        <v>82.791666666666671</v>
      </c>
      <c r="R5">
        <v>90.18518518518519</v>
      </c>
      <c r="S5">
        <v>139.61290322580646</v>
      </c>
      <c r="T5">
        <v>119.79310344827586</v>
      </c>
      <c r="U5">
        <v>84.533333333333331</v>
      </c>
      <c r="V5">
        <v>60.5</v>
      </c>
      <c r="W5">
        <v>46</v>
      </c>
      <c r="X5">
        <v>35.555555555555557</v>
      </c>
      <c r="Y5">
        <v>26</v>
      </c>
      <c r="Z5">
        <v>61.671617161716171</v>
      </c>
    </row>
    <row r="6" spans="1:26" x14ac:dyDescent="0.3">
      <c r="A6" s="13" t="s">
        <v>93</v>
      </c>
      <c r="R6">
        <v>36</v>
      </c>
      <c r="Z6">
        <v>36</v>
      </c>
    </row>
    <row r="7" spans="1:26" x14ac:dyDescent="0.3">
      <c r="A7" s="13" t="s">
        <v>92</v>
      </c>
      <c r="B7">
        <v>9</v>
      </c>
      <c r="C7">
        <v>5.666666666666667</v>
      </c>
      <c r="D7">
        <v>4.4000000000000004</v>
      </c>
      <c r="E7">
        <v>2.5</v>
      </c>
      <c r="F7">
        <v>3</v>
      </c>
      <c r="G7">
        <v>4.2</v>
      </c>
      <c r="H7">
        <v>10.8</v>
      </c>
      <c r="I7">
        <v>33.75</v>
      </c>
      <c r="J7">
        <v>65.833333333333329</v>
      </c>
      <c r="K7">
        <v>49.75</v>
      </c>
      <c r="L7">
        <v>37</v>
      </c>
      <c r="M7">
        <v>39.333333333333336</v>
      </c>
      <c r="N7">
        <v>43</v>
      </c>
      <c r="O7">
        <v>50</v>
      </c>
      <c r="P7">
        <v>47</v>
      </c>
      <c r="Q7">
        <v>59</v>
      </c>
      <c r="R7">
        <v>73.5</v>
      </c>
      <c r="S7">
        <v>26</v>
      </c>
      <c r="T7">
        <v>65</v>
      </c>
      <c r="U7">
        <v>59</v>
      </c>
      <c r="V7">
        <v>56.75</v>
      </c>
      <c r="W7">
        <v>34.333333333333336</v>
      </c>
      <c r="X7">
        <v>29.333333333333332</v>
      </c>
      <c r="Y7">
        <v>19</v>
      </c>
      <c r="Z7">
        <v>33.202380952380949</v>
      </c>
    </row>
    <row r="8" spans="1:26" x14ac:dyDescent="0.3">
      <c r="A8" s="13" t="s">
        <v>91</v>
      </c>
      <c r="B8">
        <v>14.6</v>
      </c>
      <c r="C8">
        <v>9.6666666666666661</v>
      </c>
      <c r="D8">
        <v>8</v>
      </c>
      <c r="E8">
        <v>5.5555555555555554</v>
      </c>
      <c r="F8">
        <v>2.2222222222222223</v>
      </c>
      <c r="G8">
        <v>4.1818181818181817</v>
      </c>
      <c r="H8">
        <v>16.53846153846154</v>
      </c>
      <c r="I8">
        <v>44.5</v>
      </c>
      <c r="J8">
        <v>146.9</v>
      </c>
      <c r="K8">
        <v>98</v>
      </c>
      <c r="L8">
        <v>52.375</v>
      </c>
      <c r="M8">
        <v>54.0625</v>
      </c>
      <c r="N8">
        <v>69.10526315789474</v>
      </c>
      <c r="O8">
        <v>67.5625</v>
      </c>
      <c r="P8">
        <v>75</v>
      </c>
      <c r="Q8">
        <v>74.25</v>
      </c>
      <c r="R8">
        <v>93.571428571428569</v>
      </c>
      <c r="S8">
        <v>151.25</v>
      </c>
      <c r="T8">
        <v>139.91666666666666</v>
      </c>
      <c r="U8">
        <v>98.777777777777771</v>
      </c>
      <c r="V8">
        <v>68.222222222222229</v>
      </c>
      <c r="W8">
        <v>51.3</v>
      </c>
      <c r="X8">
        <v>35.384615384615387</v>
      </c>
      <c r="Y8">
        <v>25.46153846153846</v>
      </c>
      <c r="Z8">
        <v>58.595469255663431</v>
      </c>
    </row>
    <row r="9" spans="1:26" x14ac:dyDescent="0.3">
      <c r="A9" s="13" t="s">
        <v>65</v>
      </c>
      <c r="B9">
        <v>16.348837209302324</v>
      </c>
      <c r="C9">
        <v>10.697674418604651</v>
      </c>
      <c r="D9">
        <v>7.1707317073170733</v>
      </c>
      <c r="E9">
        <v>4.870967741935484</v>
      </c>
      <c r="F9">
        <v>2.15625</v>
      </c>
      <c r="G9">
        <v>4.2051282051282053</v>
      </c>
      <c r="H9">
        <v>19.571428571428573</v>
      </c>
      <c r="I9">
        <v>54.395348837209305</v>
      </c>
      <c r="J9">
        <v>128.28571428571428</v>
      </c>
      <c r="K9">
        <v>87.428571428571431</v>
      </c>
      <c r="L9">
        <v>53.642857142857146</v>
      </c>
      <c r="M9">
        <v>59.38095238095238</v>
      </c>
      <c r="N9">
        <v>76.348837209302332</v>
      </c>
      <c r="O9">
        <v>78.511627906976742</v>
      </c>
      <c r="P9">
        <v>74.418604651162795</v>
      </c>
      <c r="Q9">
        <v>77.95348837209302</v>
      </c>
      <c r="R9">
        <v>89.272727272727266</v>
      </c>
      <c r="S9">
        <v>140.20454545454547</v>
      </c>
      <c r="T9">
        <v>122.86046511627907</v>
      </c>
      <c r="U9">
        <v>85.139534883720927</v>
      </c>
      <c r="V9">
        <v>61.767441860465119</v>
      </c>
      <c r="W9">
        <v>46.418604651162788</v>
      </c>
      <c r="X9">
        <v>35.069767441860463</v>
      </c>
      <c r="Y9">
        <v>25.186046511627907</v>
      </c>
      <c r="Z9">
        <v>58.304000000000002</v>
      </c>
    </row>
    <row r="11" spans="1:26" x14ac:dyDescent="0.3">
      <c r="A11" s="38" t="s">
        <v>100</v>
      </c>
      <c r="B11" s="38"/>
      <c r="C11" s="38"/>
      <c r="D11" s="38"/>
      <c r="E11" s="38"/>
      <c r="F11" s="38"/>
    </row>
    <row r="12" spans="1:26" x14ac:dyDescent="0.3">
      <c r="A12" s="38"/>
      <c r="B12" s="38"/>
      <c r="C12" s="38"/>
      <c r="D12" s="38"/>
      <c r="E12" s="38"/>
      <c r="F12" s="38"/>
    </row>
  </sheetData>
  <mergeCells count="2">
    <mergeCell ref="E1:J2"/>
    <mergeCell ref="A11:F12"/>
  </mergeCells>
  <conditionalFormatting pivot="1" sqref="B5:Z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BA955-7070-4BE6-B191-997DEDA84FBF}">
  <dimension ref="A1:Z10"/>
  <sheetViews>
    <sheetView workbookViewId="0">
      <selection activeCell="C18" sqref="C18"/>
    </sheetView>
  </sheetViews>
  <sheetFormatPr defaultRowHeight="14.4" x14ac:dyDescent="0.3"/>
  <cols>
    <col min="1" max="1" width="19.77734375" bestFit="1" customWidth="1"/>
    <col min="2" max="2" width="15.5546875" bestFit="1" customWidth="1"/>
    <col min="3" max="26" width="12" bestFit="1" customWidth="1"/>
  </cols>
  <sheetData>
    <row r="1" spans="1:26" x14ac:dyDescent="0.3">
      <c r="A1" s="37" t="s">
        <v>102</v>
      </c>
      <c r="B1" s="37"/>
      <c r="C1" s="37"/>
      <c r="D1" s="37"/>
      <c r="E1" s="37"/>
      <c r="F1" s="37"/>
      <c r="G1" s="37"/>
      <c r="H1" s="37"/>
    </row>
    <row r="2" spans="1:26" x14ac:dyDescent="0.3">
      <c r="A2" s="37"/>
      <c r="B2" s="37"/>
      <c r="C2" s="37"/>
      <c r="D2" s="37"/>
      <c r="E2" s="37"/>
      <c r="F2" s="37"/>
      <c r="G2" s="37"/>
      <c r="H2" s="37"/>
    </row>
    <row r="3" spans="1:26" x14ac:dyDescent="0.3">
      <c r="A3" s="8" t="s">
        <v>98</v>
      </c>
      <c r="B3" s="8" t="s">
        <v>97</v>
      </c>
    </row>
    <row r="4" spans="1:26" x14ac:dyDescent="0.3">
      <c r="A4" s="8" t="s">
        <v>96</v>
      </c>
      <c r="B4">
        <v>0</v>
      </c>
      <c r="C4">
        <v>1</v>
      </c>
      <c r="D4">
        <v>2</v>
      </c>
      <c r="E4">
        <v>3</v>
      </c>
      <c r="F4">
        <v>4</v>
      </c>
      <c r="G4">
        <v>5</v>
      </c>
      <c r="H4">
        <v>6</v>
      </c>
      <c r="I4">
        <v>7</v>
      </c>
      <c r="J4">
        <v>8</v>
      </c>
      <c r="K4">
        <v>9</v>
      </c>
      <c r="L4">
        <v>10</v>
      </c>
      <c r="M4">
        <v>11</v>
      </c>
      <c r="N4">
        <v>12</v>
      </c>
      <c r="O4">
        <v>13</v>
      </c>
      <c r="P4">
        <v>14</v>
      </c>
      <c r="Q4">
        <v>15</v>
      </c>
      <c r="R4">
        <v>16</v>
      </c>
      <c r="S4">
        <v>17</v>
      </c>
      <c r="T4">
        <v>18</v>
      </c>
      <c r="U4">
        <v>19</v>
      </c>
      <c r="V4">
        <v>20</v>
      </c>
      <c r="W4">
        <v>21</v>
      </c>
      <c r="X4">
        <v>22</v>
      </c>
      <c r="Y4">
        <v>23</v>
      </c>
      <c r="Z4" t="s">
        <v>65</v>
      </c>
    </row>
    <row r="5" spans="1:26" x14ac:dyDescent="0.3">
      <c r="A5" s="13" t="s">
        <v>18</v>
      </c>
      <c r="B5">
        <v>10.689655172413794</v>
      </c>
      <c r="C5">
        <v>5.1034482758620694</v>
      </c>
      <c r="D5">
        <v>2.6296296296296298</v>
      </c>
      <c r="E5">
        <v>1.411764705882353</v>
      </c>
      <c r="F5">
        <v>1.7894736842105263</v>
      </c>
      <c r="G5">
        <v>4.7241379310344831</v>
      </c>
      <c r="H5">
        <v>27.379310344827587</v>
      </c>
      <c r="I5">
        <v>78.034482758620683</v>
      </c>
      <c r="J5">
        <v>183.53571428571428</v>
      </c>
      <c r="K5">
        <v>115.67857142857143</v>
      </c>
      <c r="L5">
        <v>49.071428571428569</v>
      </c>
      <c r="M5">
        <v>50.607142857142854</v>
      </c>
      <c r="N5">
        <v>64.58620689655173</v>
      </c>
      <c r="O5">
        <v>67.172413793103445</v>
      </c>
      <c r="P5">
        <v>60.551724137931032</v>
      </c>
      <c r="Q5">
        <v>61.482758620689658</v>
      </c>
      <c r="R5">
        <v>82.63333333333334</v>
      </c>
      <c r="S5">
        <v>165.56666666666666</v>
      </c>
      <c r="T5">
        <v>151.20689655172413</v>
      </c>
      <c r="U5">
        <v>102.03448275862068</v>
      </c>
      <c r="V5">
        <v>72.275862068965523</v>
      </c>
      <c r="W5">
        <v>50.896551724137929</v>
      </c>
      <c r="X5">
        <v>37.103448275862071</v>
      </c>
      <c r="Y5">
        <v>23.689655172413794</v>
      </c>
      <c r="Z5">
        <v>63.335820895522389</v>
      </c>
    </row>
    <row r="6" spans="1:26" x14ac:dyDescent="0.3">
      <c r="A6" s="13" t="s">
        <v>84</v>
      </c>
      <c r="B6">
        <v>28.071428571428573</v>
      </c>
      <c r="C6">
        <v>22.285714285714285</v>
      </c>
      <c r="D6">
        <v>15.928571428571429</v>
      </c>
      <c r="E6">
        <v>9.0714285714285712</v>
      </c>
      <c r="F6">
        <v>2.6923076923076925</v>
      </c>
      <c r="G6">
        <v>2.7</v>
      </c>
      <c r="H6">
        <v>2.1538461538461537</v>
      </c>
      <c r="I6">
        <v>5.4285714285714288</v>
      </c>
      <c r="J6">
        <v>17.785714285714285</v>
      </c>
      <c r="K6">
        <v>30.928571428571427</v>
      </c>
      <c r="L6">
        <v>62.785714285714285</v>
      </c>
      <c r="M6">
        <v>76.928571428571431</v>
      </c>
      <c r="N6">
        <v>100.71428571428571</v>
      </c>
      <c r="O6">
        <v>102</v>
      </c>
      <c r="P6">
        <v>103.14285714285714</v>
      </c>
      <c r="Q6">
        <v>112.07142857142857</v>
      </c>
      <c r="R6">
        <v>103.5</v>
      </c>
      <c r="S6">
        <v>85.857142857142861</v>
      </c>
      <c r="T6">
        <v>64.142857142857139</v>
      </c>
      <c r="U6">
        <v>50.142857142857146</v>
      </c>
      <c r="V6">
        <v>40</v>
      </c>
      <c r="W6">
        <v>37.142857142857146</v>
      </c>
      <c r="X6">
        <v>30.857142857142858</v>
      </c>
      <c r="Y6">
        <v>28.285714285714285</v>
      </c>
      <c r="Z6">
        <v>48.087878787878786</v>
      </c>
    </row>
    <row r="7" spans="1:26" x14ac:dyDescent="0.3">
      <c r="A7" s="13" t="s">
        <v>65</v>
      </c>
      <c r="B7">
        <v>16.348837209302324</v>
      </c>
      <c r="C7">
        <v>10.697674418604651</v>
      </c>
      <c r="D7">
        <v>7.1707317073170733</v>
      </c>
      <c r="E7">
        <v>4.870967741935484</v>
      </c>
      <c r="F7">
        <v>2.15625</v>
      </c>
      <c r="G7">
        <v>4.2051282051282053</v>
      </c>
      <c r="H7">
        <v>19.571428571428573</v>
      </c>
      <c r="I7">
        <v>54.395348837209305</v>
      </c>
      <c r="J7">
        <v>128.28571428571428</v>
      </c>
      <c r="K7">
        <v>87.428571428571431</v>
      </c>
      <c r="L7">
        <v>53.642857142857146</v>
      </c>
      <c r="M7">
        <v>59.38095238095238</v>
      </c>
      <c r="N7">
        <v>76.348837209302332</v>
      </c>
      <c r="O7">
        <v>78.511627906976742</v>
      </c>
      <c r="P7">
        <v>74.418604651162795</v>
      </c>
      <c r="Q7">
        <v>77.95348837209302</v>
      </c>
      <c r="R7">
        <v>89.272727272727266</v>
      </c>
      <c r="S7">
        <v>140.20454545454547</v>
      </c>
      <c r="T7">
        <v>122.86046511627907</v>
      </c>
      <c r="U7">
        <v>85.139534883720927</v>
      </c>
      <c r="V7">
        <v>61.767441860465119</v>
      </c>
      <c r="W7">
        <v>46.418604651162788</v>
      </c>
      <c r="X7">
        <v>35.069767441860463</v>
      </c>
      <c r="Y7">
        <v>25.186046511627907</v>
      </c>
      <c r="Z7">
        <v>58.304000000000002</v>
      </c>
    </row>
    <row r="9" spans="1:26" x14ac:dyDescent="0.3">
      <c r="A9" s="38" t="s">
        <v>101</v>
      </c>
      <c r="B9" s="38"/>
      <c r="C9" s="38"/>
      <c r="D9" s="38"/>
      <c r="E9" s="38"/>
      <c r="F9" s="38"/>
      <c r="G9" s="38"/>
    </row>
    <row r="10" spans="1:26" x14ac:dyDescent="0.3">
      <c r="A10" s="38"/>
      <c r="B10" s="38"/>
      <c r="C10" s="38"/>
      <c r="D10" s="38"/>
      <c r="E10" s="38"/>
      <c r="F10" s="38"/>
      <c r="G10" s="38"/>
    </row>
  </sheetData>
  <mergeCells count="2">
    <mergeCell ref="A9:G10"/>
    <mergeCell ref="A1:H2"/>
  </mergeCells>
  <conditionalFormatting pivot="1" sqref="B5:Z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BF807-6653-4DAF-AD1C-22E348AAF848}">
  <dimension ref="A1:C32"/>
  <sheetViews>
    <sheetView workbookViewId="0">
      <selection activeCell="F28" sqref="F28"/>
    </sheetView>
  </sheetViews>
  <sheetFormatPr defaultRowHeight="14.4" x14ac:dyDescent="0.3"/>
  <cols>
    <col min="1" max="1" width="12.44140625" bestFit="1" customWidth="1"/>
    <col min="2" max="2" width="17.6640625" bestFit="1" customWidth="1"/>
    <col min="3" max="3" width="20.88671875" bestFit="1" customWidth="1"/>
  </cols>
  <sheetData>
    <row r="1" spans="1:3" x14ac:dyDescent="0.3">
      <c r="A1" s="8" t="s">
        <v>82</v>
      </c>
      <c r="B1" t="s">
        <v>103</v>
      </c>
    </row>
    <row r="3" spans="1:3" x14ac:dyDescent="0.3">
      <c r="A3" s="8" t="s">
        <v>96</v>
      </c>
      <c r="B3" t="s">
        <v>104</v>
      </c>
      <c r="C3" t="s">
        <v>105</v>
      </c>
    </row>
    <row r="4" spans="1:3" x14ac:dyDescent="0.3">
      <c r="A4" s="13">
        <v>0</v>
      </c>
      <c r="B4">
        <v>1.7209302325581395</v>
      </c>
      <c r="C4">
        <v>14.627906976744185</v>
      </c>
    </row>
    <row r="5" spans="1:3" x14ac:dyDescent="0.3">
      <c r="A5" s="13">
        <v>1</v>
      </c>
      <c r="B5">
        <v>1.1162790697674418</v>
      </c>
      <c r="C5">
        <v>9.5813953488372086</v>
      </c>
    </row>
    <row r="6" spans="1:3" x14ac:dyDescent="0.3">
      <c r="A6" s="13">
        <v>2</v>
      </c>
      <c r="B6">
        <v>0.80487804878048785</v>
      </c>
      <c r="C6">
        <v>6.3658536585365857</v>
      </c>
    </row>
    <row r="7" spans="1:3" x14ac:dyDescent="0.3">
      <c r="A7" s="13">
        <v>3</v>
      </c>
      <c r="B7">
        <v>1.096774193548387</v>
      </c>
      <c r="C7">
        <v>3.774193548387097</v>
      </c>
    </row>
    <row r="8" spans="1:3" x14ac:dyDescent="0.3">
      <c r="A8" s="13">
        <v>4</v>
      </c>
      <c r="B8">
        <v>0.21875</v>
      </c>
      <c r="C8">
        <v>1.9375</v>
      </c>
    </row>
    <row r="9" spans="1:3" x14ac:dyDescent="0.3">
      <c r="A9" s="13">
        <v>5</v>
      </c>
      <c r="B9">
        <v>7.6923076923076927E-2</v>
      </c>
      <c r="C9">
        <v>4.1282051282051286</v>
      </c>
    </row>
    <row r="10" spans="1:3" x14ac:dyDescent="0.3">
      <c r="A10" s="13">
        <v>6</v>
      </c>
      <c r="B10">
        <v>0.5</v>
      </c>
      <c r="C10">
        <v>19.071428571428573</v>
      </c>
    </row>
    <row r="11" spans="1:3" x14ac:dyDescent="0.3">
      <c r="A11" s="13">
        <v>7</v>
      </c>
      <c r="B11">
        <v>1.4883720930232558</v>
      </c>
      <c r="C11">
        <v>52.906976744186046</v>
      </c>
    </row>
    <row r="12" spans="1:3" x14ac:dyDescent="0.3">
      <c r="A12" s="13">
        <v>8</v>
      </c>
      <c r="B12">
        <v>3.0238095238095237</v>
      </c>
      <c r="C12">
        <v>125.26190476190476</v>
      </c>
    </row>
    <row r="13" spans="1:3" x14ac:dyDescent="0.3">
      <c r="A13" s="13">
        <v>9</v>
      </c>
      <c r="B13">
        <v>4.0952380952380949</v>
      </c>
      <c r="C13">
        <v>83.333333333333329</v>
      </c>
    </row>
    <row r="14" spans="1:3" x14ac:dyDescent="0.3">
      <c r="A14" s="13">
        <v>10</v>
      </c>
      <c r="B14">
        <v>5.1428571428571432</v>
      </c>
      <c r="C14">
        <v>48.5</v>
      </c>
    </row>
    <row r="15" spans="1:3" x14ac:dyDescent="0.3">
      <c r="A15" s="13">
        <v>11</v>
      </c>
      <c r="B15">
        <v>8.7380952380952372</v>
      </c>
      <c r="C15">
        <v>50.642857142857146</v>
      </c>
    </row>
    <row r="16" spans="1:3" x14ac:dyDescent="0.3">
      <c r="A16" s="13">
        <v>12</v>
      </c>
      <c r="B16">
        <v>11.209302325581396</v>
      </c>
      <c r="C16">
        <v>65.139534883720927</v>
      </c>
    </row>
    <row r="17" spans="1:3" x14ac:dyDescent="0.3">
      <c r="A17" s="13">
        <v>13</v>
      </c>
      <c r="B17">
        <v>11.930232558139535</v>
      </c>
      <c r="C17">
        <v>66.581395348837205</v>
      </c>
    </row>
    <row r="18" spans="1:3" x14ac:dyDescent="0.3">
      <c r="A18" s="13">
        <v>14</v>
      </c>
      <c r="B18">
        <v>10.837209302325581</v>
      </c>
      <c r="C18">
        <v>63.581395348837212</v>
      </c>
    </row>
    <row r="19" spans="1:3" x14ac:dyDescent="0.3">
      <c r="A19" s="13">
        <v>15</v>
      </c>
      <c r="B19">
        <v>12.465116279069768</v>
      </c>
      <c r="C19">
        <v>65.488372093023258</v>
      </c>
    </row>
    <row r="20" spans="1:3" x14ac:dyDescent="0.3">
      <c r="A20" s="13">
        <v>16</v>
      </c>
      <c r="B20">
        <v>11.204545454545455</v>
      </c>
      <c r="C20">
        <v>78.068181818181813</v>
      </c>
    </row>
    <row r="21" spans="1:3" x14ac:dyDescent="0.3">
      <c r="A21" s="13">
        <v>17</v>
      </c>
      <c r="B21">
        <v>8.9772727272727266</v>
      </c>
      <c r="C21">
        <v>131.22727272727272</v>
      </c>
    </row>
    <row r="22" spans="1:3" x14ac:dyDescent="0.3">
      <c r="A22" s="13">
        <v>18</v>
      </c>
      <c r="B22">
        <v>5.1627906976744189</v>
      </c>
      <c r="C22">
        <v>117.69767441860465</v>
      </c>
    </row>
    <row r="23" spans="1:3" x14ac:dyDescent="0.3">
      <c r="A23" s="13">
        <v>19</v>
      </c>
      <c r="B23">
        <v>4.3488372093023253</v>
      </c>
      <c r="C23">
        <v>80.79069767441861</v>
      </c>
    </row>
    <row r="24" spans="1:3" x14ac:dyDescent="0.3">
      <c r="A24" s="13">
        <v>20</v>
      </c>
      <c r="B24">
        <v>3.2558139534883721</v>
      </c>
      <c r="C24">
        <v>58.511627906976742</v>
      </c>
    </row>
    <row r="25" spans="1:3" x14ac:dyDescent="0.3">
      <c r="A25" s="13">
        <v>21</v>
      </c>
      <c r="B25">
        <v>2.7209302325581395</v>
      </c>
      <c r="C25">
        <v>43.697674418604649</v>
      </c>
    </row>
    <row r="26" spans="1:3" x14ac:dyDescent="0.3">
      <c r="A26" s="13">
        <v>22</v>
      </c>
      <c r="B26">
        <v>2.3953488372093021</v>
      </c>
      <c r="C26">
        <v>32.674418604651166</v>
      </c>
    </row>
    <row r="27" spans="1:3" x14ac:dyDescent="0.3">
      <c r="A27" s="13">
        <v>23</v>
      </c>
      <c r="B27">
        <v>2.3488372093023258</v>
      </c>
      <c r="C27">
        <v>22.837209302325583</v>
      </c>
    </row>
    <row r="28" spans="1:3" x14ac:dyDescent="0.3">
      <c r="A28" s="13" t="s">
        <v>65</v>
      </c>
      <c r="B28">
        <v>4.9210000000000003</v>
      </c>
      <c r="C28">
        <v>53.383000000000003</v>
      </c>
    </row>
    <row r="30" spans="1:3" x14ac:dyDescent="0.3">
      <c r="A30" s="38" t="s">
        <v>106</v>
      </c>
      <c r="B30" s="38"/>
      <c r="C30" s="38"/>
    </row>
    <row r="31" spans="1:3" x14ac:dyDescent="0.3">
      <c r="A31" s="38"/>
      <c r="B31" s="38"/>
      <c r="C31" s="38"/>
    </row>
    <row r="32" spans="1:3" x14ac:dyDescent="0.3">
      <c r="A32" s="38"/>
      <c r="B32" s="38"/>
      <c r="C32" s="38"/>
    </row>
  </sheetData>
  <mergeCells count="1">
    <mergeCell ref="A30:C32"/>
  </mergeCell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77996-7808-473E-9528-D40A3D3DF8C8}">
  <dimension ref="A1:L18"/>
  <sheetViews>
    <sheetView workbookViewId="0">
      <selection activeCell="E29" sqref="E29"/>
    </sheetView>
  </sheetViews>
  <sheetFormatPr defaultRowHeight="14.4" x14ac:dyDescent="0.3"/>
  <cols>
    <col min="1" max="1" width="15.33203125" bestFit="1" customWidth="1"/>
    <col min="2" max="2" width="21.88671875" bestFit="1" customWidth="1"/>
    <col min="3" max="3" width="25.109375" bestFit="1" customWidth="1"/>
    <col min="4" max="4" width="10.5546875" bestFit="1" customWidth="1"/>
    <col min="44" max="44" width="10.5546875" bestFit="1" customWidth="1"/>
  </cols>
  <sheetData>
    <row r="1" spans="1:3" ht="15.6" x14ac:dyDescent="0.3">
      <c r="A1" s="37" t="s">
        <v>109</v>
      </c>
      <c r="B1" s="37"/>
      <c r="C1" s="37"/>
    </row>
    <row r="3" spans="1:3" x14ac:dyDescent="0.3">
      <c r="A3" s="8" t="s">
        <v>96</v>
      </c>
      <c r="B3" t="s">
        <v>107</v>
      </c>
      <c r="C3" t="s">
        <v>108</v>
      </c>
    </row>
    <row r="4" spans="1:3" x14ac:dyDescent="0.3">
      <c r="A4" s="13" t="s">
        <v>90</v>
      </c>
      <c r="B4">
        <v>5.2986798679867988</v>
      </c>
      <c r="C4">
        <v>56.372937293729372</v>
      </c>
    </row>
    <row r="5" spans="1:3" x14ac:dyDescent="0.3">
      <c r="A5" s="13" t="s">
        <v>93</v>
      </c>
      <c r="B5">
        <v>1</v>
      </c>
      <c r="C5">
        <v>35</v>
      </c>
    </row>
    <row r="6" spans="1:3" x14ac:dyDescent="0.3">
      <c r="A6" s="13" t="s">
        <v>92</v>
      </c>
      <c r="B6">
        <v>2.0357142857142856</v>
      </c>
      <c r="C6">
        <v>31.166666666666668</v>
      </c>
    </row>
    <row r="7" spans="1:3" x14ac:dyDescent="0.3">
      <c r="A7" s="13" t="s">
        <v>91</v>
      </c>
      <c r="B7">
        <v>4.9773462783171523</v>
      </c>
      <c r="C7">
        <v>53.618122977346282</v>
      </c>
    </row>
    <row r="8" spans="1:3" x14ac:dyDescent="0.3">
      <c r="A8" s="13" t="s">
        <v>65</v>
      </c>
      <c r="B8">
        <v>4.9210000000000003</v>
      </c>
      <c r="C8">
        <v>53.383000000000003</v>
      </c>
    </row>
    <row r="17" spans="5:12" x14ac:dyDescent="0.3">
      <c r="E17" s="38" t="s">
        <v>110</v>
      </c>
      <c r="F17" s="38"/>
      <c r="G17" s="38"/>
      <c r="H17" s="38"/>
      <c r="I17" s="38"/>
      <c r="J17" s="38"/>
      <c r="K17" s="38"/>
      <c r="L17" s="38"/>
    </row>
    <row r="18" spans="5:12" x14ac:dyDescent="0.3">
      <c r="E18" s="38"/>
      <c r="F18" s="38"/>
      <c r="G18" s="38"/>
      <c r="H18" s="38"/>
      <c r="I18" s="38"/>
      <c r="J18" s="38"/>
      <c r="K18" s="38"/>
      <c r="L18" s="38"/>
    </row>
  </sheetData>
  <mergeCells count="2">
    <mergeCell ref="A1:C1"/>
    <mergeCell ref="E17:L18"/>
  </mergeCell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E7D1B-9E81-4CBA-8A3D-D840A1A95E44}">
  <dimension ref="A3:J20"/>
  <sheetViews>
    <sheetView workbookViewId="0">
      <selection activeCell="M22" sqref="M22"/>
    </sheetView>
  </sheetViews>
  <sheetFormatPr defaultRowHeight="14.4" x14ac:dyDescent="0.3"/>
  <cols>
    <col min="1" max="1" width="12.44140625" bestFit="1" customWidth="1"/>
    <col min="2" max="2" width="16" bestFit="1" customWidth="1"/>
  </cols>
  <sheetData>
    <row r="3" spans="1:2" x14ac:dyDescent="0.3">
      <c r="A3" s="8" t="s">
        <v>96</v>
      </c>
      <c r="B3" t="s">
        <v>116</v>
      </c>
    </row>
    <row r="4" spans="1:2" x14ac:dyDescent="0.3">
      <c r="A4" s="13" t="s">
        <v>111</v>
      </c>
      <c r="B4">
        <v>53.586885245901641</v>
      </c>
    </row>
    <row r="5" spans="1:2" x14ac:dyDescent="0.3">
      <c r="A5" s="13" t="s">
        <v>112</v>
      </c>
      <c r="B5">
        <v>55.638483965014579</v>
      </c>
    </row>
    <row r="6" spans="1:2" x14ac:dyDescent="0.3">
      <c r="A6" s="13" t="s">
        <v>113</v>
      </c>
      <c r="B6">
        <v>62.797665369649806</v>
      </c>
    </row>
    <row r="7" spans="1:2" x14ac:dyDescent="0.3">
      <c r="A7" s="13" t="s">
        <v>114</v>
      </c>
      <c r="B7">
        <v>63.108108108108105</v>
      </c>
    </row>
    <row r="8" spans="1:2" x14ac:dyDescent="0.3">
      <c r="A8" s="13" t="s">
        <v>115</v>
      </c>
      <c r="B8">
        <v>98.428571428571431</v>
      </c>
    </row>
    <row r="9" spans="1:2" x14ac:dyDescent="0.3">
      <c r="A9" s="13" t="s">
        <v>65</v>
      </c>
      <c r="B9">
        <v>58.304000000000002</v>
      </c>
    </row>
    <row r="19" spans="4:10" x14ac:dyDescent="0.3">
      <c r="D19" s="38" t="s">
        <v>117</v>
      </c>
      <c r="E19" s="38"/>
      <c r="F19" s="38"/>
      <c r="G19" s="38"/>
      <c r="H19" s="38"/>
      <c r="I19" s="38"/>
      <c r="J19" s="38"/>
    </row>
    <row r="20" spans="4:10" x14ac:dyDescent="0.3">
      <c r="D20" s="38"/>
      <c r="E20" s="38"/>
      <c r="F20" s="38"/>
      <c r="G20" s="38"/>
      <c r="H20" s="38"/>
      <c r="I20" s="38"/>
      <c r="J20" s="38"/>
    </row>
  </sheetData>
  <mergeCells count="1">
    <mergeCell ref="D19:J20"/>
  </mergeCell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A1532-0545-4E04-997C-558E7C0F336E}">
  <dimension ref="A3:K20"/>
  <sheetViews>
    <sheetView workbookViewId="0">
      <selection activeCell="O22" sqref="O22"/>
    </sheetView>
  </sheetViews>
  <sheetFormatPr defaultRowHeight="14.4" x14ac:dyDescent="0.3"/>
  <cols>
    <col min="1" max="1" width="12.44140625" bestFit="1" customWidth="1"/>
    <col min="2" max="2" width="18.109375" bestFit="1" customWidth="1"/>
  </cols>
  <sheetData>
    <row r="3" spans="1:2" x14ac:dyDescent="0.3">
      <c r="A3" s="8" t="s">
        <v>96</v>
      </c>
      <c r="B3" t="s">
        <v>119</v>
      </c>
    </row>
    <row r="4" spans="1:2" x14ac:dyDescent="0.3">
      <c r="A4" s="13" t="s">
        <v>120</v>
      </c>
      <c r="B4">
        <v>271</v>
      </c>
    </row>
    <row r="5" spans="1:2" x14ac:dyDescent="0.3">
      <c r="A5" s="13" t="s">
        <v>121</v>
      </c>
      <c r="B5">
        <v>158</v>
      </c>
    </row>
    <row r="6" spans="1:2" x14ac:dyDescent="0.3">
      <c r="A6" s="13" t="s">
        <v>122</v>
      </c>
      <c r="B6">
        <v>161</v>
      </c>
    </row>
    <row r="7" spans="1:2" x14ac:dyDescent="0.3">
      <c r="A7" s="13" t="s">
        <v>123</v>
      </c>
      <c r="B7">
        <v>141</v>
      </c>
    </row>
    <row r="8" spans="1:2" x14ac:dyDescent="0.3">
      <c r="A8" s="13" t="s">
        <v>124</v>
      </c>
      <c r="B8">
        <v>97</v>
      </c>
    </row>
    <row r="9" spans="1:2" x14ac:dyDescent="0.3">
      <c r="A9" s="13" t="s">
        <v>125</v>
      </c>
      <c r="B9">
        <v>51</v>
      </c>
    </row>
    <row r="10" spans="1:2" x14ac:dyDescent="0.3">
      <c r="A10" s="13" t="s">
        <v>126</v>
      </c>
      <c r="B10">
        <v>36</v>
      </c>
    </row>
    <row r="11" spans="1:2" x14ac:dyDescent="0.3">
      <c r="A11" s="13" t="s">
        <v>127</v>
      </c>
      <c r="B11">
        <v>24</v>
      </c>
    </row>
    <row r="12" spans="1:2" x14ac:dyDescent="0.3">
      <c r="A12" s="13" t="s">
        <v>128</v>
      </c>
      <c r="B12">
        <v>27</v>
      </c>
    </row>
    <row r="13" spans="1:2" x14ac:dyDescent="0.3">
      <c r="A13" s="13" t="s">
        <v>129</v>
      </c>
      <c r="B13">
        <v>16</v>
      </c>
    </row>
    <row r="14" spans="1:2" x14ac:dyDescent="0.3">
      <c r="A14" s="13" t="s">
        <v>130</v>
      </c>
      <c r="B14">
        <v>11</v>
      </c>
    </row>
    <row r="15" spans="1:2" x14ac:dyDescent="0.3">
      <c r="A15" s="13" t="s">
        <v>131</v>
      </c>
      <c r="B15">
        <v>5</v>
      </c>
    </row>
    <row r="16" spans="1:2" x14ac:dyDescent="0.3">
      <c r="A16" s="13" t="s">
        <v>132</v>
      </c>
      <c r="B16">
        <v>2</v>
      </c>
    </row>
    <row r="17" spans="1:11" x14ac:dyDescent="0.3">
      <c r="A17" s="13" t="s">
        <v>65</v>
      </c>
      <c r="B17">
        <v>1000</v>
      </c>
    </row>
    <row r="19" spans="1:11" x14ac:dyDescent="0.3">
      <c r="D19" s="38" t="s">
        <v>133</v>
      </c>
      <c r="E19" s="38"/>
      <c r="F19" s="38"/>
      <c r="G19" s="38"/>
      <c r="H19" s="38"/>
      <c r="I19" s="38"/>
      <c r="J19" s="38"/>
      <c r="K19" s="38"/>
    </row>
    <row r="20" spans="1:11" x14ac:dyDescent="0.3">
      <c r="D20" s="38"/>
      <c r="E20" s="38"/>
      <c r="F20" s="38"/>
      <c r="G20" s="38"/>
      <c r="H20" s="38"/>
      <c r="I20" s="38"/>
      <c r="J20" s="38"/>
      <c r="K20" s="38"/>
    </row>
  </sheetData>
  <mergeCells count="1">
    <mergeCell ref="D19:K20"/>
  </mergeCell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822F8-8403-4732-B53C-79085C572F45}">
  <dimension ref="A3:D8"/>
  <sheetViews>
    <sheetView workbookViewId="0">
      <selection activeCell="F27" sqref="F27"/>
    </sheetView>
  </sheetViews>
  <sheetFormatPr defaultRowHeight="14.4" x14ac:dyDescent="0.3"/>
  <cols>
    <col min="1" max="1" width="18" bestFit="1" customWidth="1"/>
    <col min="2" max="2" width="15.5546875" bestFit="1" customWidth="1"/>
    <col min="3" max="4" width="12" bestFit="1" customWidth="1"/>
  </cols>
  <sheetData>
    <row r="3" spans="1:4" x14ac:dyDescent="0.3">
      <c r="A3" s="8" t="s">
        <v>134</v>
      </c>
      <c r="B3" s="8" t="s">
        <v>97</v>
      </c>
    </row>
    <row r="4" spans="1:4" x14ac:dyDescent="0.3">
      <c r="A4" s="8" t="s">
        <v>96</v>
      </c>
      <c r="B4" t="s">
        <v>18</v>
      </c>
      <c r="C4" t="s">
        <v>84</v>
      </c>
      <c r="D4" t="s">
        <v>65</v>
      </c>
    </row>
    <row r="5" spans="1:4" x14ac:dyDescent="0.3">
      <c r="A5" s="13" t="s">
        <v>87</v>
      </c>
      <c r="B5">
        <v>139.89772727272728</v>
      </c>
      <c r="C5">
        <v>66.714285714285708</v>
      </c>
      <c r="D5">
        <v>116.25384615384615</v>
      </c>
    </row>
    <row r="6" spans="1:4" x14ac:dyDescent="0.3">
      <c r="A6" s="13" t="s">
        <v>86</v>
      </c>
      <c r="B6">
        <v>125.18823529411765</v>
      </c>
      <c r="C6">
        <v>18.047619047619047</v>
      </c>
      <c r="D6">
        <v>89.755905511811022</v>
      </c>
    </row>
    <row r="7" spans="1:4" x14ac:dyDescent="0.3">
      <c r="A7" s="13" t="s">
        <v>85</v>
      </c>
      <c r="B7">
        <v>39.201207243460765</v>
      </c>
      <c r="C7">
        <v>50.036585365853661</v>
      </c>
      <c r="D7">
        <v>42.788694481830419</v>
      </c>
    </row>
    <row r="8" spans="1:4" x14ac:dyDescent="0.3">
      <c r="A8" s="13" t="s">
        <v>65</v>
      </c>
      <c r="B8">
        <v>63.335820895522389</v>
      </c>
      <c r="C8">
        <v>48.087878787878786</v>
      </c>
      <c r="D8">
        <v>58.304000000000002</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2324F-5BD5-45DD-9537-496BA3749BD5}">
  <dimension ref="A3:J20"/>
  <sheetViews>
    <sheetView workbookViewId="0">
      <selection activeCell="J26" sqref="J26"/>
    </sheetView>
  </sheetViews>
  <sheetFormatPr defaultRowHeight="14.4" x14ac:dyDescent="0.3"/>
  <cols>
    <col min="1" max="1" width="12.44140625" bestFit="1" customWidth="1"/>
    <col min="2" max="2" width="16.88671875" bestFit="1" customWidth="1"/>
  </cols>
  <sheetData>
    <row r="3" spans="1:2" x14ac:dyDescent="0.3">
      <c r="A3" s="8" t="s">
        <v>96</v>
      </c>
      <c r="B3" t="s">
        <v>118</v>
      </c>
    </row>
    <row r="4" spans="1:2" x14ac:dyDescent="0.3">
      <c r="A4" s="13" t="s">
        <v>137</v>
      </c>
      <c r="B4">
        <v>38189</v>
      </c>
    </row>
    <row r="5" spans="1:2" x14ac:dyDescent="0.3">
      <c r="A5" s="13" t="s">
        <v>138</v>
      </c>
      <c r="B5">
        <v>20115</v>
      </c>
    </row>
    <row r="6" spans="1:2" x14ac:dyDescent="0.3">
      <c r="A6" s="13" t="s">
        <v>65</v>
      </c>
      <c r="B6">
        <v>58304</v>
      </c>
    </row>
    <row r="19" spans="4:10" x14ac:dyDescent="0.3">
      <c r="D19" s="36" t="s">
        <v>139</v>
      </c>
      <c r="E19" s="36"/>
      <c r="F19" s="36"/>
      <c r="G19" s="36"/>
      <c r="H19" s="36"/>
      <c r="I19" s="36"/>
      <c r="J19" s="36"/>
    </row>
    <row r="20" spans="4:10" x14ac:dyDescent="0.3">
      <c r="D20" s="36"/>
      <c r="E20" s="36"/>
      <c r="F20" s="36"/>
      <c r="G20" s="36"/>
      <c r="H20" s="36"/>
      <c r="I20" s="36"/>
      <c r="J20" s="36"/>
    </row>
  </sheetData>
  <mergeCells count="1">
    <mergeCell ref="D19:J20"/>
  </mergeCell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97863-5E86-4EED-8BF9-812B081BE843}">
  <dimension ref="A1:S59"/>
  <sheetViews>
    <sheetView topLeftCell="D4" workbookViewId="0">
      <selection activeCell="H37" sqref="H37"/>
    </sheetView>
  </sheetViews>
  <sheetFormatPr defaultRowHeight="14.4" x14ac:dyDescent="0.3"/>
  <cols>
    <col min="1" max="1" width="10.33203125" bestFit="1" customWidth="1"/>
    <col min="2" max="2" width="12.6640625" customWidth="1"/>
    <col min="3" max="3" width="21.21875" customWidth="1"/>
    <col min="4" max="4" width="34.21875" customWidth="1"/>
    <col min="5" max="5" width="34.44140625" customWidth="1"/>
    <col min="7" max="7" width="10" customWidth="1"/>
    <col min="8" max="8" width="7.5546875" customWidth="1"/>
  </cols>
  <sheetData>
    <row r="1" spans="1:8" x14ac:dyDescent="0.3">
      <c r="A1" s="38" t="s">
        <v>156</v>
      </c>
      <c r="B1" s="38"/>
      <c r="C1" s="38"/>
      <c r="D1" s="38"/>
      <c r="E1" s="38"/>
    </row>
    <row r="2" spans="1:8" x14ac:dyDescent="0.3">
      <c r="A2" t="s">
        <v>16</v>
      </c>
      <c r="B2" t="s">
        <v>42</v>
      </c>
      <c r="C2" t="s">
        <v>79</v>
      </c>
      <c r="D2" t="s">
        <v>80</v>
      </c>
      <c r="E2" t="s">
        <v>81</v>
      </c>
    </row>
    <row r="3" spans="1:8" x14ac:dyDescent="0.3">
      <c r="A3" s="1">
        <v>40544</v>
      </c>
      <c r="B3" s="16">
        <v>41.041666666666664</v>
      </c>
      <c r="H3" s="10"/>
    </row>
    <row r="4" spans="1:8" x14ac:dyDescent="0.3">
      <c r="A4" s="1">
        <v>40545</v>
      </c>
      <c r="B4" s="16">
        <v>34.826086956521742</v>
      </c>
      <c r="H4" s="10"/>
    </row>
    <row r="5" spans="1:8" x14ac:dyDescent="0.3">
      <c r="A5" s="1">
        <v>40546</v>
      </c>
      <c r="B5" s="16">
        <v>61.31818181818182</v>
      </c>
      <c r="H5" s="10"/>
    </row>
    <row r="6" spans="1:8" x14ac:dyDescent="0.3">
      <c r="A6" s="1">
        <v>40547</v>
      </c>
      <c r="B6" s="16">
        <v>67.913043478260875</v>
      </c>
      <c r="H6" s="10"/>
    </row>
    <row r="7" spans="1:8" x14ac:dyDescent="0.3">
      <c r="A7" s="1">
        <v>40548</v>
      </c>
      <c r="B7" s="16">
        <v>69.565217391304344</v>
      </c>
      <c r="H7" s="10"/>
    </row>
    <row r="8" spans="1:8" x14ac:dyDescent="0.3">
      <c r="A8" s="1">
        <v>40549</v>
      </c>
      <c r="B8" s="16">
        <v>69.826086956521735</v>
      </c>
      <c r="H8" s="10"/>
    </row>
    <row r="9" spans="1:8" x14ac:dyDescent="0.3">
      <c r="A9" s="1">
        <v>40550</v>
      </c>
      <c r="B9" s="16">
        <v>65.652173913043484</v>
      </c>
      <c r="H9" s="10"/>
    </row>
    <row r="10" spans="1:8" x14ac:dyDescent="0.3">
      <c r="A10" s="1">
        <v>40551</v>
      </c>
      <c r="B10" s="16">
        <v>39.958333333333336</v>
      </c>
    </row>
    <row r="11" spans="1:8" x14ac:dyDescent="0.3">
      <c r="A11" s="1">
        <v>40552</v>
      </c>
      <c r="B11" s="16">
        <v>34.25</v>
      </c>
    </row>
    <row r="12" spans="1:8" x14ac:dyDescent="0.3">
      <c r="A12" s="1">
        <v>40553</v>
      </c>
      <c r="B12" s="16">
        <v>55.041666666666664</v>
      </c>
    </row>
    <row r="13" spans="1:8" x14ac:dyDescent="0.3">
      <c r="A13" s="1">
        <v>40554</v>
      </c>
      <c r="B13" s="16">
        <v>57.409090909090907</v>
      </c>
    </row>
    <row r="14" spans="1:8" x14ac:dyDescent="0.3">
      <c r="A14" s="1">
        <v>40555</v>
      </c>
      <c r="B14" s="16">
        <v>52.81818181818182</v>
      </c>
    </row>
    <row r="15" spans="1:8" x14ac:dyDescent="0.3">
      <c r="A15" s="1">
        <v>40556</v>
      </c>
      <c r="B15" s="16">
        <v>58.583333333333336</v>
      </c>
    </row>
    <row r="16" spans="1:8" x14ac:dyDescent="0.3">
      <c r="A16" s="1">
        <v>40557</v>
      </c>
      <c r="B16" s="16">
        <v>61.782608695652172</v>
      </c>
    </row>
    <row r="17" spans="1:19" x14ac:dyDescent="0.3">
      <c r="A17" s="1">
        <v>40558</v>
      </c>
      <c r="B17" s="16">
        <v>52</v>
      </c>
    </row>
    <row r="18" spans="1:19" x14ac:dyDescent="0.3">
      <c r="A18" s="1">
        <v>40559</v>
      </c>
      <c r="B18" s="16">
        <v>50.166666666666664</v>
      </c>
    </row>
    <row r="19" spans="1:19" x14ac:dyDescent="0.3">
      <c r="A19" s="1">
        <v>40560</v>
      </c>
      <c r="B19" s="16">
        <v>41.666666666666664</v>
      </c>
    </row>
    <row r="20" spans="1:19" x14ac:dyDescent="0.3">
      <c r="A20" s="1">
        <v>40561</v>
      </c>
      <c r="B20" s="16">
        <v>56.916666666666664</v>
      </c>
    </row>
    <row r="21" spans="1:19" x14ac:dyDescent="0.3">
      <c r="A21" s="1">
        <v>40562</v>
      </c>
      <c r="B21" s="16">
        <v>71.739130434782609</v>
      </c>
    </row>
    <row r="22" spans="1:19" x14ac:dyDescent="0.3">
      <c r="A22" s="1">
        <v>40563</v>
      </c>
      <c r="B22" s="16">
        <v>80.291666666666671</v>
      </c>
    </row>
    <row r="23" spans="1:19" x14ac:dyDescent="0.3">
      <c r="A23" s="1">
        <v>40564</v>
      </c>
      <c r="B23" s="16">
        <v>64.291666666666671</v>
      </c>
    </row>
    <row r="24" spans="1:19" x14ac:dyDescent="0.3">
      <c r="A24" s="1">
        <v>40565</v>
      </c>
      <c r="B24" s="16">
        <v>42.652173913043477</v>
      </c>
    </row>
    <row r="25" spans="1:19" x14ac:dyDescent="0.3">
      <c r="A25" s="1">
        <v>40566</v>
      </c>
      <c r="B25" s="16">
        <v>42.869565217391305</v>
      </c>
    </row>
    <row r="26" spans="1:19" x14ac:dyDescent="0.3">
      <c r="A26" s="1">
        <v>40567</v>
      </c>
      <c r="B26" s="16">
        <v>61.565217391304351</v>
      </c>
    </row>
    <row r="27" spans="1:19" x14ac:dyDescent="0.3">
      <c r="A27" s="1">
        <v>40568</v>
      </c>
      <c r="B27" s="16">
        <v>86.304347826086953</v>
      </c>
      <c r="G27" s="38" t="s">
        <v>155</v>
      </c>
      <c r="H27" s="38"/>
      <c r="I27" s="38"/>
      <c r="J27" s="38"/>
      <c r="K27" s="38"/>
      <c r="L27" s="38"/>
      <c r="M27" s="38"/>
      <c r="N27" s="38"/>
      <c r="O27" s="38"/>
      <c r="P27" s="38"/>
      <c r="Q27" s="38"/>
      <c r="R27" s="38"/>
      <c r="S27" s="38"/>
    </row>
    <row r="28" spans="1:19" x14ac:dyDescent="0.3">
      <c r="A28" s="1">
        <v>40569</v>
      </c>
      <c r="B28" s="16">
        <v>31.625</v>
      </c>
      <c r="G28" s="38"/>
      <c r="H28" s="38"/>
      <c r="I28" s="38"/>
      <c r="J28" s="38"/>
      <c r="K28" s="38"/>
      <c r="L28" s="38"/>
      <c r="M28" s="38"/>
      <c r="N28" s="38"/>
      <c r="O28" s="38"/>
      <c r="P28" s="38"/>
      <c r="Q28" s="38"/>
      <c r="R28" s="38"/>
      <c r="S28" s="38"/>
    </row>
    <row r="29" spans="1:19" x14ac:dyDescent="0.3">
      <c r="A29" s="1">
        <v>40570</v>
      </c>
      <c r="B29" s="16">
        <v>53.875</v>
      </c>
      <c r="G29" s="40" t="s">
        <v>165</v>
      </c>
      <c r="H29" s="40"/>
      <c r="I29" s="40"/>
      <c r="J29" s="40"/>
      <c r="K29" s="40"/>
      <c r="L29" s="40"/>
      <c r="M29" s="40"/>
      <c r="N29" s="40"/>
      <c r="O29" s="40"/>
      <c r="P29" s="40"/>
      <c r="Q29" s="40"/>
      <c r="R29" s="40"/>
      <c r="S29" s="40"/>
    </row>
    <row r="30" spans="1:19" x14ac:dyDescent="0.3">
      <c r="A30" s="1">
        <v>40571</v>
      </c>
      <c r="B30" s="16">
        <v>50.739130434782609</v>
      </c>
      <c r="G30" s="40"/>
      <c r="H30" s="40"/>
      <c r="I30" s="40"/>
      <c r="J30" s="40"/>
      <c r="K30" s="40"/>
      <c r="L30" s="40"/>
      <c r="M30" s="40"/>
      <c r="N30" s="40"/>
      <c r="O30" s="40"/>
      <c r="P30" s="40"/>
      <c r="Q30" s="40"/>
      <c r="R30" s="40"/>
      <c r="S30" s="40"/>
    </row>
    <row r="31" spans="1:19" x14ac:dyDescent="0.3">
      <c r="A31" s="1">
        <v>40572</v>
      </c>
      <c r="B31" s="16">
        <v>47.739130434782609</v>
      </c>
      <c r="G31" s="40"/>
      <c r="H31" s="40"/>
      <c r="I31" s="40"/>
      <c r="J31" s="40"/>
      <c r="K31" s="40"/>
      <c r="L31" s="40"/>
      <c r="M31" s="40"/>
      <c r="N31" s="40"/>
      <c r="O31" s="40"/>
      <c r="P31" s="40"/>
      <c r="Q31" s="40"/>
      <c r="R31" s="40"/>
      <c r="S31" s="40"/>
    </row>
    <row r="32" spans="1:19" x14ac:dyDescent="0.3">
      <c r="A32" s="1">
        <v>40573</v>
      </c>
      <c r="B32" s="16">
        <v>47.652173913043477</v>
      </c>
      <c r="G32" s="40"/>
      <c r="H32" s="40"/>
      <c r="I32" s="40"/>
      <c r="J32" s="40"/>
      <c r="K32" s="40"/>
      <c r="L32" s="40"/>
      <c r="M32" s="40"/>
      <c r="N32" s="40"/>
      <c r="O32" s="40"/>
      <c r="P32" s="40"/>
      <c r="Q32" s="40"/>
      <c r="R32" s="40"/>
      <c r="S32" s="40"/>
    </row>
    <row r="33" spans="1:19" x14ac:dyDescent="0.3">
      <c r="A33" s="1">
        <v>40574</v>
      </c>
      <c r="B33" s="16">
        <v>62.541666666666664</v>
      </c>
      <c r="G33" s="40"/>
      <c r="H33" s="40"/>
      <c r="I33" s="40"/>
      <c r="J33" s="40"/>
      <c r="K33" s="40"/>
      <c r="L33" s="40"/>
      <c r="M33" s="40"/>
      <c r="N33" s="40"/>
      <c r="O33" s="40"/>
      <c r="P33" s="40"/>
      <c r="Q33" s="40"/>
      <c r="R33" s="40"/>
      <c r="S33" s="40"/>
    </row>
    <row r="34" spans="1:19" x14ac:dyDescent="0.3">
      <c r="A34" s="1">
        <v>40575</v>
      </c>
      <c r="B34" s="16">
        <v>59.130434782608695</v>
      </c>
      <c r="G34" s="40"/>
      <c r="H34" s="40"/>
      <c r="I34" s="40"/>
      <c r="J34" s="40"/>
      <c r="K34" s="40"/>
      <c r="L34" s="40"/>
      <c r="M34" s="40"/>
      <c r="N34" s="40"/>
      <c r="O34" s="40"/>
      <c r="P34" s="40"/>
      <c r="Q34" s="40"/>
      <c r="R34" s="40"/>
      <c r="S34" s="40"/>
    </row>
    <row r="35" spans="1:19" x14ac:dyDescent="0.3">
      <c r="A35" s="1">
        <v>40576</v>
      </c>
      <c r="B35" s="16">
        <v>63.583333333333336</v>
      </c>
    </row>
    <row r="36" spans="1:19" x14ac:dyDescent="0.3">
      <c r="A36" s="1">
        <v>40577</v>
      </c>
      <c r="B36" s="16">
        <v>67.391304347826093</v>
      </c>
    </row>
    <row r="37" spans="1:19" x14ac:dyDescent="0.3">
      <c r="A37" s="1">
        <v>40578</v>
      </c>
      <c r="B37" s="16">
        <v>74.260869565217391</v>
      </c>
    </row>
    <row r="38" spans="1:19" x14ac:dyDescent="0.3">
      <c r="A38" s="1">
        <v>40579</v>
      </c>
      <c r="B38" s="16">
        <v>41.875</v>
      </c>
    </row>
    <row r="39" spans="1:19" x14ac:dyDescent="0.3">
      <c r="A39" s="1">
        <v>40580</v>
      </c>
      <c r="B39" s="16">
        <v>67.625</v>
      </c>
    </row>
    <row r="40" spans="1:19" x14ac:dyDescent="0.3">
      <c r="A40" s="1">
        <v>40581</v>
      </c>
      <c r="B40" s="16">
        <v>71.333333333333329</v>
      </c>
    </row>
    <row r="41" spans="1:19" x14ac:dyDescent="0.3">
      <c r="A41" s="1">
        <v>40582</v>
      </c>
      <c r="B41" s="16">
        <v>63.75</v>
      </c>
    </row>
    <row r="42" spans="1:19" x14ac:dyDescent="0.3">
      <c r="A42" s="1">
        <v>40583</v>
      </c>
      <c r="B42" s="16">
        <v>69.782608695652172</v>
      </c>
    </row>
    <row r="43" spans="1:19" x14ac:dyDescent="0.3">
      <c r="A43" s="1">
        <v>40584</v>
      </c>
      <c r="B43" s="16">
        <v>66.869565217391298</v>
      </c>
    </row>
    <row r="44" spans="1:19" x14ac:dyDescent="0.3">
      <c r="A44" s="1">
        <v>40585</v>
      </c>
      <c r="B44" s="16">
        <v>79.36363636363636</v>
      </c>
    </row>
    <row r="45" spans="1:19" x14ac:dyDescent="0.3">
      <c r="A45" s="1">
        <v>40586</v>
      </c>
      <c r="B45" s="16">
        <v>61.333333333333336</v>
      </c>
    </row>
    <row r="46" spans="1:19" x14ac:dyDescent="0.3">
      <c r="A46" s="1">
        <v>40587</v>
      </c>
      <c r="B46" s="16">
        <v>69.086956521739125</v>
      </c>
    </row>
    <row r="47" spans="1:19" x14ac:dyDescent="0.3">
      <c r="A47" s="1">
        <v>40588</v>
      </c>
      <c r="B47" s="16">
        <v>18.875</v>
      </c>
      <c r="C47">
        <v>18.875</v>
      </c>
      <c r="D47" s="9">
        <v>18.875</v>
      </c>
      <c r="E47" s="9">
        <v>18.875</v>
      </c>
    </row>
    <row r="48" spans="1:19" x14ac:dyDescent="0.3">
      <c r="A48" s="1">
        <v>40589</v>
      </c>
      <c r="C48">
        <f t="shared" ref="C48:C59" si="0">_xlfn.FORECAST.ETS(A48,$B$3:$B$47,$A$3:$A$47,1,1)</f>
        <v>61.270134143024279</v>
      </c>
      <c r="D48" s="9">
        <f t="shared" ref="D48:D59" si="1">C48-_xlfn.FORECAST.ETS.CONFINT(A48,$B$3:$B$47,$A$3:$A$47,0.95,1,1)</f>
        <v>31.858655883675784</v>
      </c>
      <c r="E48" s="9">
        <f t="shared" ref="E48:E59" si="2">C48+_xlfn.FORECAST.ETS.CONFINT(A48,$B$3:$B$47,$A$3:$A$47,0.95,1,1)</f>
        <v>90.681612402372778</v>
      </c>
    </row>
    <row r="49" spans="1:5" x14ac:dyDescent="0.3">
      <c r="A49" s="1">
        <v>40590</v>
      </c>
      <c r="C49">
        <f t="shared" si="0"/>
        <v>61.525827765725516</v>
      </c>
      <c r="D49" s="9">
        <f t="shared" si="1"/>
        <v>31.878109408718345</v>
      </c>
      <c r="E49" s="9">
        <f t="shared" si="2"/>
        <v>91.173546122732688</v>
      </c>
    </row>
    <row r="50" spans="1:5" x14ac:dyDescent="0.3">
      <c r="A50" s="1">
        <v>40591</v>
      </c>
      <c r="C50">
        <f t="shared" si="0"/>
        <v>61.781521388426746</v>
      </c>
      <c r="D50" s="9">
        <f t="shared" si="1"/>
        <v>31.895739851191895</v>
      </c>
      <c r="E50" s="9">
        <f t="shared" si="2"/>
        <v>91.667302925661602</v>
      </c>
    </row>
    <row r="51" spans="1:5" x14ac:dyDescent="0.3">
      <c r="A51" s="1">
        <v>40592</v>
      </c>
      <c r="C51">
        <f t="shared" si="0"/>
        <v>62.037215011127984</v>
      </c>
      <c r="D51" s="9">
        <f t="shared" si="1"/>
        <v>31.911561716718598</v>
      </c>
      <c r="E51" s="9">
        <f t="shared" si="2"/>
        <v>92.162868305537373</v>
      </c>
    </row>
    <row r="52" spans="1:5" x14ac:dyDescent="0.3">
      <c r="A52" s="1">
        <v>40593</v>
      </c>
      <c r="C52">
        <f t="shared" si="0"/>
        <v>62.292908633829221</v>
      </c>
      <c r="D52" s="9">
        <f t="shared" si="1"/>
        <v>31.925589377473688</v>
      </c>
      <c r="E52" s="9">
        <f t="shared" si="2"/>
        <v>92.660227890184757</v>
      </c>
    </row>
    <row r="53" spans="1:5" x14ac:dyDescent="0.3">
      <c r="A53" s="1">
        <v>40594</v>
      </c>
      <c r="C53">
        <f t="shared" si="0"/>
        <v>62.548602256530458</v>
      </c>
      <c r="D53" s="9">
        <f t="shared" si="1"/>
        <v>31.937837068955986</v>
      </c>
      <c r="E53" s="9">
        <f t="shared" si="2"/>
        <v>93.15936744410493</v>
      </c>
    </row>
    <row r="54" spans="1:5" x14ac:dyDescent="0.3">
      <c r="A54" s="1">
        <v>40595</v>
      </c>
      <c r="C54">
        <f t="shared" si="0"/>
        <v>62.804295879231688</v>
      </c>
      <c r="D54" s="9">
        <f t="shared" si="1"/>
        <v>31.948318887095059</v>
      </c>
      <c r="E54" s="9">
        <f t="shared" si="2"/>
        <v>93.660272871368321</v>
      </c>
    </row>
    <row r="55" spans="1:5" x14ac:dyDescent="0.3">
      <c r="A55" s="1">
        <v>40596</v>
      </c>
      <c r="C55">
        <f t="shared" si="0"/>
        <v>63.059989501932925</v>
      </c>
      <c r="D55" s="9">
        <f t="shared" si="1"/>
        <v>31.95704878567814</v>
      </c>
      <c r="E55" s="9">
        <f t="shared" si="2"/>
        <v>94.162930218187711</v>
      </c>
    </row>
    <row r="56" spans="1:5" x14ac:dyDescent="0.3">
      <c r="A56" s="1">
        <v>40597</v>
      </c>
      <c r="C56">
        <f t="shared" si="0"/>
        <v>63.315683124634162</v>
      </c>
      <c r="D56" s="9">
        <f t="shared" si="1"/>
        <v>31.964040574080091</v>
      </c>
      <c r="E56" s="9">
        <f t="shared" si="2"/>
        <v>94.667325675188238</v>
      </c>
    </row>
    <row r="57" spans="1:5" x14ac:dyDescent="0.3">
      <c r="A57" s="1">
        <v>40598</v>
      </c>
      <c r="C57">
        <f t="shared" si="0"/>
        <v>63.5713767473354</v>
      </c>
      <c r="D57" s="9">
        <f t="shared" si="1"/>
        <v>31.969307915280588</v>
      </c>
      <c r="E57" s="9">
        <f t="shared" si="2"/>
        <v>95.173445579390204</v>
      </c>
    </row>
    <row r="58" spans="1:5" x14ac:dyDescent="0.3">
      <c r="A58" s="1">
        <v>40599</v>
      </c>
      <c r="C58">
        <f t="shared" si="0"/>
        <v>63.827070370036637</v>
      </c>
      <c r="D58" s="9">
        <f t="shared" si="1"/>
        <v>31.972864324152855</v>
      </c>
      <c r="E58" s="9">
        <f t="shared" si="2"/>
        <v>95.681276415920422</v>
      </c>
    </row>
    <row r="59" spans="1:5" x14ac:dyDescent="0.3">
      <c r="A59" s="1">
        <v>40600</v>
      </c>
      <c r="C59">
        <f t="shared" si="0"/>
        <v>64.082763992737867</v>
      </c>
      <c r="D59" s="9">
        <f t="shared" si="1"/>
        <v>31.974723166009028</v>
      </c>
      <c r="E59" s="9">
        <f t="shared" si="2"/>
        <v>96.190804819466706</v>
      </c>
    </row>
  </sheetData>
  <mergeCells count="3">
    <mergeCell ref="G29:S34"/>
    <mergeCell ref="A1:E1"/>
    <mergeCell ref="G27:S28"/>
  </mergeCells>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C735B-27DA-41D5-AE8B-20E66840DD26}">
  <dimension ref="A1:N47"/>
  <sheetViews>
    <sheetView workbookViewId="0">
      <selection activeCell="Q22" sqref="Q22"/>
    </sheetView>
  </sheetViews>
  <sheetFormatPr defaultRowHeight="14.4" x14ac:dyDescent="0.3"/>
  <cols>
    <col min="1" max="1" width="13.33203125" bestFit="1" customWidth="1"/>
    <col min="2" max="2" width="16.44140625" customWidth="1"/>
    <col min="3" max="3" width="15.77734375" customWidth="1"/>
    <col min="4" max="4" width="16.44140625" customWidth="1"/>
    <col min="5" max="5" width="17.44140625" customWidth="1"/>
    <col min="8" max="8" width="16.109375" bestFit="1" customWidth="1"/>
    <col min="9" max="9" width="12" bestFit="1" customWidth="1"/>
    <col min="11" max="11" width="14.21875" bestFit="1" customWidth="1"/>
    <col min="15" max="15" width="10.5546875" bestFit="1" customWidth="1"/>
  </cols>
  <sheetData>
    <row r="1" spans="1:12" x14ac:dyDescent="0.3">
      <c r="A1" s="17" t="s">
        <v>16</v>
      </c>
      <c r="B1" s="17" t="s">
        <v>164</v>
      </c>
      <c r="C1" s="17" t="s">
        <v>157</v>
      </c>
      <c r="D1" s="17" t="s">
        <v>158</v>
      </c>
      <c r="E1" s="17" t="s">
        <v>159</v>
      </c>
    </row>
    <row r="2" spans="1:12" x14ac:dyDescent="0.3">
      <c r="A2" s="18">
        <v>40544</v>
      </c>
      <c r="B2" s="21">
        <v>985</v>
      </c>
      <c r="C2" s="21" t="str">
        <f>IF(OR(B2&lt;$L$2, B2&gt;$L$3), "Anomaly", "Normal")</f>
        <v>Normal</v>
      </c>
      <c r="D2" s="21">
        <f>IF(C2="Normal", B2, NA())</f>
        <v>985</v>
      </c>
      <c r="E2" s="21" t="e">
        <f>IF(C2="Anomaly", B2,NA())</f>
        <v>#N/A</v>
      </c>
      <c r="H2" s="25" t="s">
        <v>160</v>
      </c>
      <c r="I2" s="24">
        <f>AVERAGE(B2:B46)</f>
        <v>1295.6444444444444</v>
      </c>
      <c r="K2" s="25" t="s">
        <v>162</v>
      </c>
      <c r="L2" s="24">
        <f>I2-(2*I3)</f>
        <v>510.34714630529618</v>
      </c>
    </row>
    <row r="3" spans="1:12" x14ac:dyDescent="0.3">
      <c r="A3" s="19">
        <v>40545</v>
      </c>
      <c r="B3" s="21">
        <v>801</v>
      </c>
      <c r="C3" s="21" t="str">
        <f t="shared" ref="C3:C46" si="0">IF(OR(B3&lt;$L$2, B3&gt;$L$3), "Anomaly", "Normal")</f>
        <v>Normal</v>
      </c>
      <c r="D3" s="21">
        <f t="shared" ref="D3:D46" si="1">IF(C3="Normal", B3, NA())</f>
        <v>801</v>
      </c>
      <c r="E3" s="21" t="e">
        <f t="shared" ref="E3:E46" si="2">IF(C3="Anomaly", B3,NA())</f>
        <v>#N/A</v>
      </c>
      <c r="H3" s="25" t="s">
        <v>144</v>
      </c>
      <c r="I3" s="23">
        <f>_xlfn.STDEV.S(B2:B46)</f>
        <v>392.64864906957411</v>
      </c>
      <c r="K3" s="25" t="s">
        <v>163</v>
      </c>
      <c r="L3" s="24">
        <f>I2+(2*I3)</f>
        <v>2080.9417425835927</v>
      </c>
    </row>
    <row r="4" spans="1:12" x14ac:dyDescent="0.3">
      <c r="A4" s="18">
        <v>40546</v>
      </c>
      <c r="B4" s="21">
        <v>1349</v>
      </c>
      <c r="C4" s="21" t="str">
        <f t="shared" si="0"/>
        <v>Normal</v>
      </c>
      <c r="D4" s="21">
        <f t="shared" si="1"/>
        <v>1349</v>
      </c>
      <c r="E4" s="21" t="e">
        <f t="shared" si="2"/>
        <v>#N/A</v>
      </c>
      <c r="H4" s="25" t="s">
        <v>161</v>
      </c>
      <c r="I4" s="23">
        <v>3</v>
      </c>
    </row>
    <row r="5" spans="1:12" x14ac:dyDescent="0.3">
      <c r="A5" s="19">
        <v>40547</v>
      </c>
      <c r="B5" s="21">
        <v>1562</v>
      </c>
      <c r="C5" s="21" t="str">
        <f t="shared" si="0"/>
        <v>Normal</v>
      </c>
      <c r="D5" s="21">
        <f t="shared" si="1"/>
        <v>1562</v>
      </c>
      <c r="E5" s="21" t="e">
        <f t="shared" si="2"/>
        <v>#N/A</v>
      </c>
    </row>
    <row r="6" spans="1:12" x14ac:dyDescent="0.3">
      <c r="A6" s="18">
        <v>40548</v>
      </c>
      <c r="B6" s="21">
        <v>1600</v>
      </c>
      <c r="C6" s="21" t="str">
        <f t="shared" si="0"/>
        <v>Normal</v>
      </c>
      <c r="D6" s="21">
        <f t="shared" si="1"/>
        <v>1600</v>
      </c>
      <c r="E6" s="21" t="e">
        <f t="shared" si="2"/>
        <v>#N/A</v>
      </c>
    </row>
    <row r="7" spans="1:12" x14ac:dyDescent="0.3">
      <c r="A7" s="19">
        <v>40549</v>
      </c>
      <c r="B7" s="21">
        <v>1606</v>
      </c>
      <c r="C7" s="21" t="str">
        <f t="shared" si="0"/>
        <v>Normal</v>
      </c>
      <c r="D7" s="21">
        <f t="shared" si="1"/>
        <v>1606</v>
      </c>
      <c r="E7" s="21" t="e">
        <f t="shared" si="2"/>
        <v>#N/A</v>
      </c>
    </row>
    <row r="8" spans="1:12" x14ac:dyDescent="0.3">
      <c r="A8" s="18">
        <v>40550</v>
      </c>
      <c r="B8" s="21">
        <v>1510</v>
      </c>
      <c r="C8" s="21" t="str">
        <f t="shared" si="0"/>
        <v>Normal</v>
      </c>
      <c r="D8" s="21">
        <f t="shared" si="1"/>
        <v>1510</v>
      </c>
      <c r="E8" s="21" t="e">
        <f t="shared" si="2"/>
        <v>#N/A</v>
      </c>
    </row>
    <row r="9" spans="1:12" x14ac:dyDescent="0.3">
      <c r="A9" s="19">
        <v>40551</v>
      </c>
      <c r="B9" s="21">
        <v>959</v>
      </c>
      <c r="C9" s="21" t="str">
        <f t="shared" si="0"/>
        <v>Normal</v>
      </c>
      <c r="D9" s="21">
        <f t="shared" si="1"/>
        <v>959</v>
      </c>
      <c r="E9" s="21" t="e">
        <f t="shared" si="2"/>
        <v>#N/A</v>
      </c>
    </row>
    <row r="10" spans="1:12" x14ac:dyDescent="0.3">
      <c r="A10" s="18">
        <v>40552</v>
      </c>
      <c r="B10" s="21">
        <v>822</v>
      </c>
      <c r="C10" s="21" t="str">
        <f t="shared" si="0"/>
        <v>Normal</v>
      </c>
      <c r="D10" s="21">
        <f t="shared" si="1"/>
        <v>822</v>
      </c>
      <c r="E10" s="21" t="e">
        <f t="shared" si="2"/>
        <v>#N/A</v>
      </c>
    </row>
    <row r="11" spans="1:12" x14ac:dyDescent="0.3">
      <c r="A11" s="19">
        <v>40553</v>
      </c>
      <c r="B11" s="21">
        <v>1321</v>
      </c>
      <c r="C11" s="21" t="str">
        <f t="shared" si="0"/>
        <v>Normal</v>
      </c>
      <c r="D11" s="21">
        <f t="shared" si="1"/>
        <v>1321</v>
      </c>
      <c r="E11" s="21" t="e">
        <f t="shared" si="2"/>
        <v>#N/A</v>
      </c>
    </row>
    <row r="12" spans="1:12" x14ac:dyDescent="0.3">
      <c r="A12" s="18">
        <v>40554</v>
      </c>
      <c r="B12" s="21">
        <v>1263</v>
      </c>
      <c r="C12" s="21" t="str">
        <f t="shared" si="0"/>
        <v>Normal</v>
      </c>
      <c r="D12" s="21">
        <f t="shared" si="1"/>
        <v>1263</v>
      </c>
      <c r="E12" s="21" t="e">
        <f t="shared" si="2"/>
        <v>#N/A</v>
      </c>
    </row>
    <row r="13" spans="1:12" x14ac:dyDescent="0.3">
      <c r="A13" s="19">
        <v>40555</v>
      </c>
      <c r="B13" s="21">
        <v>1162</v>
      </c>
      <c r="C13" s="21" t="str">
        <f t="shared" si="0"/>
        <v>Normal</v>
      </c>
      <c r="D13" s="21">
        <f t="shared" si="1"/>
        <v>1162</v>
      </c>
      <c r="E13" s="21" t="e">
        <f t="shared" si="2"/>
        <v>#N/A</v>
      </c>
    </row>
    <row r="14" spans="1:12" x14ac:dyDescent="0.3">
      <c r="A14" s="18">
        <v>40556</v>
      </c>
      <c r="B14" s="21">
        <v>1406</v>
      </c>
      <c r="C14" s="21" t="str">
        <f t="shared" si="0"/>
        <v>Normal</v>
      </c>
      <c r="D14" s="21">
        <f t="shared" si="1"/>
        <v>1406</v>
      </c>
      <c r="E14" s="21" t="e">
        <f t="shared" si="2"/>
        <v>#N/A</v>
      </c>
    </row>
    <row r="15" spans="1:12" x14ac:dyDescent="0.3">
      <c r="A15" s="19">
        <v>40557</v>
      </c>
      <c r="B15" s="21">
        <v>1421</v>
      </c>
      <c r="C15" s="21" t="str">
        <f t="shared" si="0"/>
        <v>Normal</v>
      </c>
      <c r="D15" s="21">
        <f t="shared" si="1"/>
        <v>1421</v>
      </c>
      <c r="E15" s="21" t="e">
        <f t="shared" si="2"/>
        <v>#N/A</v>
      </c>
    </row>
    <row r="16" spans="1:12" x14ac:dyDescent="0.3">
      <c r="A16" s="18">
        <v>40558</v>
      </c>
      <c r="B16" s="21">
        <v>1248</v>
      </c>
      <c r="C16" s="21" t="str">
        <f t="shared" si="0"/>
        <v>Normal</v>
      </c>
      <c r="D16" s="21">
        <f t="shared" si="1"/>
        <v>1248</v>
      </c>
      <c r="E16" s="21" t="e">
        <f t="shared" si="2"/>
        <v>#N/A</v>
      </c>
    </row>
    <row r="17" spans="1:14" x14ac:dyDescent="0.3">
      <c r="A17" s="19">
        <v>40559</v>
      </c>
      <c r="B17" s="21">
        <v>1204</v>
      </c>
      <c r="C17" s="21" t="str">
        <f t="shared" si="0"/>
        <v>Normal</v>
      </c>
      <c r="D17" s="21">
        <f t="shared" si="1"/>
        <v>1204</v>
      </c>
      <c r="E17" s="21" t="e">
        <f t="shared" si="2"/>
        <v>#N/A</v>
      </c>
    </row>
    <row r="18" spans="1:14" x14ac:dyDescent="0.3">
      <c r="A18" s="18">
        <v>40560</v>
      </c>
      <c r="B18" s="21">
        <v>1000</v>
      </c>
      <c r="C18" s="21" t="str">
        <f t="shared" si="0"/>
        <v>Normal</v>
      </c>
      <c r="D18" s="21">
        <f t="shared" si="1"/>
        <v>1000</v>
      </c>
      <c r="E18" s="21" t="e">
        <f t="shared" si="2"/>
        <v>#N/A</v>
      </c>
    </row>
    <row r="19" spans="1:14" x14ac:dyDescent="0.3">
      <c r="A19" s="19">
        <v>40561</v>
      </c>
      <c r="B19" s="21">
        <v>683</v>
      </c>
      <c r="C19" s="21" t="str">
        <f t="shared" si="0"/>
        <v>Normal</v>
      </c>
      <c r="D19" s="21">
        <f t="shared" si="1"/>
        <v>683</v>
      </c>
      <c r="E19" s="21" t="e">
        <f t="shared" si="2"/>
        <v>#N/A</v>
      </c>
    </row>
    <row r="20" spans="1:14" x14ac:dyDescent="0.3">
      <c r="A20" s="18">
        <v>40562</v>
      </c>
      <c r="B20" s="21">
        <v>1650</v>
      </c>
      <c r="C20" s="21" t="str">
        <f t="shared" si="0"/>
        <v>Normal</v>
      </c>
      <c r="D20" s="21">
        <f t="shared" si="1"/>
        <v>1650</v>
      </c>
      <c r="E20" s="21" t="e">
        <f t="shared" si="2"/>
        <v>#N/A</v>
      </c>
    </row>
    <row r="21" spans="1:14" x14ac:dyDescent="0.3">
      <c r="A21" s="19">
        <v>40563</v>
      </c>
      <c r="B21" s="21">
        <v>1927</v>
      </c>
      <c r="C21" s="21" t="str">
        <f t="shared" si="0"/>
        <v>Normal</v>
      </c>
      <c r="D21" s="21">
        <f t="shared" si="1"/>
        <v>1927</v>
      </c>
      <c r="E21" s="21" t="e">
        <f t="shared" si="2"/>
        <v>#N/A</v>
      </c>
    </row>
    <row r="22" spans="1:14" x14ac:dyDescent="0.3">
      <c r="A22" s="18">
        <v>40564</v>
      </c>
      <c r="B22" s="21">
        <v>1543</v>
      </c>
      <c r="C22" s="21" t="str">
        <f t="shared" si="0"/>
        <v>Normal</v>
      </c>
      <c r="D22" s="21">
        <f t="shared" si="1"/>
        <v>1543</v>
      </c>
      <c r="E22" s="21" t="e">
        <f t="shared" si="2"/>
        <v>#N/A</v>
      </c>
    </row>
    <row r="23" spans="1:14" x14ac:dyDescent="0.3">
      <c r="A23" s="19">
        <v>40565</v>
      </c>
      <c r="B23" s="21">
        <v>981</v>
      </c>
      <c r="C23" s="21" t="str">
        <f t="shared" si="0"/>
        <v>Normal</v>
      </c>
      <c r="D23" s="21">
        <f t="shared" si="1"/>
        <v>981</v>
      </c>
      <c r="E23" s="21" t="e">
        <f t="shared" si="2"/>
        <v>#N/A</v>
      </c>
    </row>
    <row r="24" spans="1:14" x14ac:dyDescent="0.3">
      <c r="A24" s="18">
        <v>40566</v>
      </c>
      <c r="B24" s="21">
        <v>986</v>
      </c>
      <c r="C24" s="21" t="str">
        <f t="shared" si="0"/>
        <v>Normal</v>
      </c>
      <c r="D24" s="21">
        <f t="shared" si="1"/>
        <v>986</v>
      </c>
      <c r="E24" s="21" t="e">
        <f t="shared" si="2"/>
        <v>#N/A</v>
      </c>
      <c r="G24" s="40" t="s">
        <v>166</v>
      </c>
      <c r="H24" s="40"/>
      <c r="I24" s="40"/>
      <c r="J24" s="40"/>
      <c r="K24" s="40"/>
      <c r="L24" s="40"/>
      <c r="M24" s="40"/>
      <c r="N24" s="40"/>
    </row>
    <row r="25" spans="1:14" x14ac:dyDescent="0.3">
      <c r="A25" s="19">
        <v>40567</v>
      </c>
      <c r="B25" s="21">
        <v>1416</v>
      </c>
      <c r="C25" s="21" t="str">
        <f t="shared" si="0"/>
        <v>Normal</v>
      </c>
      <c r="D25" s="21">
        <f t="shared" si="1"/>
        <v>1416</v>
      </c>
      <c r="E25" s="21" t="e">
        <f t="shared" si="2"/>
        <v>#N/A</v>
      </c>
      <c r="G25" s="40"/>
      <c r="H25" s="40"/>
      <c r="I25" s="40"/>
      <c r="J25" s="40"/>
      <c r="K25" s="40"/>
      <c r="L25" s="40"/>
      <c r="M25" s="40"/>
      <c r="N25" s="40"/>
    </row>
    <row r="26" spans="1:14" x14ac:dyDescent="0.3">
      <c r="A26" s="18">
        <v>40568</v>
      </c>
      <c r="B26" s="21">
        <v>1985</v>
      </c>
      <c r="C26" s="21" t="str">
        <f t="shared" si="0"/>
        <v>Normal</v>
      </c>
      <c r="D26" s="21">
        <f t="shared" si="1"/>
        <v>1985</v>
      </c>
      <c r="E26" s="21" t="e">
        <f t="shared" si="2"/>
        <v>#N/A</v>
      </c>
      <c r="G26" s="40"/>
      <c r="H26" s="40"/>
      <c r="I26" s="40"/>
      <c r="J26" s="40"/>
      <c r="K26" s="40"/>
      <c r="L26" s="40"/>
      <c r="M26" s="40"/>
      <c r="N26" s="40"/>
    </row>
    <row r="27" spans="1:14" x14ac:dyDescent="0.3">
      <c r="A27" s="19">
        <v>40569</v>
      </c>
      <c r="B27" s="21">
        <v>506</v>
      </c>
      <c r="C27" s="22" t="str">
        <f t="shared" si="0"/>
        <v>Anomaly</v>
      </c>
      <c r="D27" s="21" t="e">
        <f t="shared" si="1"/>
        <v>#N/A</v>
      </c>
      <c r="E27" s="22">
        <f t="shared" si="2"/>
        <v>506</v>
      </c>
      <c r="G27" s="40"/>
      <c r="H27" s="40"/>
      <c r="I27" s="40"/>
      <c r="J27" s="40"/>
      <c r="K27" s="40"/>
      <c r="L27" s="40"/>
      <c r="M27" s="40"/>
      <c r="N27" s="40"/>
    </row>
    <row r="28" spans="1:14" x14ac:dyDescent="0.3">
      <c r="A28" s="18">
        <v>40570</v>
      </c>
      <c r="B28" s="21">
        <v>431</v>
      </c>
      <c r="C28" s="22" t="str">
        <f t="shared" si="0"/>
        <v>Anomaly</v>
      </c>
      <c r="D28" s="21" t="e">
        <f t="shared" si="1"/>
        <v>#N/A</v>
      </c>
      <c r="E28" s="22">
        <f t="shared" si="2"/>
        <v>431</v>
      </c>
      <c r="G28" s="40"/>
      <c r="H28" s="40"/>
      <c r="I28" s="40"/>
      <c r="J28" s="40"/>
      <c r="K28" s="40"/>
      <c r="L28" s="40"/>
      <c r="M28" s="40"/>
      <c r="N28" s="40"/>
    </row>
    <row r="29" spans="1:14" x14ac:dyDescent="0.3">
      <c r="A29" s="19">
        <v>40571</v>
      </c>
      <c r="B29" s="21">
        <v>1167</v>
      </c>
      <c r="C29" s="21" t="str">
        <f t="shared" si="0"/>
        <v>Normal</v>
      </c>
      <c r="D29" s="21">
        <f t="shared" si="1"/>
        <v>1167</v>
      </c>
      <c r="E29" s="21" t="e">
        <f t="shared" si="2"/>
        <v>#N/A</v>
      </c>
    </row>
    <row r="30" spans="1:14" x14ac:dyDescent="0.3">
      <c r="A30" s="18">
        <v>40572</v>
      </c>
      <c r="B30" s="21">
        <v>1098</v>
      </c>
      <c r="C30" s="21" t="str">
        <f t="shared" si="0"/>
        <v>Normal</v>
      </c>
      <c r="D30" s="21">
        <f t="shared" si="1"/>
        <v>1098</v>
      </c>
      <c r="E30" s="21" t="e">
        <f t="shared" si="2"/>
        <v>#N/A</v>
      </c>
    </row>
    <row r="31" spans="1:14" x14ac:dyDescent="0.3">
      <c r="A31" s="19">
        <v>40573</v>
      </c>
      <c r="B31" s="21">
        <v>1096</v>
      </c>
      <c r="C31" s="21" t="str">
        <f t="shared" si="0"/>
        <v>Normal</v>
      </c>
      <c r="D31" s="21">
        <f t="shared" si="1"/>
        <v>1096</v>
      </c>
      <c r="E31" s="21" t="e">
        <f t="shared" si="2"/>
        <v>#N/A</v>
      </c>
    </row>
    <row r="32" spans="1:14" x14ac:dyDescent="0.3">
      <c r="A32" s="18">
        <v>40574</v>
      </c>
      <c r="B32" s="21">
        <v>1501</v>
      </c>
      <c r="C32" s="21" t="str">
        <f t="shared" si="0"/>
        <v>Normal</v>
      </c>
      <c r="D32" s="21">
        <f t="shared" si="1"/>
        <v>1501</v>
      </c>
      <c r="E32" s="21" t="e">
        <f t="shared" si="2"/>
        <v>#N/A</v>
      </c>
    </row>
    <row r="33" spans="1:5" x14ac:dyDescent="0.3">
      <c r="A33" s="19">
        <v>40575</v>
      </c>
      <c r="B33" s="21">
        <v>1360</v>
      </c>
      <c r="C33" s="21" t="str">
        <f t="shared" si="0"/>
        <v>Normal</v>
      </c>
      <c r="D33" s="21">
        <f t="shared" si="1"/>
        <v>1360</v>
      </c>
      <c r="E33" s="21" t="e">
        <f t="shared" si="2"/>
        <v>#N/A</v>
      </c>
    </row>
    <row r="34" spans="1:5" x14ac:dyDescent="0.3">
      <c r="A34" s="18">
        <v>40576</v>
      </c>
      <c r="B34" s="21">
        <v>1526</v>
      </c>
      <c r="C34" s="21" t="str">
        <f t="shared" si="0"/>
        <v>Normal</v>
      </c>
      <c r="D34" s="21">
        <f t="shared" si="1"/>
        <v>1526</v>
      </c>
      <c r="E34" s="21" t="e">
        <f t="shared" si="2"/>
        <v>#N/A</v>
      </c>
    </row>
    <row r="35" spans="1:5" x14ac:dyDescent="0.3">
      <c r="A35" s="19">
        <v>40577</v>
      </c>
      <c r="B35" s="21">
        <v>1550</v>
      </c>
      <c r="C35" s="21" t="str">
        <f t="shared" si="0"/>
        <v>Normal</v>
      </c>
      <c r="D35" s="21">
        <f t="shared" si="1"/>
        <v>1550</v>
      </c>
      <c r="E35" s="21" t="e">
        <f t="shared" si="2"/>
        <v>#N/A</v>
      </c>
    </row>
    <row r="36" spans="1:5" x14ac:dyDescent="0.3">
      <c r="A36" s="18">
        <v>40578</v>
      </c>
      <c r="B36" s="21">
        <v>1708</v>
      </c>
      <c r="C36" s="21" t="str">
        <f t="shared" si="0"/>
        <v>Normal</v>
      </c>
      <c r="D36" s="21">
        <f t="shared" si="1"/>
        <v>1708</v>
      </c>
      <c r="E36" s="21" t="e">
        <f t="shared" si="2"/>
        <v>#N/A</v>
      </c>
    </row>
    <row r="37" spans="1:5" x14ac:dyDescent="0.3">
      <c r="A37" s="19">
        <v>40579</v>
      </c>
      <c r="B37" s="21">
        <v>1005</v>
      </c>
      <c r="C37" s="21" t="str">
        <f t="shared" si="0"/>
        <v>Normal</v>
      </c>
      <c r="D37" s="21">
        <f t="shared" si="1"/>
        <v>1005</v>
      </c>
      <c r="E37" s="21" t="e">
        <f t="shared" si="2"/>
        <v>#N/A</v>
      </c>
    </row>
    <row r="38" spans="1:5" x14ac:dyDescent="0.3">
      <c r="A38" s="18">
        <v>40580</v>
      </c>
      <c r="B38" s="21">
        <v>1623</v>
      </c>
      <c r="C38" s="21" t="str">
        <f t="shared" si="0"/>
        <v>Normal</v>
      </c>
      <c r="D38" s="21">
        <f t="shared" si="1"/>
        <v>1623</v>
      </c>
      <c r="E38" s="21" t="e">
        <f t="shared" si="2"/>
        <v>#N/A</v>
      </c>
    </row>
    <row r="39" spans="1:5" x14ac:dyDescent="0.3">
      <c r="A39" s="19">
        <v>40581</v>
      </c>
      <c r="B39" s="21">
        <v>1712</v>
      </c>
      <c r="C39" s="21" t="str">
        <f t="shared" si="0"/>
        <v>Normal</v>
      </c>
      <c r="D39" s="21">
        <f t="shared" si="1"/>
        <v>1712</v>
      </c>
      <c r="E39" s="21" t="e">
        <f t="shared" si="2"/>
        <v>#N/A</v>
      </c>
    </row>
    <row r="40" spans="1:5" x14ac:dyDescent="0.3">
      <c r="A40" s="18">
        <v>40582</v>
      </c>
      <c r="B40" s="21">
        <v>1530</v>
      </c>
      <c r="C40" s="21" t="str">
        <f t="shared" si="0"/>
        <v>Normal</v>
      </c>
      <c r="D40" s="21">
        <f t="shared" si="1"/>
        <v>1530</v>
      </c>
      <c r="E40" s="21" t="e">
        <f t="shared" si="2"/>
        <v>#N/A</v>
      </c>
    </row>
    <row r="41" spans="1:5" x14ac:dyDescent="0.3">
      <c r="A41" s="19">
        <v>40583</v>
      </c>
      <c r="B41" s="21">
        <v>1605</v>
      </c>
      <c r="C41" s="21" t="str">
        <f t="shared" si="0"/>
        <v>Normal</v>
      </c>
      <c r="D41" s="21">
        <f t="shared" si="1"/>
        <v>1605</v>
      </c>
      <c r="E41" s="21" t="e">
        <f t="shared" si="2"/>
        <v>#N/A</v>
      </c>
    </row>
    <row r="42" spans="1:5" x14ac:dyDescent="0.3">
      <c r="A42" s="18">
        <v>40584</v>
      </c>
      <c r="B42" s="21">
        <v>1538</v>
      </c>
      <c r="C42" s="21" t="str">
        <f t="shared" si="0"/>
        <v>Normal</v>
      </c>
      <c r="D42" s="21">
        <f t="shared" si="1"/>
        <v>1538</v>
      </c>
      <c r="E42" s="21" t="e">
        <f t="shared" si="2"/>
        <v>#N/A</v>
      </c>
    </row>
    <row r="43" spans="1:5" x14ac:dyDescent="0.3">
      <c r="A43" s="19">
        <v>40585</v>
      </c>
      <c r="B43" s="21">
        <v>1746</v>
      </c>
      <c r="C43" s="21" t="str">
        <f t="shared" si="0"/>
        <v>Normal</v>
      </c>
      <c r="D43" s="21">
        <f t="shared" si="1"/>
        <v>1746</v>
      </c>
      <c r="E43" s="21" t="e">
        <f t="shared" si="2"/>
        <v>#N/A</v>
      </c>
    </row>
    <row r="44" spans="1:5" x14ac:dyDescent="0.3">
      <c r="A44" s="18">
        <v>40586</v>
      </c>
      <c r="B44" s="21">
        <v>1472</v>
      </c>
      <c r="C44" s="21" t="str">
        <f t="shared" si="0"/>
        <v>Normal</v>
      </c>
      <c r="D44" s="21">
        <f t="shared" si="1"/>
        <v>1472</v>
      </c>
      <c r="E44" s="21" t="e">
        <f t="shared" si="2"/>
        <v>#N/A</v>
      </c>
    </row>
    <row r="45" spans="1:5" x14ac:dyDescent="0.3">
      <c r="A45" s="19">
        <v>40587</v>
      </c>
      <c r="B45" s="21">
        <v>1589</v>
      </c>
      <c r="C45" s="21" t="str">
        <f t="shared" si="0"/>
        <v>Normal</v>
      </c>
      <c r="D45" s="21">
        <f t="shared" si="1"/>
        <v>1589</v>
      </c>
      <c r="E45" s="21" t="e">
        <f t="shared" si="2"/>
        <v>#N/A</v>
      </c>
    </row>
    <row r="46" spans="1:5" x14ac:dyDescent="0.3">
      <c r="A46" s="18">
        <v>40588</v>
      </c>
      <c r="B46" s="21">
        <v>151</v>
      </c>
      <c r="C46" s="22" t="str">
        <f t="shared" si="0"/>
        <v>Anomaly</v>
      </c>
      <c r="D46" s="21" t="e">
        <f t="shared" si="1"/>
        <v>#N/A</v>
      </c>
      <c r="E46" s="22">
        <f t="shared" si="2"/>
        <v>151</v>
      </c>
    </row>
    <row r="47" spans="1:5" x14ac:dyDescent="0.3">
      <c r="A47" s="20" t="s">
        <v>65</v>
      </c>
      <c r="B47" s="21">
        <v>58304</v>
      </c>
      <c r="C47" s="21"/>
      <c r="D47" s="21"/>
      <c r="E47" s="21"/>
    </row>
  </sheetData>
  <mergeCells count="1">
    <mergeCell ref="G24:N28"/>
  </mergeCells>
  <pageMargins left="0.7" right="0.7" top="0.75" bottom="0.75" header="0.3" footer="0.3"/>
  <ignoredErrors>
    <ignoredError sqref="I2:I3" formulaRange="1"/>
  </ignoredErrors>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7D5E7-971C-4F41-BD91-FFC2AEDD22E6}">
  <dimension ref="A1:N27"/>
  <sheetViews>
    <sheetView workbookViewId="0">
      <selection activeCell="A27" sqref="A27"/>
    </sheetView>
  </sheetViews>
  <sheetFormatPr defaultRowHeight="14.4" x14ac:dyDescent="0.3"/>
  <cols>
    <col min="1" max="1" width="16.109375" bestFit="1" customWidth="1"/>
    <col min="2" max="2" width="12" bestFit="1" customWidth="1"/>
    <col min="3" max="3" width="16.109375" bestFit="1" customWidth="1"/>
    <col min="4" max="4" width="19.88671875" bestFit="1" customWidth="1"/>
    <col min="5" max="5" width="17" bestFit="1" customWidth="1"/>
    <col min="6" max="6" width="17.109375" bestFit="1" customWidth="1"/>
    <col min="7" max="7" width="20.33203125" bestFit="1" customWidth="1"/>
    <col min="8" max="8" width="12.6640625" bestFit="1" customWidth="1"/>
    <col min="9" max="9" width="17.109375" bestFit="1" customWidth="1"/>
    <col min="10" max="10" width="20.33203125" bestFit="1" customWidth="1"/>
    <col min="11" max="11" width="20" bestFit="1" customWidth="1"/>
    <col min="12" max="12" width="12" bestFit="1" customWidth="1"/>
    <col min="13" max="13" width="16.109375" bestFit="1" customWidth="1"/>
    <col min="14" max="14" width="12" bestFit="1" customWidth="1"/>
  </cols>
  <sheetData>
    <row r="1" spans="1:14" ht="15.6" x14ac:dyDescent="0.3">
      <c r="A1" s="41" t="s">
        <v>153</v>
      </c>
      <c r="B1" s="41"/>
      <c r="C1" s="41"/>
      <c r="D1" s="41"/>
      <c r="E1" s="41"/>
      <c r="F1" s="41"/>
      <c r="G1" s="41"/>
      <c r="H1" s="41"/>
      <c r="I1" s="41"/>
      <c r="J1" s="41"/>
      <c r="K1" s="41"/>
      <c r="L1" s="41"/>
      <c r="M1" s="41"/>
      <c r="N1" s="41"/>
    </row>
    <row r="2" spans="1:14" x14ac:dyDescent="0.3">
      <c r="A2" s="11" t="s">
        <v>20</v>
      </c>
      <c r="B2" s="11"/>
      <c r="C2" s="11" t="s">
        <v>34</v>
      </c>
      <c r="D2" s="11"/>
      <c r="E2" s="11" t="s">
        <v>21</v>
      </c>
      <c r="F2" s="11"/>
      <c r="G2" s="11" t="s">
        <v>22</v>
      </c>
      <c r="H2" s="11"/>
      <c r="I2" s="11" t="s">
        <v>36</v>
      </c>
      <c r="J2" s="11"/>
      <c r="K2" s="11" t="s">
        <v>35</v>
      </c>
      <c r="L2" s="11"/>
      <c r="M2" s="11" t="s">
        <v>42</v>
      </c>
      <c r="N2" s="15"/>
    </row>
    <row r="3" spans="1:14" x14ac:dyDescent="0.3">
      <c r="A3" s="5"/>
      <c r="B3" s="5"/>
      <c r="C3" s="5"/>
      <c r="D3" s="5"/>
      <c r="E3" s="5"/>
      <c r="F3" s="5"/>
      <c r="G3" s="5"/>
      <c r="H3" s="5"/>
      <c r="I3" s="5"/>
      <c r="J3" s="5"/>
      <c r="K3" s="5"/>
      <c r="L3" s="5"/>
      <c r="M3" s="5"/>
      <c r="N3" s="5"/>
    </row>
    <row r="4" spans="1:14" x14ac:dyDescent="0.3">
      <c r="A4" s="12" t="s">
        <v>140</v>
      </c>
      <c r="B4" s="12">
        <v>0.20589999999999961</v>
      </c>
      <c r="C4" s="12" t="s">
        <v>140</v>
      </c>
      <c r="D4" s="12">
        <v>0.20962630000000054</v>
      </c>
      <c r="E4" s="12" t="s">
        <v>140</v>
      </c>
      <c r="F4" s="12">
        <v>0.58248000000000033</v>
      </c>
      <c r="G4" s="12" t="s">
        <v>140</v>
      </c>
      <c r="H4" s="12">
        <v>0.19493129999999903</v>
      </c>
      <c r="I4" s="12" t="s">
        <v>140</v>
      </c>
      <c r="J4" s="12">
        <v>4.9210000000000003</v>
      </c>
      <c r="K4" s="12" t="s">
        <v>140</v>
      </c>
      <c r="L4" s="12">
        <v>53.383000000000003</v>
      </c>
      <c r="M4" s="12" t="s">
        <v>140</v>
      </c>
      <c r="N4" s="12">
        <v>58.304000000000002</v>
      </c>
    </row>
    <row r="5" spans="1:14" x14ac:dyDescent="0.3">
      <c r="A5" s="12" t="s">
        <v>141</v>
      </c>
      <c r="B5" s="12">
        <v>2.4974842196553806E-3</v>
      </c>
      <c r="C5" s="12" t="s">
        <v>141</v>
      </c>
      <c r="D5" s="12">
        <v>2.5115320367220654E-3</v>
      </c>
      <c r="E5" s="12" t="s">
        <v>141</v>
      </c>
      <c r="F5" s="12">
        <v>5.9443574072378961E-3</v>
      </c>
      <c r="G5" s="12" t="s">
        <v>141</v>
      </c>
      <c r="H5" s="12">
        <v>4.0833247472252168E-3</v>
      </c>
      <c r="I5" s="12" t="s">
        <v>141</v>
      </c>
      <c r="J5" s="12">
        <v>0.24172130271903672</v>
      </c>
      <c r="K5" s="12" t="s">
        <v>141</v>
      </c>
      <c r="L5" s="12">
        <v>1.51454024150669</v>
      </c>
      <c r="M5" s="12" t="s">
        <v>141</v>
      </c>
      <c r="N5" s="12">
        <v>1.612304906371965</v>
      </c>
    </row>
    <row r="6" spans="1:14" x14ac:dyDescent="0.3">
      <c r="A6" s="12" t="s">
        <v>142</v>
      </c>
      <c r="B6" s="12">
        <v>0.2</v>
      </c>
      <c r="C6" s="12" t="s">
        <v>142</v>
      </c>
      <c r="D6" s="12">
        <v>0.21210000000000001</v>
      </c>
      <c r="E6" s="12" t="s">
        <v>142</v>
      </c>
      <c r="F6" s="12">
        <v>0.55000000000000004</v>
      </c>
      <c r="G6" s="12" t="s">
        <v>142</v>
      </c>
      <c r="H6" s="12">
        <v>0.16420000000000001</v>
      </c>
      <c r="I6" s="12" t="s">
        <v>142</v>
      </c>
      <c r="J6" s="12">
        <v>3</v>
      </c>
      <c r="K6" s="12" t="s">
        <v>142</v>
      </c>
      <c r="L6" s="12">
        <v>46</v>
      </c>
      <c r="M6" s="12" t="s">
        <v>142</v>
      </c>
      <c r="N6" s="12">
        <v>49</v>
      </c>
    </row>
    <row r="7" spans="1:14" x14ac:dyDescent="0.3">
      <c r="A7" s="12" t="s">
        <v>143</v>
      </c>
      <c r="B7" s="12">
        <v>0.22</v>
      </c>
      <c r="C7" s="12" t="s">
        <v>143</v>
      </c>
      <c r="D7" s="12">
        <v>0.2273</v>
      </c>
      <c r="E7" s="12" t="s">
        <v>143</v>
      </c>
      <c r="F7" s="12">
        <v>0.93</v>
      </c>
      <c r="G7" s="12" t="s">
        <v>143</v>
      </c>
      <c r="H7" s="12">
        <v>0</v>
      </c>
      <c r="I7" s="12" t="s">
        <v>143</v>
      </c>
      <c r="J7" s="12">
        <v>0</v>
      </c>
      <c r="K7" s="12" t="s">
        <v>143</v>
      </c>
      <c r="L7" s="12">
        <v>1</v>
      </c>
      <c r="M7" s="12" t="s">
        <v>143</v>
      </c>
      <c r="N7" s="12">
        <v>1</v>
      </c>
    </row>
    <row r="8" spans="1:14" x14ac:dyDescent="0.3">
      <c r="A8" s="12" t="s">
        <v>144</v>
      </c>
      <c r="B8" s="12">
        <v>7.8977385544392681E-2</v>
      </c>
      <c r="C8" s="12" t="s">
        <v>144</v>
      </c>
      <c r="D8" s="12">
        <v>7.9421616525233774E-2</v>
      </c>
      <c r="E8" s="12" t="s">
        <v>144</v>
      </c>
      <c r="F8" s="12">
        <v>0.18797708632964827</v>
      </c>
      <c r="G8" s="12" t="s">
        <v>144</v>
      </c>
      <c r="H8" s="12">
        <v>0.12912606627362996</v>
      </c>
      <c r="I8" s="12" t="s">
        <v>144</v>
      </c>
      <c r="J8" s="12">
        <v>7.6438987557520797</v>
      </c>
      <c r="K8" s="12" t="s">
        <v>144</v>
      </c>
      <c r="L8" s="12">
        <v>47.893967711426278</v>
      </c>
      <c r="M8" s="12" t="s">
        <v>144</v>
      </c>
      <c r="N8" s="12">
        <v>50.985557867999354</v>
      </c>
    </row>
    <row r="9" spans="1:14" x14ac:dyDescent="0.3">
      <c r="A9" s="12" t="s">
        <v>145</v>
      </c>
      <c r="B9" s="12">
        <v>6.2374274274276456E-3</v>
      </c>
      <c r="C9" s="12" t="s">
        <v>145</v>
      </c>
      <c r="D9" s="12">
        <v>6.3077931714812874E-3</v>
      </c>
      <c r="E9" s="12" t="s">
        <v>145</v>
      </c>
      <c r="F9" s="12">
        <v>3.5335384984984043E-2</v>
      </c>
      <c r="G9" s="12" t="s">
        <v>145</v>
      </c>
      <c r="H9" s="12">
        <v>1.6673540991301875E-2</v>
      </c>
      <c r="I9" s="12" t="s">
        <v>145</v>
      </c>
      <c r="J9" s="12">
        <v>58.429188188188185</v>
      </c>
      <c r="K9" s="12" t="s">
        <v>145</v>
      </c>
      <c r="L9" s="12">
        <v>2293.8321431431432</v>
      </c>
      <c r="M9" s="12" t="s">
        <v>145</v>
      </c>
      <c r="N9" s="12">
        <v>2599.527111111111</v>
      </c>
    </row>
    <row r="10" spans="1:14" x14ac:dyDescent="0.3">
      <c r="A10" s="12" t="s">
        <v>146</v>
      </c>
      <c r="B10" s="12">
        <v>0.77506113468998628</v>
      </c>
      <c r="C10" s="12" t="s">
        <v>146</v>
      </c>
      <c r="D10" s="12">
        <v>0.74429591128072969</v>
      </c>
      <c r="E10" s="12" t="s">
        <v>146</v>
      </c>
      <c r="F10" s="12">
        <v>-0.72312265429044098</v>
      </c>
      <c r="G10" s="12" t="s">
        <v>146</v>
      </c>
      <c r="H10" s="12">
        <v>-0.2098533612109148</v>
      </c>
      <c r="I10" s="12" t="s">
        <v>146</v>
      </c>
      <c r="J10" s="12">
        <v>15.097739783279556</v>
      </c>
      <c r="K10" s="12" t="s">
        <v>146</v>
      </c>
      <c r="L10" s="12">
        <v>1.6425062532387078</v>
      </c>
      <c r="M10" s="12" t="s">
        <v>146</v>
      </c>
      <c r="N10" s="12">
        <v>1.0266606324511431</v>
      </c>
    </row>
    <row r="11" spans="1:14" x14ac:dyDescent="0.3">
      <c r="A11" s="12" t="s">
        <v>147</v>
      </c>
      <c r="B11" s="12">
        <v>0.54799688242036793</v>
      </c>
      <c r="C11" s="12" t="s">
        <v>147</v>
      </c>
      <c r="D11" s="12">
        <v>0.26033939879935991</v>
      </c>
      <c r="E11" s="12" t="s">
        <v>147</v>
      </c>
      <c r="F11" s="12">
        <v>0.43689346451282174</v>
      </c>
      <c r="G11" s="12" t="s">
        <v>147</v>
      </c>
      <c r="H11" s="12">
        <v>0.43367506246880855</v>
      </c>
      <c r="I11" s="12" t="s">
        <v>147</v>
      </c>
      <c r="J11" s="12">
        <v>3.4141050413066441</v>
      </c>
      <c r="K11" s="12" t="s">
        <v>147</v>
      </c>
      <c r="L11" s="12">
        <v>1.296723304637722</v>
      </c>
      <c r="M11" s="12" t="s">
        <v>147</v>
      </c>
      <c r="N11" s="12">
        <v>1.1377091237001229</v>
      </c>
    </row>
    <row r="12" spans="1:14" x14ac:dyDescent="0.3">
      <c r="A12" s="12" t="s">
        <v>148</v>
      </c>
      <c r="B12" s="12">
        <v>0.44</v>
      </c>
      <c r="C12" s="12" t="s">
        <v>148</v>
      </c>
      <c r="D12" s="12">
        <v>0.45450000000000002</v>
      </c>
      <c r="E12" s="12" t="s">
        <v>148</v>
      </c>
      <c r="F12" s="12">
        <v>0.79</v>
      </c>
      <c r="G12" s="12" t="s">
        <v>148</v>
      </c>
      <c r="H12" s="12">
        <v>0.58209999999999995</v>
      </c>
      <c r="I12" s="12" t="s">
        <v>148</v>
      </c>
      <c r="J12" s="12">
        <v>62</v>
      </c>
      <c r="K12" s="12" t="s">
        <v>148</v>
      </c>
      <c r="L12" s="12">
        <v>247</v>
      </c>
      <c r="M12" s="12" t="s">
        <v>148</v>
      </c>
      <c r="N12" s="12">
        <v>248</v>
      </c>
    </row>
    <row r="13" spans="1:14" x14ac:dyDescent="0.3">
      <c r="A13" s="12" t="s">
        <v>149</v>
      </c>
      <c r="B13" s="12">
        <v>0.02</v>
      </c>
      <c r="C13" s="12" t="s">
        <v>149</v>
      </c>
      <c r="D13" s="12">
        <v>0</v>
      </c>
      <c r="E13" s="12" t="s">
        <v>149</v>
      </c>
      <c r="F13" s="12">
        <v>0.21</v>
      </c>
      <c r="G13" s="12" t="s">
        <v>149</v>
      </c>
      <c r="H13" s="12">
        <v>0</v>
      </c>
      <c r="I13" s="12" t="s">
        <v>149</v>
      </c>
      <c r="J13" s="12">
        <v>0</v>
      </c>
      <c r="K13" s="12" t="s">
        <v>149</v>
      </c>
      <c r="L13" s="12">
        <v>0</v>
      </c>
      <c r="M13" s="12" t="s">
        <v>149</v>
      </c>
      <c r="N13" s="12">
        <v>1</v>
      </c>
    </row>
    <row r="14" spans="1:14" x14ac:dyDescent="0.3">
      <c r="A14" s="12" t="s">
        <v>150</v>
      </c>
      <c r="B14" s="12">
        <v>0.46</v>
      </c>
      <c r="C14" s="12" t="s">
        <v>150</v>
      </c>
      <c r="D14" s="12">
        <v>0.45450000000000002</v>
      </c>
      <c r="E14" s="12" t="s">
        <v>150</v>
      </c>
      <c r="F14" s="12">
        <v>1</v>
      </c>
      <c r="G14" s="12" t="s">
        <v>150</v>
      </c>
      <c r="H14" s="12">
        <v>0.58209999999999995</v>
      </c>
      <c r="I14" s="12" t="s">
        <v>150</v>
      </c>
      <c r="J14" s="12">
        <v>62</v>
      </c>
      <c r="K14" s="12" t="s">
        <v>150</v>
      </c>
      <c r="L14" s="12">
        <v>247</v>
      </c>
      <c r="M14" s="12" t="s">
        <v>150</v>
      </c>
      <c r="N14" s="12">
        <v>249</v>
      </c>
    </row>
    <row r="15" spans="1:14" x14ac:dyDescent="0.3">
      <c r="A15" s="12" t="s">
        <v>151</v>
      </c>
      <c r="B15" s="12">
        <v>205.89999999999961</v>
      </c>
      <c r="C15" s="12" t="s">
        <v>151</v>
      </c>
      <c r="D15" s="12">
        <v>209.62630000000055</v>
      </c>
      <c r="E15" s="12" t="s">
        <v>151</v>
      </c>
      <c r="F15" s="12">
        <v>582.48000000000036</v>
      </c>
      <c r="G15" s="12" t="s">
        <v>151</v>
      </c>
      <c r="H15" s="12">
        <v>194.93129999999903</v>
      </c>
      <c r="I15" s="12" t="s">
        <v>151</v>
      </c>
      <c r="J15" s="12">
        <v>4921</v>
      </c>
      <c r="K15" s="12" t="s">
        <v>151</v>
      </c>
      <c r="L15" s="12">
        <v>53383</v>
      </c>
      <c r="M15" s="12" t="s">
        <v>151</v>
      </c>
      <c r="N15" s="12">
        <v>58304</v>
      </c>
    </row>
    <row r="16" spans="1:14" x14ac:dyDescent="0.3">
      <c r="A16" s="12" t="s">
        <v>152</v>
      </c>
      <c r="B16" s="12">
        <v>1000</v>
      </c>
      <c r="C16" s="12" t="s">
        <v>152</v>
      </c>
      <c r="D16" s="12">
        <v>1000</v>
      </c>
      <c r="E16" s="12" t="s">
        <v>152</v>
      </c>
      <c r="F16" s="12">
        <v>1000</v>
      </c>
      <c r="G16" s="12" t="s">
        <v>152</v>
      </c>
      <c r="H16" s="12">
        <v>1000</v>
      </c>
      <c r="I16" s="12" t="s">
        <v>152</v>
      </c>
      <c r="J16" s="12">
        <v>1000</v>
      </c>
      <c r="K16" s="12" t="s">
        <v>152</v>
      </c>
      <c r="L16" s="12">
        <v>1000</v>
      </c>
      <c r="M16" s="12" t="s">
        <v>152</v>
      </c>
      <c r="N16" s="12">
        <v>1000</v>
      </c>
    </row>
    <row r="19" spans="4:11" ht="15.6" x14ac:dyDescent="0.3">
      <c r="D19" s="41" t="s">
        <v>154</v>
      </c>
      <c r="E19" s="41"/>
      <c r="F19" s="41"/>
      <c r="G19" s="41"/>
      <c r="H19" s="41"/>
      <c r="I19" s="41"/>
      <c r="J19" s="41"/>
      <c r="K19" s="41"/>
    </row>
    <row r="20" spans="4:11" x14ac:dyDescent="0.3">
      <c r="D20" s="11"/>
      <c r="E20" s="11" t="s">
        <v>20</v>
      </c>
      <c r="F20" s="11" t="s">
        <v>34</v>
      </c>
      <c r="G20" s="11" t="s">
        <v>21</v>
      </c>
      <c r="H20" s="11" t="s">
        <v>22</v>
      </c>
      <c r="I20" s="11" t="s">
        <v>36</v>
      </c>
      <c r="J20" s="11" t="s">
        <v>35</v>
      </c>
      <c r="K20" s="11" t="s">
        <v>42</v>
      </c>
    </row>
    <row r="21" spans="4:11" x14ac:dyDescent="0.3">
      <c r="D21" s="12" t="s">
        <v>20</v>
      </c>
      <c r="E21" s="12">
        <v>1</v>
      </c>
      <c r="F21" s="12"/>
      <c r="G21" s="12"/>
      <c r="H21" s="12"/>
      <c r="I21" s="12"/>
      <c r="J21" s="12"/>
      <c r="K21" s="12"/>
    </row>
    <row r="22" spans="4:11" x14ac:dyDescent="0.3">
      <c r="D22" s="12" t="s">
        <v>34</v>
      </c>
      <c r="E22" s="12">
        <v>0.83656444191138579</v>
      </c>
      <c r="F22" s="12">
        <v>1</v>
      </c>
      <c r="G22" s="12"/>
      <c r="H22" s="12"/>
      <c r="I22" s="12"/>
      <c r="J22" s="12"/>
      <c r="K22" s="12"/>
    </row>
    <row r="23" spans="4:11" x14ac:dyDescent="0.3">
      <c r="D23" s="12" t="s">
        <v>21</v>
      </c>
      <c r="E23" s="12">
        <v>8.0720147162812214E-2</v>
      </c>
      <c r="F23" s="12">
        <v>0.17543150697987131</v>
      </c>
      <c r="G23" s="12">
        <v>1</v>
      </c>
      <c r="H23" s="12"/>
      <c r="I23" s="12"/>
      <c r="J23" s="12"/>
      <c r="K23" s="12"/>
    </row>
    <row r="24" spans="4:11" x14ac:dyDescent="0.3">
      <c r="D24" s="12" t="s">
        <v>22</v>
      </c>
      <c r="E24" s="12">
        <v>0.12262532562998485</v>
      </c>
      <c r="F24" s="12">
        <v>-0.20996903551973625</v>
      </c>
      <c r="G24" s="12">
        <v>-0.38555034700358864</v>
      </c>
      <c r="H24" s="12">
        <v>1</v>
      </c>
      <c r="I24" s="12"/>
      <c r="J24" s="12"/>
      <c r="K24" s="12"/>
    </row>
    <row r="25" spans="4:11" x14ac:dyDescent="0.3">
      <c r="D25" s="12" t="s">
        <v>36</v>
      </c>
      <c r="E25" s="12">
        <v>0.47022073160199324</v>
      </c>
      <c r="F25" s="12">
        <v>0.40689383027013698</v>
      </c>
      <c r="G25" s="12">
        <v>-0.2594074545428624</v>
      </c>
      <c r="H25" s="12">
        <v>0.12939194234487605</v>
      </c>
      <c r="I25" s="12">
        <v>1</v>
      </c>
      <c r="J25" s="12"/>
      <c r="K25" s="12"/>
    </row>
    <row r="26" spans="4:11" x14ac:dyDescent="0.3">
      <c r="D26" s="12" t="s">
        <v>35</v>
      </c>
      <c r="E26" s="12">
        <v>0.16904504909761614</v>
      </c>
      <c r="F26" s="12">
        <v>0.14873322757754825</v>
      </c>
      <c r="G26" s="12">
        <v>-0.22937044088624536</v>
      </c>
      <c r="H26" s="12">
        <v>9.0058728679306796E-2</v>
      </c>
      <c r="I26" s="12">
        <v>0.33770561189314974</v>
      </c>
      <c r="J26" s="12">
        <v>1</v>
      </c>
      <c r="K26" s="12"/>
    </row>
    <row r="27" spans="4:11" x14ac:dyDescent="0.3">
      <c r="D27" s="12" t="s">
        <v>42</v>
      </c>
      <c r="E27" s="12">
        <v>0.22929155386993369</v>
      </c>
      <c r="F27" s="12">
        <v>0.20071722405460785</v>
      </c>
      <c r="G27" s="12">
        <v>-0.25435329828790432</v>
      </c>
      <c r="H27" s="12">
        <v>0.10399668008577614</v>
      </c>
      <c r="I27" s="12">
        <v>0.46715111933058207</v>
      </c>
      <c r="J27" s="12">
        <v>0.98999319275208175</v>
      </c>
      <c r="K27" s="12">
        <v>1</v>
      </c>
    </row>
  </sheetData>
  <mergeCells count="2">
    <mergeCell ref="A1:N1"/>
    <mergeCell ref="D19:K19"/>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D7F8-DAD8-4307-B6C7-982FEEED4DA4}">
  <sheetPr codeName="Sheet9"/>
  <dimension ref="A1"/>
  <sheetViews>
    <sheetView showGridLines="0" tabSelected="1" topLeftCell="B13" zoomScale="85" zoomScaleNormal="85" workbookViewId="0">
      <selection activeCell="AA19" sqref="AA19"/>
    </sheetView>
  </sheetViews>
  <sheetFormatPr defaultRowHeight="14.4" x14ac:dyDescent="0.3"/>
  <cols>
    <col min="1" max="16384" width="8.88671875" style="2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D174CDD-DDFB-4BAD-BFD2-5C57C12795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Dataset_1</vt:lpstr>
      <vt:lpstr>Cleaned_dataset_1</vt:lpstr>
      <vt:lpstr>Dataset_2</vt:lpstr>
      <vt:lpstr>Cleaned_dataset_2</vt:lpstr>
      <vt:lpstr>Dataset_3</vt:lpstr>
      <vt:lpstr>Cleaned_dataset_3</vt:lpstr>
      <vt:lpstr>Dataset_A(D1+D2)</vt:lpstr>
      <vt:lpstr>Final_DataSet </vt:lpstr>
      <vt:lpstr>PivotTables</vt:lpstr>
      <vt:lpstr>Pearson Correlation Heatmap</vt:lpstr>
      <vt:lpstr>Operational Risk Heatmap</vt:lpstr>
      <vt:lpstr>Hourly Demand vs. Weather Condi</vt:lpstr>
      <vt:lpstr>Hourly Demand vs. Day Type</vt:lpstr>
      <vt:lpstr>Hourly Profile by User Segment</vt:lpstr>
      <vt:lpstr>Weather Category Breakdown &amp; Us</vt:lpstr>
      <vt:lpstr>Windspeed Binned Boxplot</vt:lpstr>
      <vt:lpstr>Demand Frequency Distribution</vt:lpstr>
      <vt:lpstr>Time Category vs Day Type</vt:lpstr>
      <vt:lpstr>Daily Time Series Demand Trend </vt:lpstr>
      <vt:lpstr>Forecasting_Analysis</vt:lpstr>
      <vt:lpstr>Anomaly_Analysis</vt:lpstr>
      <vt:lpstr>Descriptive Statistics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Janani sri varshini</dc:creator>
  <cp:lastModifiedBy>Janani sri varshini</cp:lastModifiedBy>
  <dcterms:created xsi:type="dcterms:W3CDTF">2026-09-25T13:47:41Z</dcterms:created>
  <dcterms:modified xsi:type="dcterms:W3CDTF">2026-10-18T18:52:01Z</dcterms:modified>
</cp:coreProperties>
</file>